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A3644\Downloads\"/>
    </mc:Choice>
  </mc:AlternateContent>
  <xr:revisionPtr revIDLastSave="0" documentId="13_ncr:8001_{C91F2011-B3CB-4C49-8A62-193109A21C5D}" xr6:coauthVersionLast="47" xr6:coauthVersionMax="47" xr10:uidLastSave="{00000000-0000-0000-0000-000000000000}"/>
  <bookViews>
    <workbookView xWindow="-108" yWindow="-108" windowWidth="23256" windowHeight="12456" activeTab="2" xr2:uid="{CBBDDAA1-EFA6-B743-AEA2-5D8D92C4BAFF}"/>
  </bookViews>
  <sheets>
    <sheet name="Study Data" sheetId="7" r:id="rId1"/>
    <sheet name="Definitions" sheetId="9" r:id="rId2"/>
    <sheet name="Client Summary" sheetId="4" r:id="rId3"/>
    <sheet name="27.5 Estimate" sheetId="5" r:id="rId4"/>
    <sheet name="39 Estimate" sheetId="23" r:id="rId5"/>
    <sheet name="Real Property" sheetId="13" r:id="rId6"/>
    <sheet name="15 yr" sheetId="14" r:id="rId7"/>
    <sheet name="5 yr" sheetId="15" r:id="rId8"/>
    <sheet name="Calculator" sheetId="20" r:id="rId9"/>
    <sheet name="Recovery Period Summary" sheetId="21" r:id="rId10"/>
    <sheet name="Real Property Final" sheetId="17" r:id="rId11"/>
    <sheet name="15 Years" sheetId="18" r:id="rId12"/>
    <sheet name="5 Years" sheetId="19" r:id="rId13"/>
    <sheet name="Estimator" sheetId="11" r:id="rId14"/>
    <sheet name="27.5-Year" sheetId="3" r:id="rId15"/>
    <sheet name="39-Year" sheetId="22" r:id="rId16"/>
    <sheet name="5,7,15-Year" sheetId="2" r:id="rId17"/>
  </sheets>
  <definedNames>
    <definedName name="_27_Year" localSheetId="15">#REF!</definedName>
    <definedName name="_27_Year" localSheetId="13">#REF!</definedName>
    <definedName name="_27_Year">#REF!</definedName>
    <definedName name="Accounting_Method" localSheetId="15">#REF!</definedName>
    <definedName name="Accounting_Method">Definitions!#REF!</definedName>
    <definedName name="Building_Use" localSheetId="15">#REF!</definedName>
    <definedName name="Building_Use">Definitions!#REF!</definedName>
    <definedName name="Business_Activity_Code" localSheetId="4">#REF!</definedName>
    <definedName name="Business_Activity_Code" localSheetId="15">#REF!</definedName>
    <definedName name="Business_Activity_Code">Definitions!#REF!</definedName>
    <definedName name="Construction_Class" localSheetId="4">#REF!</definedName>
    <definedName name="Construction_Class" localSheetId="15">#REF!</definedName>
    <definedName name="Construction_Class">Definitions!#REF!</definedName>
    <definedName name="Occupancy_Type" localSheetId="4">#REF!</definedName>
    <definedName name="Occupancy_Type" localSheetId="15">#REF!</definedName>
    <definedName name="Occupancy_Type">Definitions!#REF!</definedName>
    <definedName name="_xlnm.Print_Area" localSheetId="3">'27.5 Estimate'!$A$1:$I$59</definedName>
    <definedName name="_xlnm.Print_Area" localSheetId="4">'39 Estimate'!$A$1:$I$71</definedName>
    <definedName name="_xlnm.Print_Area" localSheetId="2">'Client Summary'!$A$1:$K$107</definedName>
    <definedName name="Roofing" localSheetId="4">#REF!</definedName>
    <definedName name="Roofing" localSheetId="15">#REF!</definedName>
    <definedName name="Roofing">Definitions!#REF!</definedName>
    <definedName name="Siding" localSheetId="15">#REF!</definedName>
    <definedName name="Siding">Definitions!#REF!</definedName>
    <definedName name="Trade_Business" localSheetId="15">#REF!</definedName>
    <definedName name="Trade_Business">Definitions!#REF!</definedName>
    <definedName name="Year_No." localSheetId="4">_275_Year</definedName>
    <definedName name="Year_No." localSheetId="15">_275_Year</definedName>
    <definedName name="Year_No." localSheetId="1">_275_Year</definedName>
    <definedName name="Year_No." localSheetId="13">_275_Year</definedName>
    <definedName name="Year_No.">_275_Year</definedName>
    <definedName name="Yes_No" localSheetId="15">#REF!</definedName>
    <definedName name="Yes_No">Definitions!#REF!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14" i="7" l="1"/>
  <c r="F12" i="7"/>
  <c r="I44" i="9"/>
  <c r="I43" i="9"/>
  <c r="I42" i="9"/>
  <c r="I41" i="9"/>
  <c r="I40" i="9"/>
  <c r="I39" i="9"/>
  <c r="I38" i="9"/>
  <c r="I37" i="9"/>
  <c r="I36" i="9"/>
  <c r="I35" i="9"/>
  <c r="I34" i="9"/>
  <c r="I33" i="9"/>
  <c r="I32" i="9"/>
  <c r="I31" i="9"/>
  <c r="I30" i="9"/>
  <c r="I29" i="9"/>
  <c r="I28" i="9"/>
  <c r="I27" i="9"/>
  <c r="I26" i="9"/>
  <c r="I25" i="9"/>
  <c r="I24" i="9"/>
  <c r="I23" i="9"/>
  <c r="I22" i="9"/>
  <c r="I21" i="9"/>
  <c r="I20" i="9"/>
  <c r="I19" i="9"/>
  <c r="I18" i="9"/>
  <c r="I17" i="9"/>
  <c r="I16" i="9"/>
  <c r="I15" i="9"/>
  <c r="I14" i="9"/>
  <c r="I13" i="9"/>
  <c r="F13" i="9"/>
  <c r="I12" i="9"/>
  <c r="F12" i="9"/>
  <c r="I11" i="9"/>
  <c r="F11" i="9"/>
  <c r="I10" i="9"/>
  <c r="F10" i="9"/>
  <c r="I9" i="9"/>
  <c r="F9" i="9"/>
  <c r="I8" i="9"/>
  <c r="F8" i="9"/>
  <c r="I7" i="9"/>
  <c r="F7" i="9"/>
  <c r="I6" i="9"/>
  <c r="F6" i="9"/>
  <c r="I5" i="9"/>
  <c r="F5" i="9"/>
  <c r="I4" i="9"/>
  <c r="F4" i="9"/>
  <c r="A5" i="20"/>
  <c r="E15" i="21" l="1"/>
  <c r="E6" i="7"/>
  <c r="G10" i="23"/>
  <c r="G10" i="5"/>
  <c r="F3" i="9"/>
  <c r="I3" i="9"/>
  <c r="F56" i="4" l="1"/>
  <c r="F55" i="4" s="1"/>
  <c r="AD38" i="7"/>
  <c r="W30" i="7"/>
  <c r="P28" i="7"/>
  <c r="B10" i="20" l="1"/>
  <c r="G17" i="23" l="1"/>
  <c r="G15" i="23"/>
  <c r="G13" i="23"/>
  <c r="G12" i="23"/>
  <c r="F11" i="23"/>
  <c r="G9" i="23"/>
  <c r="C70" i="7" a="1"/>
  <c r="C70" i="7" s="1"/>
  <c r="C62" i="7" a="1"/>
  <c r="C62" i="7" s="1"/>
  <c r="C59" i="7" a="1"/>
  <c r="C59" i="7" s="1"/>
  <c r="H56" i="7"/>
  <c r="A59" i="7"/>
  <c r="A58" i="7"/>
  <c r="A57" i="7"/>
  <c r="A56" i="7"/>
  <c r="G26" i="4"/>
  <c r="E11" i="7" s="1"/>
  <c r="E5" i="7"/>
  <c r="B6" i="7"/>
  <c r="J92" i="7" s="1" a="1"/>
  <c r="J92" i="7" s="1"/>
  <c r="B5" i="7"/>
  <c r="C90" i="7" l="1" a="1"/>
  <c r="C90" i="7" s="1"/>
  <c r="J72" i="7" a="1"/>
  <c r="J72" i="7" s="1"/>
  <c r="J90" i="7" a="1"/>
  <c r="J90" i="7" s="1"/>
  <c r="C17" i="23"/>
  <c r="D22" i="21"/>
  <c r="C19" i="4"/>
  <c r="C60" i="7" a="1"/>
  <c r="C60" i="7" s="1"/>
  <c r="C73" i="7" a="1"/>
  <c r="C73" i="7" s="1"/>
  <c r="C91" i="7" a="1"/>
  <c r="C91" i="7" s="1"/>
  <c r="J73" i="7" a="1"/>
  <c r="J73" i="7" s="1"/>
  <c r="J56" i="7" a="1"/>
  <c r="J56" i="7" s="1"/>
  <c r="C75" i="7" a="1"/>
  <c r="C75" i="7" s="1"/>
  <c r="C81" i="7" a="1"/>
  <c r="C81" i="7" s="1"/>
  <c r="C56" i="7" a="1"/>
  <c r="C56" i="7" s="1"/>
  <c r="C65" i="7" a="1"/>
  <c r="C65" i="7" s="1"/>
  <c r="C82" i="7" a="1"/>
  <c r="C82" i="7" s="1"/>
  <c r="J64" i="7" a="1"/>
  <c r="J64" i="7" s="1"/>
  <c r="J82" i="7" a="1"/>
  <c r="J82" i="7" s="1"/>
  <c r="C74" i="7" a="1"/>
  <c r="C74" i="7" s="1"/>
  <c r="C63" i="7" a="1"/>
  <c r="C63" i="7" s="1"/>
  <c r="J57" i="7" a="1"/>
  <c r="J57" i="7" s="1"/>
  <c r="C55" i="7" a="1"/>
  <c r="C55" i="7" s="1"/>
  <c r="J58" i="7" a="1"/>
  <c r="J58" i="7" s="1"/>
  <c r="K10" i="7"/>
  <c r="C57" i="7" a="1"/>
  <c r="C57" i="7" s="1"/>
  <c r="C66" i="7" a="1"/>
  <c r="C66" i="7" s="1"/>
  <c r="C83" i="7" a="1"/>
  <c r="C83" i="7" s="1"/>
  <c r="J65" i="7" a="1"/>
  <c r="J65" i="7" s="1"/>
  <c r="J88" i="7" a="1"/>
  <c r="J88" i="7" s="1"/>
  <c r="J74" i="7" a="1"/>
  <c r="J74" i="7" s="1"/>
  <c r="J80" i="7" a="1"/>
  <c r="J80" i="7" s="1"/>
  <c r="C64" i="7" a="1"/>
  <c r="C64" i="7" s="1"/>
  <c r="J81" i="7" a="1"/>
  <c r="J81" i="7" s="1"/>
  <c r="C58" i="7" a="1"/>
  <c r="C58" i="7" s="1"/>
  <c r="C67" i="7" a="1"/>
  <c r="C67" i="7" s="1"/>
  <c r="C89" i="7" a="1"/>
  <c r="C89" i="7" s="1"/>
  <c r="J66" i="7" a="1"/>
  <c r="J66" i="7" s="1"/>
  <c r="J89" i="7" a="1"/>
  <c r="J89" i="7" s="1"/>
  <c r="C78" i="7" a="1"/>
  <c r="C78" i="7" s="1"/>
  <c r="C86" i="7" a="1"/>
  <c r="C86" i="7" s="1"/>
  <c r="C94" i="7" a="1"/>
  <c r="C94" i="7" s="1"/>
  <c r="J61" i="7" a="1"/>
  <c r="J61" i="7" s="1"/>
  <c r="J69" i="7" a="1"/>
  <c r="J69" i="7" s="1"/>
  <c r="J77" i="7" a="1"/>
  <c r="J77" i="7" s="1"/>
  <c r="J85" i="7" a="1"/>
  <c r="J85" i="7" s="1"/>
  <c r="J93" i="7" a="1"/>
  <c r="J93" i="7" s="1"/>
  <c r="D5" i="7"/>
  <c r="C71" i="7" a="1"/>
  <c r="C71" i="7" s="1"/>
  <c r="C79" i="7" a="1"/>
  <c r="C79" i="7" s="1"/>
  <c r="C87" i="7" a="1"/>
  <c r="C87" i="7" s="1"/>
  <c r="B55" i="7"/>
  <c r="B56" i="7" s="1"/>
  <c r="B57" i="7" s="1"/>
  <c r="B58" i="7" s="1"/>
  <c r="B59" i="7" s="1"/>
  <c r="B60" i="7" s="1"/>
  <c r="B61" i="7" s="1"/>
  <c r="B62" i="7" s="1"/>
  <c r="B63" i="7" s="1"/>
  <c r="B64" i="7" s="1"/>
  <c r="B65" i="7" s="1"/>
  <c r="B66" i="7" s="1"/>
  <c r="B67" i="7" s="1"/>
  <c r="B68" i="7" s="1"/>
  <c r="B69" i="7" s="1"/>
  <c r="B70" i="7" s="1"/>
  <c r="B71" i="7" s="1"/>
  <c r="B72" i="7" s="1"/>
  <c r="B73" i="7" s="1"/>
  <c r="B74" i="7" s="1"/>
  <c r="B75" i="7" s="1"/>
  <c r="B76" i="7" s="1"/>
  <c r="B77" i="7" s="1"/>
  <c r="B78" i="7" s="1"/>
  <c r="B79" i="7" s="1"/>
  <c r="B80" i="7" s="1"/>
  <c r="B81" i="7" s="1"/>
  <c r="B82" i="7" s="1"/>
  <c r="B83" i="7" s="1"/>
  <c r="B84" i="7" s="1"/>
  <c r="B85" i="7" s="1"/>
  <c r="B86" i="7" s="1"/>
  <c r="B87" i="7" s="1"/>
  <c r="B88" i="7" s="1"/>
  <c r="B89" i="7" s="1"/>
  <c r="B90" i="7" s="1"/>
  <c r="B91" i="7" s="1"/>
  <c r="B92" i="7" s="1"/>
  <c r="B93" i="7" s="1"/>
  <c r="B94" i="7" s="1"/>
  <c r="J62" i="7" a="1"/>
  <c r="J62" i="7" s="1"/>
  <c r="J70" i="7" a="1"/>
  <c r="J70" i="7" s="1"/>
  <c r="J78" i="7" a="1"/>
  <c r="J78" i="7" s="1"/>
  <c r="J86" i="7" a="1"/>
  <c r="J86" i="7" s="1"/>
  <c r="J94" i="7" a="1"/>
  <c r="J94" i="7" s="1"/>
  <c r="C72" i="7" a="1"/>
  <c r="C72" i="7" s="1"/>
  <c r="C80" i="7" a="1"/>
  <c r="C80" i="7" s="1"/>
  <c r="C88" i="7" a="1"/>
  <c r="C88" i="7" s="1"/>
  <c r="J55" i="7" a="1"/>
  <c r="J55" i="7" s="1"/>
  <c r="J63" i="7" a="1"/>
  <c r="J63" i="7" s="1"/>
  <c r="J71" i="7" a="1"/>
  <c r="J71" i="7" s="1"/>
  <c r="J79" i="7" a="1"/>
  <c r="J79" i="7" s="1"/>
  <c r="J87" i="7" a="1"/>
  <c r="J87" i="7" s="1"/>
  <c r="I55" i="7"/>
  <c r="I56" i="7" s="1"/>
  <c r="I57" i="7" s="1"/>
  <c r="I58" i="7" s="1"/>
  <c r="I59" i="7" s="1"/>
  <c r="I60" i="7" s="1"/>
  <c r="I61" i="7" s="1"/>
  <c r="I62" i="7" s="1"/>
  <c r="I63" i="7" s="1"/>
  <c r="I64" i="7" s="1"/>
  <c r="I65" i="7" s="1"/>
  <c r="I66" i="7" s="1"/>
  <c r="I67" i="7" s="1"/>
  <c r="I68" i="7" s="1"/>
  <c r="I69" i="7" s="1"/>
  <c r="I70" i="7" s="1"/>
  <c r="I71" i="7" s="1"/>
  <c r="I72" i="7" s="1"/>
  <c r="I73" i="7" s="1"/>
  <c r="I74" i="7" s="1"/>
  <c r="I75" i="7" s="1"/>
  <c r="I76" i="7" s="1"/>
  <c r="I77" i="7" s="1"/>
  <c r="I78" i="7" s="1"/>
  <c r="I79" i="7" s="1"/>
  <c r="I80" i="7" s="1"/>
  <c r="I81" i="7" s="1"/>
  <c r="I82" i="7" s="1"/>
  <c r="I83" i="7" s="1"/>
  <c r="I84" i="7" s="1"/>
  <c r="I85" i="7" s="1"/>
  <c r="I86" i="7" s="1"/>
  <c r="I87" i="7" s="1"/>
  <c r="I88" i="7" s="1"/>
  <c r="I89" i="7" s="1"/>
  <c r="I90" i="7" s="1"/>
  <c r="I91" i="7" s="1"/>
  <c r="I92" i="7" s="1"/>
  <c r="I93" i="7" s="1"/>
  <c r="I94" i="7" s="1"/>
  <c r="C17" i="5"/>
  <c r="C68" i="7" a="1"/>
  <c r="C68" i="7" s="1"/>
  <c r="C76" i="7" a="1"/>
  <c r="C76" i="7" s="1"/>
  <c r="C84" i="7" a="1"/>
  <c r="C84" i="7" s="1"/>
  <c r="C92" i="7" a="1"/>
  <c r="C92" i="7" s="1"/>
  <c r="J59" i="7" a="1"/>
  <c r="J59" i="7" s="1"/>
  <c r="J67" i="7" a="1"/>
  <c r="J67" i="7" s="1"/>
  <c r="J75" i="7" a="1"/>
  <c r="J75" i="7" s="1"/>
  <c r="J83" i="7" a="1"/>
  <c r="J83" i="7" s="1"/>
  <c r="J91" i="7" a="1"/>
  <c r="J91" i="7" s="1"/>
  <c r="C61" i="7" a="1"/>
  <c r="C61" i="7" s="1"/>
  <c r="C69" i="7" a="1"/>
  <c r="C69" i="7" s="1"/>
  <c r="C77" i="7" a="1"/>
  <c r="C77" i="7" s="1"/>
  <c r="C85" i="7" a="1"/>
  <c r="C85" i="7" s="1"/>
  <c r="C93" i="7" a="1"/>
  <c r="C93" i="7" s="1"/>
  <c r="J60" i="7" a="1"/>
  <c r="J60" i="7" s="1"/>
  <c r="J68" i="7" a="1"/>
  <c r="J68" i="7" s="1"/>
  <c r="J76" i="7" a="1"/>
  <c r="J76" i="7" s="1"/>
  <c r="J84" i="7" a="1"/>
  <c r="J84" i="7" s="1"/>
  <c r="H11" i="7"/>
  <c r="H57" i="7"/>
  <c r="A60" i="7"/>
  <c r="B27" i="23"/>
  <c r="B28" i="23" s="1"/>
  <c r="B29" i="23" s="1"/>
  <c r="B30" i="23" s="1"/>
  <c r="B31" i="23" s="1"/>
  <c r="B32" i="23" s="1"/>
  <c r="B33" i="23" s="1"/>
  <c r="B34" i="23" s="1"/>
  <c r="B35" i="23" s="1"/>
  <c r="B36" i="23" s="1"/>
  <c r="B37" i="23" s="1"/>
  <c r="B38" i="23" s="1"/>
  <c r="B39" i="23" s="1"/>
  <c r="B40" i="23" s="1"/>
  <c r="B41" i="23" s="1"/>
  <c r="B42" i="23" s="1"/>
  <c r="B43" i="23" s="1"/>
  <c r="B44" i="23" s="1"/>
  <c r="B45" i="23" s="1"/>
  <c r="B46" i="23" s="1"/>
  <c r="B47" i="23" s="1"/>
  <c r="B48" i="23" s="1"/>
  <c r="B49" i="23" s="1"/>
  <c r="B50" i="23" s="1"/>
  <c r="B51" i="23" s="1"/>
  <c r="B52" i="23" s="1"/>
  <c r="B53" i="23" s="1"/>
  <c r="B54" i="23" s="1"/>
  <c r="B55" i="23" s="1"/>
  <c r="B56" i="23" s="1"/>
  <c r="B57" i="23" s="1"/>
  <c r="B58" i="23" s="1"/>
  <c r="B59" i="23" s="1"/>
  <c r="B60" i="23" s="1"/>
  <c r="B61" i="23" s="1"/>
  <c r="B62" i="23" s="1"/>
  <c r="B63" i="23" s="1"/>
  <c r="B64" i="23" s="1"/>
  <c r="B65" i="23" s="1"/>
  <c r="B66" i="23" s="1"/>
  <c r="D13" i="23"/>
  <c r="H58" i="7" l="1"/>
  <c r="A61" i="7"/>
  <c r="H59" i="7" l="1"/>
  <c r="A62" i="7"/>
  <c r="F11" i="5"/>
  <c r="B27" i="5" s="1"/>
  <c r="E500" i="19"/>
  <c r="E499" i="19"/>
  <c r="E498" i="19"/>
  <c r="E500" i="18"/>
  <c r="E499" i="18"/>
  <c r="E498" i="18"/>
  <c r="E500" i="17"/>
  <c r="E499" i="17"/>
  <c r="E498" i="17"/>
  <c r="AI500" i="15"/>
  <c r="AG500" i="15"/>
  <c r="AF500" i="15"/>
  <c r="E497" i="19" s="1"/>
  <c r="AI499" i="15"/>
  <c r="AG499" i="15"/>
  <c r="AF499" i="15" s="1"/>
  <c r="E496" i="19" s="1"/>
  <c r="AI498" i="15"/>
  <c r="AG498" i="15"/>
  <c r="AF498" i="15" s="1"/>
  <c r="E495" i="19" s="1"/>
  <c r="AI497" i="15"/>
  <c r="AG497" i="15"/>
  <c r="AF497" i="15" s="1"/>
  <c r="E494" i="19" s="1"/>
  <c r="AI496" i="15"/>
  <c r="AG496" i="15"/>
  <c r="AF496" i="15" s="1"/>
  <c r="E493" i="19" s="1"/>
  <c r="AI495" i="15"/>
  <c r="AG495" i="15"/>
  <c r="AF495" i="15" s="1"/>
  <c r="E492" i="19" s="1"/>
  <c r="AI494" i="15"/>
  <c r="AG494" i="15"/>
  <c r="AF494" i="15"/>
  <c r="E491" i="19" s="1"/>
  <c r="AI493" i="15"/>
  <c r="AG493" i="15"/>
  <c r="AF493" i="15" s="1"/>
  <c r="E490" i="19" s="1"/>
  <c r="AI492" i="15"/>
  <c r="AG492" i="15"/>
  <c r="AF492" i="15"/>
  <c r="E489" i="19" s="1"/>
  <c r="AI491" i="15"/>
  <c r="AG491" i="15"/>
  <c r="AF491" i="15"/>
  <c r="E488" i="19" s="1"/>
  <c r="AI490" i="15"/>
  <c r="AG490" i="15"/>
  <c r="AF490" i="15" s="1"/>
  <c r="E487" i="19" s="1"/>
  <c r="AI489" i="15"/>
  <c r="AG489" i="15"/>
  <c r="AF489" i="15"/>
  <c r="E486" i="19" s="1"/>
  <c r="AI488" i="15"/>
  <c r="AG488" i="15"/>
  <c r="AF488" i="15" s="1"/>
  <c r="E485" i="19" s="1"/>
  <c r="AI487" i="15"/>
  <c r="AG487" i="15"/>
  <c r="AF487" i="15" s="1"/>
  <c r="E484" i="19" s="1"/>
  <c r="AI486" i="15"/>
  <c r="AG486" i="15"/>
  <c r="AF486" i="15"/>
  <c r="E483" i="19" s="1"/>
  <c r="AI485" i="15"/>
  <c r="AG485" i="15"/>
  <c r="AF485" i="15"/>
  <c r="E482" i="19" s="1"/>
  <c r="AI484" i="15"/>
  <c r="AG484" i="15"/>
  <c r="AF484" i="15"/>
  <c r="E481" i="19" s="1"/>
  <c r="AI483" i="15"/>
  <c r="AG483" i="15"/>
  <c r="AF483" i="15"/>
  <c r="E480" i="19" s="1"/>
  <c r="AI482" i="15"/>
  <c r="AG482" i="15"/>
  <c r="AF482" i="15"/>
  <c r="E479" i="19" s="1"/>
  <c r="AI481" i="15"/>
  <c r="AG481" i="15"/>
  <c r="AF481" i="15" s="1"/>
  <c r="E478" i="19" s="1"/>
  <c r="AI480" i="15"/>
  <c r="AG480" i="15"/>
  <c r="AF480" i="15" s="1"/>
  <c r="E477" i="19" s="1"/>
  <c r="AI479" i="15"/>
  <c r="AG479" i="15"/>
  <c r="AF479" i="15" s="1"/>
  <c r="E476" i="19" s="1"/>
  <c r="AI478" i="15"/>
  <c r="AG478" i="15"/>
  <c r="AF478" i="15" s="1"/>
  <c r="E475" i="19" s="1"/>
  <c r="AI477" i="15"/>
  <c r="AG477" i="15"/>
  <c r="AF477" i="15"/>
  <c r="E474" i="19" s="1"/>
  <c r="AI476" i="15"/>
  <c r="AG476" i="15"/>
  <c r="AF476" i="15"/>
  <c r="E473" i="19" s="1"/>
  <c r="AI475" i="15"/>
  <c r="AG475" i="15"/>
  <c r="AF475" i="15"/>
  <c r="E472" i="19" s="1"/>
  <c r="AI474" i="15"/>
  <c r="AG474" i="15"/>
  <c r="AF474" i="15" s="1"/>
  <c r="E471" i="19" s="1"/>
  <c r="AI473" i="15"/>
  <c r="AG473" i="15"/>
  <c r="AF473" i="15"/>
  <c r="E470" i="19" s="1"/>
  <c r="AI472" i="15"/>
  <c r="AG472" i="15"/>
  <c r="AF472" i="15" s="1"/>
  <c r="E469" i="19" s="1"/>
  <c r="AI471" i="15"/>
  <c r="AG471" i="15"/>
  <c r="AF471" i="15" s="1"/>
  <c r="E468" i="19" s="1"/>
  <c r="AI470" i="15"/>
  <c r="AG470" i="15"/>
  <c r="AF470" i="15" s="1"/>
  <c r="E467" i="19" s="1"/>
  <c r="AI469" i="15"/>
  <c r="AG469" i="15"/>
  <c r="AF469" i="15" s="1"/>
  <c r="E466" i="19" s="1"/>
  <c r="AI468" i="15"/>
  <c r="AG468" i="15"/>
  <c r="AF468" i="15"/>
  <c r="E465" i="19" s="1"/>
  <c r="AI467" i="15"/>
  <c r="AG467" i="15"/>
  <c r="AF467" i="15"/>
  <c r="E464" i="19" s="1"/>
  <c r="AI466" i="15"/>
  <c r="AG466" i="15"/>
  <c r="AF466" i="15"/>
  <c r="E463" i="19" s="1"/>
  <c r="AI465" i="15"/>
  <c r="AG465" i="15"/>
  <c r="AF465" i="15" s="1"/>
  <c r="E462" i="19" s="1"/>
  <c r="AI464" i="15"/>
  <c r="AG464" i="15"/>
  <c r="AF464" i="15" s="1"/>
  <c r="E461" i="19" s="1"/>
  <c r="AI463" i="15"/>
  <c r="AG463" i="15"/>
  <c r="AF463" i="15" s="1"/>
  <c r="E460" i="19" s="1"/>
  <c r="AI462" i="15"/>
  <c r="AG462" i="15"/>
  <c r="AF462" i="15" s="1"/>
  <c r="E459" i="19" s="1"/>
  <c r="AI461" i="15"/>
  <c r="AG461" i="15"/>
  <c r="AF461" i="15" s="1"/>
  <c r="E458" i="19" s="1"/>
  <c r="AI460" i="15"/>
  <c r="AG460" i="15"/>
  <c r="AF460" i="15"/>
  <c r="E457" i="19" s="1"/>
  <c r="AI459" i="15"/>
  <c r="AG459" i="15"/>
  <c r="AF459" i="15"/>
  <c r="E456" i="19" s="1"/>
  <c r="AI458" i="15"/>
  <c r="AG458" i="15"/>
  <c r="AF458" i="15" s="1"/>
  <c r="E455" i="19" s="1"/>
  <c r="AI457" i="15"/>
  <c r="AG457" i="15"/>
  <c r="AF457" i="15"/>
  <c r="E454" i="19" s="1"/>
  <c r="AI456" i="15"/>
  <c r="AG456" i="15"/>
  <c r="AF456" i="15"/>
  <c r="E453" i="19" s="1"/>
  <c r="AI455" i="15"/>
  <c r="AG455" i="15"/>
  <c r="AF455" i="15" s="1"/>
  <c r="E452" i="19" s="1"/>
  <c r="AI454" i="15"/>
  <c r="AG454" i="15"/>
  <c r="AF454" i="15" s="1"/>
  <c r="E451" i="19" s="1"/>
  <c r="AI453" i="15"/>
  <c r="AG453" i="15"/>
  <c r="AF453" i="15" s="1"/>
  <c r="E450" i="19" s="1"/>
  <c r="AI452" i="15"/>
  <c r="AG452" i="15"/>
  <c r="AF452" i="15" s="1"/>
  <c r="E449" i="19" s="1"/>
  <c r="AI451" i="15"/>
  <c r="AG451" i="15"/>
  <c r="AF451" i="15" s="1"/>
  <c r="E448" i="19" s="1"/>
  <c r="AI450" i="15"/>
  <c r="AG450" i="15"/>
  <c r="AF450" i="15" s="1"/>
  <c r="E447" i="19" s="1"/>
  <c r="AI449" i="15"/>
  <c r="AG449" i="15"/>
  <c r="AF449" i="15" s="1"/>
  <c r="E446" i="19" s="1"/>
  <c r="AI448" i="15"/>
  <c r="AG448" i="15"/>
  <c r="AF448" i="15" s="1"/>
  <c r="E445" i="19" s="1"/>
  <c r="AI447" i="15"/>
  <c r="AG447" i="15"/>
  <c r="AF447" i="15"/>
  <c r="E444" i="19" s="1"/>
  <c r="AI446" i="15"/>
  <c r="AG446" i="15"/>
  <c r="AF446" i="15" s="1"/>
  <c r="E443" i="19" s="1"/>
  <c r="AI445" i="15"/>
  <c r="AG445" i="15"/>
  <c r="AF445" i="15" s="1"/>
  <c r="E442" i="19" s="1"/>
  <c r="AI444" i="15"/>
  <c r="AG444" i="15"/>
  <c r="AF444" i="15"/>
  <c r="E441" i="19" s="1"/>
  <c r="AI443" i="15"/>
  <c r="AG443" i="15"/>
  <c r="AF443" i="15"/>
  <c r="E440" i="19" s="1"/>
  <c r="AI442" i="15"/>
  <c r="AG442" i="15"/>
  <c r="AF442" i="15" s="1"/>
  <c r="E439" i="19" s="1"/>
  <c r="AI441" i="15"/>
  <c r="AG441" i="15"/>
  <c r="AF441" i="15"/>
  <c r="E438" i="19" s="1"/>
  <c r="AI440" i="15"/>
  <c r="AG440" i="15"/>
  <c r="AF440" i="15" s="1"/>
  <c r="E437" i="19" s="1"/>
  <c r="AI439" i="15"/>
  <c r="AG439" i="15"/>
  <c r="AF439" i="15" s="1"/>
  <c r="E436" i="19" s="1"/>
  <c r="AI438" i="15"/>
  <c r="AG438" i="15"/>
  <c r="AF438" i="15" s="1"/>
  <c r="E435" i="19" s="1"/>
  <c r="AI437" i="15"/>
  <c r="AG437" i="15"/>
  <c r="AF437" i="15" s="1"/>
  <c r="E434" i="19" s="1"/>
  <c r="AI436" i="15"/>
  <c r="AG436" i="15"/>
  <c r="AF436" i="15"/>
  <c r="E433" i="19" s="1"/>
  <c r="AI435" i="15"/>
  <c r="AG435" i="15"/>
  <c r="AF435" i="15"/>
  <c r="E432" i="19" s="1"/>
  <c r="AI434" i="15"/>
  <c r="AG434" i="15"/>
  <c r="AF434" i="15"/>
  <c r="E431" i="19" s="1"/>
  <c r="AI433" i="15"/>
  <c r="AG433" i="15"/>
  <c r="AF433" i="15" s="1"/>
  <c r="E430" i="19" s="1"/>
  <c r="AI432" i="15"/>
  <c r="AG432" i="15"/>
  <c r="AF432" i="15" s="1"/>
  <c r="E429" i="19" s="1"/>
  <c r="AI431" i="15"/>
  <c r="AG431" i="15"/>
  <c r="AF431" i="15"/>
  <c r="E428" i="19" s="1"/>
  <c r="AI430" i="15"/>
  <c r="AG430" i="15"/>
  <c r="AF430" i="15"/>
  <c r="E427" i="19" s="1"/>
  <c r="AI429" i="15"/>
  <c r="AG429" i="15"/>
  <c r="AF429" i="15" s="1"/>
  <c r="E426" i="19" s="1"/>
  <c r="AI428" i="15"/>
  <c r="AG428" i="15"/>
  <c r="AF428" i="15"/>
  <c r="E425" i="19" s="1"/>
  <c r="AI427" i="15"/>
  <c r="AG427" i="15"/>
  <c r="AF427" i="15"/>
  <c r="E424" i="19" s="1"/>
  <c r="AI426" i="15"/>
  <c r="AG426" i="15"/>
  <c r="AF426" i="15" s="1"/>
  <c r="E423" i="19" s="1"/>
  <c r="AI425" i="15"/>
  <c r="AG425" i="15"/>
  <c r="AF425" i="15"/>
  <c r="E422" i="19" s="1"/>
  <c r="AI424" i="15"/>
  <c r="AG424" i="15"/>
  <c r="AF424" i="15" s="1"/>
  <c r="E421" i="19" s="1"/>
  <c r="AI423" i="15"/>
  <c r="AG423" i="15"/>
  <c r="AF423" i="15" s="1"/>
  <c r="E420" i="19" s="1"/>
  <c r="AI422" i="15"/>
  <c r="AG422" i="15"/>
  <c r="AF422" i="15" s="1"/>
  <c r="E419" i="19" s="1"/>
  <c r="AI421" i="15"/>
  <c r="AG421" i="15"/>
  <c r="AF421" i="15" s="1"/>
  <c r="E418" i="19" s="1"/>
  <c r="AI420" i="15"/>
  <c r="AG420" i="15"/>
  <c r="AF420" i="15" s="1"/>
  <c r="E417" i="19" s="1"/>
  <c r="AI419" i="15"/>
  <c r="AG419" i="15"/>
  <c r="AF419" i="15" s="1"/>
  <c r="E416" i="19" s="1"/>
  <c r="AI418" i="15"/>
  <c r="AG418" i="15"/>
  <c r="AF418" i="15" s="1"/>
  <c r="E415" i="19" s="1"/>
  <c r="AI417" i="15"/>
  <c r="AG417" i="15"/>
  <c r="AF417" i="15" s="1"/>
  <c r="E414" i="19" s="1"/>
  <c r="AI416" i="15"/>
  <c r="AG416" i="15"/>
  <c r="AF416" i="15" s="1"/>
  <c r="E413" i="19" s="1"/>
  <c r="AI415" i="15"/>
  <c r="AG415" i="15"/>
  <c r="AF415" i="15" s="1"/>
  <c r="E412" i="19" s="1"/>
  <c r="AI414" i="15"/>
  <c r="AG414" i="15"/>
  <c r="AF414" i="15" s="1"/>
  <c r="E411" i="19" s="1"/>
  <c r="AI413" i="15"/>
  <c r="AG413" i="15"/>
  <c r="AF413" i="15" s="1"/>
  <c r="E410" i="19" s="1"/>
  <c r="AI412" i="15"/>
  <c r="AG412" i="15"/>
  <c r="AF412" i="15"/>
  <c r="E409" i="19" s="1"/>
  <c r="AI411" i="15"/>
  <c r="AG411" i="15"/>
  <c r="AF411" i="15"/>
  <c r="E408" i="19" s="1"/>
  <c r="AI410" i="15"/>
  <c r="AG410" i="15"/>
  <c r="AF410" i="15" s="1"/>
  <c r="E407" i="19" s="1"/>
  <c r="AI409" i="15"/>
  <c r="AG409" i="15"/>
  <c r="AF409" i="15"/>
  <c r="E406" i="19" s="1"/>
  <c r="AI408" i="15"/>
  <c r="AG408" i="15"/>
  <c r="AF408" i="15" s="1"/>
  <c r="E405" i="19" s="1"/>
  <c r="AI407" i="15"/>
  <c r="AG407" i="15"/>
  <c r="AF407" i="15" s="1"/>
  <c r="E404" i="19" s="1"/>
  <c r="AI406" i="15"/>
  <c r="AG406" i="15"/>
  <c r="AF406" i="15" s="1"/>
  <c r="E403" i="19" s="1"/>
  <c r="AI405" i="15"/>
  <c r="AG405" i="15"/>
  <c r="AF405" i="15"/>
  <c r="E402" i="19" s="1"/>
  <c r="AI404" i="15"/>
  <c r="AG404" i="15"/>
  <c r="AF404" i="15" s="1"/>
  <c r="E401" i="19" s="1"/>
  <c r="AI403" i="15"/>
  <c r="AG403" i="15"/>
  <c r="AF403" i="15" s="1"/>
  <c r="E400" i="19" s="1"/>
  <c r="AI402" i="15"/>
  <c r="AG402" i="15"/>
  <c r="AF402" i="15" s="1"/>
  <c r="E399" i="19" s="1"/>
  <c r="AI401" i="15"/>
  <c r="AG401" i="15"/>
  <c r="AF401" i="15" s="1"/>
  <c r="E398" i="19" s="1"/>
  <c r="AI400" i="15"/>
  <c r="AG400" i="15"/>
  <c r="AF400" i="15" s="1"/>
  <c r="E397" i="19" s="1"/>
  <c r="AI399" i="15"/>
  <c r="AG399" i="15"/>
  <c r="AF399" i="15" s="1"/>
  <c r="E396" i="19" s="1"/>
  <c r="AI398" i="15"/>
  <c r="AG398" i="15"/>
  <c r="AF398" i="15" s="1"/>
  <c r="E395" i="19" s="1"/>
  <c r="AI397" i="15"/>
  <c r="AG397" i="15"/>
  <c r="AF397" i="15" s="1"/>
  <c r="E394" i="19" s="1"/>
  <c r="AI396" i="15"/>
  <c r="AG396" i="15"/>
  <c r="AF396" i="15"/>
  <c r="E393" i="19" s="1"/>
  <c r="AI395" i="15"/>
  <c r="AG395" i="15"/>
  <c r="AF395" i="15"/>
  <c r="E392" i="19" s="1"/>
  <c r="AI394" i="15"/>
  <c r="AG394" i="15"/>
  <c r="AF394" i="15" s="1"/>
  <c r="E391" i="19" s="1"/>
  <c r="AI393" i="15"/>
  <c r="AG393" i="15"/>
  <c r="AF393" i="15"/>
  <c r="E390" i="19" s="1"/>
  <c r="AI392" i="15"/>
  <c r="AG392" i="15"/>
  <c r="AF392" i="15"/>
  <c r="E389" i="19" s="1"/>
  <c r="AI391" i="15"/>
  <c r="AG391" i="15"/>
  <c r="AF391" i="15" s="1"/>
  <c r="E388" i="19" s="1"/>
  <c r="AI390" i="15"/>
  <c r="AG390" i="15"/>
  <c r="AF390" i="15" s="1"/>
  <c r="E387" i="19" s="1"/>
  <c r="AI389" i="15"/>
  <c r="AG389" i="15"/>
  <c r="AF389" i="15" s="1"/>
  <c r="E386" i="19" s="1"/>
  <c r="AI388" i="15"/>
  <c r="AG388" i="15"/>
  <c r="AF388" i="15" s="1"/>
  <c r="E385" i="19" s="1"/>
  <c r="AI387" i="15"/>
  <c r="AG387" i="15"/>
  <c r="AF387" i="15"/>
  <c r="E384" i="19" s="1"/>
  <c r="AI386" i="15"/>
  <c r="AG386" i="15"/>
  <c r="AF386" i="15"/>
  <c r="E383" i="19" s="1"/>
  <c r="AI385" i="15"/>
  <c r="AG385" i="15"/>
  <c r="AF385" i="15" s="1"/>
  <c r="E382" i="19" s="1"/>
  <c r="AI384" i="15"/>
  <c r="AG384" i="15"/>
  <c r="AF384" i="15" s="1"/>
  <c r="E381" i="19" s="1"/>
  <c r="AI383" i="15"/>
  <c r="AG383" i="15"/>
  <c r="AF383" i="15" s="1"/>
  <c r="E380" i="19" s="1"/>
  <c r="AI382" i="15"/>
  <c r="AG382" i="15"/>
  <c r="AF382" i="15" s="1"/>
  <c r="E379" i="19" s="1"/>
  <c r="AI381" i="15"/>
  <c r="AG381" i="15"/>
  <c r="AF381" i="15" s="1"/>
  <c r="E378" i="19" s="1"/>
  <c r="AI380" i="15"/>
  <c r="AG380" i="15"/>
  <c r="AF380" i="15" s="1"/>
  <c r="E377" i="19" s="1"/>
  <c r="AI379" i="15"/>
  <c r="AG379" i="15"/>
  <c r="AF379" i="15" s="1"/>
  <c r="E376" i="19" s="1"/>
  <c r="AI378" i="15"/>
  <c r="AG378" i="15"/>
  <c r="AF378" i="15" s="1"/>
  <c r="E375" i="19" s="1"/>
  <c r="AI377" i="15"/>
  <c r="AG377" i="15"/>
  <c r="AF377" i="15" s="1"/>
  <c r="E374" i="19" s="1"/>
  <c r="AI376" i="15"/>
  <c r="AG376" i="15"/>
  <c r="AF376" i="15" s="1"/>
  <c r="E373" i="19" s="1"/>
  <c r="AI375" i="15"/>
  <c r="AG375" i="15"/>
  <c r="AF375" i="15" s="1"/>
  <c r="E372" i="19" s="1"/>
  <c r="AI374" i="15"/>
  <c r="AG374" i="15"/>
  <c r="AF374" i="15" s="1"/>
  <c r="E371" i="19" s="1"/>
  <c r="AI373" i="15"/>
  <c r="AG373" i="15"/>
  <c r="AF373" i="15" s="1"/>
  <c r="E370" i="19" s="1"/>
  <c r="AI372" i="15"/>
  <c r="AG372" i="15"/>
  <c r="AF372" i="15" s="1"/>
  <c r="E369" i="19" s="1"/>
  <c r="AI371" i="15"/>
  <c r="AG371" i="15"/>
  <c r="AF371" i="15"/>
  <c r="E368" i="19" s="1"/>
  <c r="AI370" i="15"/>
  <c r="AG370" i="15"/>
  <c r="AF370" i="15"/>
  <c r="E367" i="19" s="1"/>
  <c r="AI369" i="15"/>
  <c r="AG369" i="15"/>
  <c r="AF369" i="15" s="1"/>
  <c r="E366" i="19" s="1"/>
  <c r="AI368" i="15"/>
  <c r="AG368" i="15"/>
  <c r="AF368" i="15" s="1"/>
  <c r="E365" i="19" s="1"/>
  <c r="AI367" i="15"/>
  <c r="AG367" i="15"/>
  <c r="AF367" i="15" s="1"/>
  <c r="E364" i="19" s="1"/>
  <c r="AI366" i="15"/>
  <c r="AG366" i="15"/>
  <c r="AF366" i="15" s="1"/>
  <c r="E363" i="19" s="1"/>
  <c r="AI365" i="15"/>
  <c r="AG365" i="15"/>
  <c r="AF365" i="15" s="1"/>
  <c r="E362" i="19" s="1"/>
  <c r="AI364" i="15"/>
  <c r="AG364" i="15"/>
  <c r="AF364" i="15"/>
  <c r="E361" i="19" s="1"/>
  <c r="AI363" i="15"/>
  <c r="AG363" i="15"/>
  <c r="AF363" i="15" s="1"/>
  <c r="E360" i="19" s="1"/>
  <c r="AI362" i="15"/>
  <c r="AG362" i="15"/>
  <c r="AF362" i="15" s="1"/>
  <c r="E359" i="19" s="1"/>
  <c r="AI361" i="15"/>
  <c r="AG361" i="15"/>
  <c r="AF361" i="15" s="1"/>
  <c r="E358" i="19" s="1"/>
  <c r="AI360" i="15"/>
  <c r="AG360" i="15"/>
  <c r="AF360" i="15" s="1"/>
  <c r="E357" i="19" s="1"/>
  <c r="AI359" i="15"/>
  <c r="AG359" i="15"/>
  <c r="AF359" i="15" s="1"/>
  <c r="E356" i="19" s="1"/>
  <c r="AI358" i="15"/>
  <c r="AG358" i="15"/>
  <c r="AF358" i="15"/>
  <c r="E355" i="19" s="1"/>
  <c r="AI357" i="15"/>
  <c r="AG357" i="15"/>
  <c r="AF357" i="15" s="1"/>
  <c r="E354" i="19" s="1"/>
  <c r="AI356" i="15"/>
  <c r="AG356" i="15"/>
  <c r="AF356" i="15" s="1"/>
  <c r="E353" i="19" s="1"/>
  <c r="AI355" i="15"/>
  <c r="AG355" i="15"/>
  <c r="AF355" i="15" s="1"/>
  <c r="E352" i="19" s="1"/>
  <c r="AI354" i="15"/>
  <c r="AG354" i="15"/>
  <c r="AF354" i="15" s="1"/>
  <c r="E351" i="19" s="1"/>
  <c r="AI353" i="15"/>
  <c r="AG353" i="15"/>
  <c r="AF353" i="15" s="1"/>
  <c r="E350" i="19" s="1"/>
  <c r="AI352" i="15"/>
  <c r="AG352" i="15"/>
  <c r="AF352" i="15" s="1"/>
  <c r="E349" i="19" s="1"/>
  <c r="AI351" i="15"/>
  <c r="AG351" i="15"/>
  <c r="AF351" i="15" s="1"/>
  <c r="E348" i="19" s="1"/>
  <c r="AI350" i="15"/>
  <c r="AG350" i="15"/>
  <c r="AF350" i="15"/>
  <c r="E347" i="19" s="1"/>
  <c r="AI349" i="15"/>
  <c r="AG349" i="15"/>
  <c r="AF349" i="15" s="1"/>
  <c r="E346" i="19" s="1"/>
  <c r="AI348" i="15"/>
  <c r="AG348" i="15"/>
  <c r="AF348" i="15"/>
  <c r="E345" i="19" s="1"/>
  <c r="AI347" i="15"/>
  <c r="AG347" i="15"/>
  <c r="AF347" i="15" s="1"/>
  <c r="E344" i="19" s="1"/>
  <c r="AI346" i="15"/>
  <c r="AG346" i="15"/>
  <c r="AF346" i="15" s="1"/>
  <c r="E343" i="19" s="1"/>
  <c r="AI345" i="15"/>
  <c r="AG345" i="15"/>
  <c r="AF345" i="15" s="1"/>
  <c r="E342" i="19" s="1"/>
  <c r="AI344" i="15"/>
  <c r="AG344" i="15"/>
  <c r="AF344" i="15" s="1"/>
  <c r="E341" i="19" s="1"/>
  <c r="AI343" i="15"/>
  <c r="AG343" i="15"/>
  <c r="AF343" i="15" s="1"/>
  <c r="E340" i="19" s="1"/>
  <c r="AI342" i="15"/>
  <c r="AG342" i="15"/>
  <c r="AF342" i="15" s="1"/>
  <c r="E339" i="19" s="1"/>
  <c r="AI341" i="15"/>
  <c r="AG341" i="15"/>
  <c r="AF341" i="15" s="1"/>
  <c r="E338" i="19" s="1"/>
  <c r="AI340" i="15"/>
  <c r="AG340" i="15"/>
  <c r="AF340" i="15"/>
  <c r="E337" i="19" s="1"/>
  <c r="AI339" i="15"/>
  <c r="AG339" i="15"/>
  <c r="AF339" i="15"/>
  <c r="E336" i="19" s="1"/>
  <c r="AI338" i="15"/>
  <c r="AG338" i="15"/>
  <c r="AF338" i="15" s="1"/>
  <c r="E335" i="19" s="1"/>
  <c r="AI337" i="15"/>
  <c r="AG337" i="15"/>
  <c r="AF337" i="15" s="1"/>
  <c r="E334" i="19" s="1"/>
  <c r="AI336" i="15"/>
  <c r="AG336" i="15"/>
  <c r="AF336" i="15" s="1"/>
  <c r="E333" i="19" s="1"/>
  <c r="AI335" i="15"/>
  <c r="AG335" i="15"/>
  <c r="AF335" i="15"/>
  <c r="E332" i="19" s="1"/>
  <c r="AI334" i="15"/>
  <c r="AG334" i="15"/>
  <c r="AF334" i="15" s="1"/>
  <c r="E331" i="19" s="1"/>
  <c r="AI333" i="15"/>
  <c r="AG333" i="15"/>
  <c r="AF333" i="15" s="1"/>
  <c r="E330" i="19" s="1"/>
  <c r="AI332" i="15"/>
  <c r="AG332" i="15"/>
  <c r="AF332" i="15" s="1"/>
  <c r="E329" i="19" s="1"/>
  <c r="AI331" i="15"/>
  <c r="AG331" i="15"/>
  <c r="AF331" i="15" s="1"/>
  <c r="E328" i="19" s="1"/>
  <c r="AI330" i="15"/>
  <c r="AG330" i="15"/>
  <c r="AF330" i="15"/>
  <c r="E327" i="19" s="1"/>
  <c r="AI329" i="15"/>
  <c r="AG329" i="15"/>
  <c r="AF329" i="15" s="1"/>
  <c r="E326" i="19" s="1"/>
  <c r="AI328" i="15"/>
  <c r="AG328" i="15"/>
  <c r="AF328" i="15" s="1"/>
  <c r="E325" i="19" s="1"/>
  <c r="AI327" i="15"/>
  <c r="AG327" i="15"/>
  <c r="AF327" i="15" s="1"/>
  <c r="E324" i="19" s="1"/>
  <c r="AI326" i="15"/>
  <c r="AG326" i="15"/>
  <c r="AF326" i="15" s="1"/>
  <c r="E323" i="19" s="1"/>
  <c r="AI325" i="15"/>
  <c r="AG325" i="15"/>
  <c r="AF325" i="15" s="1"/>
  <c r="E322" i="19" s="1"/>
  <c r="AI324" i="15"/>
  <c r="AG324" i="15"/>
  <c r="AF324" i="15" s="1"/>
  <c r="E321" i="19" s="1"/>
  <c r="AI323" i="15"/>
  <c r="AG323" i="15"/>
  <c r="AF323" i="15" s="1"/>
  <c r="E320" i="19" s="1"/>
  <c r="AI322" i="15"/>
  <c r="AG322" i="15"/>
  <c r="AF322" i="15" s="1"/>
  <c r="E319" i="19" s="1"/>
  <c r="AI321" i="15"/>
  <c r="AG321" i="15"/>
  <c r="AF321" i="15" s="1"/>
  <c r="E318" i="19" s="1"/>
  <c r="AI320" i="15"/>
  <c r="AG320" i="15"/>
  <c r="AF320" i="15"/>
  <c r="E317" i="19" s="1"/>
  <c r="AI319" i="15"/>
  <c r="AG319" i="15"/>
  <c r="AF319" i="15" s="1"/>
  <c r="E316" i="19" s="1"/>
  <c r="AI318" i="15"/>
  <c r="AG318" i="15"/>
  <c r="AF318" i="15" s="1"/>
  <c r="E315" i="19" s="1"/>
  <c r="AI317" i="15"/>
  <c r="AG317" i="15"/>
  <c r="AF317" i="15" s="1"/>
  <c r="E314" i="19" s="1"/>
  <c r="AI316" i="15"/>
  <c r="AG316" i="15"/>
  <c r="AF316" i="15" s="1"/>
  <c r="E313" i="19" s="1"/>
  <c r="AI315" i="15"/>
  <c r="AG315" i="15"/>
  <c r="AF315" i="15" s="1"/>
  <c r="E312" i="19" s="1"/>
  <c r="AI314" i="15"/>
  <c r="AG314" i="15"/>
  <c r="AF314" i="15" s="1"/>
  <c r="E311" i="19" s="1"/>
  <c r="AI313" i="15"/>
  <c r="AG313" i="15"/>
  <c r="AF313" i="15" s="1"/>
  <c r="E310" i="19" s="1"/>
  <c r="AI312" i="15"/>
  <c r="AG312" i="15"/>
  <c r="AF312" i="15" s="1"/>
  <c r="E309" i="19" s="1"/>
  <c r="AI311" i="15"/>
  <c r="AG311" i="15"/>
  <c r="AF311" i="15" s="1"/>
  <c r="E308" i="19" s="1"/>
  <c r="AI310" i="15"/>
  <c r="AG310" i="15"/>
  <c r="AF310" i="15" s="1"/>
  <c r="E307" i="19" s="1"/>
  <c r="AI309" i="15"/>
  <c r="AG309" i="15"/>
  <c r="AF309" i="15" s="1"/>
  <c r="E306" i="19" s="1"/>
  <c r="AI308" i="15"/>
  <c r="AG308" i="15"/>
  <c r="AF308" i="15" s="1"/>
  <c r="E305" i="19" s="1"/>
  <c r="AI307" i="15"/>
  <c r="AG307" i="15"/>
  <c r="AF307" i="15"/>
  <c r="E304" i="19" s="1"/>
  <c r="AI306" i="15"/>
  <c r="AG306" i="15"/>
  <c r="AF306" i="15" s="1"/>
  <c r="E303" i="19" s="1"/>
  <c r="AI305" i="15"/>
  <c r="AG305" i="15"/>
  <c r="AF305" i="15" s="1"/>
  <c r="E302" i="19" s="1"/>
  <c r="AI304" i="15"/>
  <c r="AG304" i="15"/>
  <c r="AF304" i="15"/>
  <c r="E301" i="19" s="1"/>
  <c r="AI303" i="15"/>
  <c r="AG303" i="15"/>
  <c r="AF303" i="15" s="1"/>
  <c r="E300" i="19" s="1"/>
  <c r="AI302" i="15"/>
  <c r="AG302" i="15"/>
  <c r="AF302" i="15" s="1"/>
  <c r="E299" i="19" s="1"/>
  <c r="AI301" i="15"/>
  <c r="AG301" i="15"/>
  <c r="AF301" i="15" s="1"/>
  <c r="E298" i="19" s="1"/>
  <c r="AI300" i="15"/>
  <c r="AG300" i="15"/>
  <c r="AF300" i="15" s="1"/>
  <c r="E297" i="19" s="1"/>
  <c r="AI299" i="15"/>
  <c r="AG299" i="15"/>
  <c r="AF299" i="15" s="1"/>
  <c r="E296" i="19" s="1"/>
  <c r="AI298" i="15"/>
  <c r="AG298" i="15"/>
  <c r="AF298" i="15" s="1"/>
  <c r="E295" i="19" s="1"/>
  <c r="AI297" i="15"/>
  <c r="AG297" i="15"/>
  <c r="AF297" i="15"/>
  <c r="E294" i="19" s="1"/>
  <c r="AI296" i="15"/>
  <c r="AG296" i="15"/>
  <c r="AF296" i="15"/>
  <c r="E293" i="19" s="1"/>
  <c r="AI295" i="15"/>
  <c r="AG295" i="15"/>
  <c r="AF295" i="15" s="1"/>
  <c r="E292" i="19" s="1"/>
  <c r="AI294" i="15"/>
  <c r="AG294" i="15"/>
  <c r="AF294" i="15" s="1"/>
  <c r="E291" i="19" s="1"/>
  <c r="AI293" i="15"/>
  <c r="AG293" i="15"/>
  <c r="AF293" i="15" s="1"/>
  <c r="E290" i="19" s="1"/>
  <c r="AI292" i="15"/>
  <c r="AG292" i="15"/>
  <c r="AF292" i="15" s="1"/>
  <c r="E289" i="19" s="1"/>
  <c r="AI291" i="15"/>
  <c r="AG291" i="15"/>
  <c r="AF291" i="15" s="1"/>
  <c r="E288" i="19" s="1"/>
  <c r="AI290" i="15"/>
  <c r="AG290" i="15"/>
  <c r="AF290" i="15" s="1"/>
  <c r="E287" i="19" s="1"/>
  <c r="AI289" i="15"/>
  <c r="AG289" i="15"/>
  <c r="AF289" i="15"/>
  <c r="E286" i="19" s="1"/>
  <c r="AI288" i="15"/>
  <c r="AG288" i="15"/>
  <c r="AF288" i="15" s="1"/>
  <c r="E285" i="19" s="1"/>
  <c r="AI287" i="15"/>
  <c r="AG287" i="15"/>
  <c r="AF287" i="15" s="1"/>
  <c r="E284" i="19" s="1"/>
  <c r="AI286" i="15"/>
  <c r="AG286" i="15"/>
  <c r="AF286" i="15" s="1"/>
  <c r="E283" i="19" s="1"/>
  <c r="AI285" i="15"/>
  <c r="AG285" i="15"/>
  <c r="AF285" i="15" s="1"/>
  <c r="E282" i="19" s="1"/>
  <c r="AI284" i="15"/>
  <c r="AG284" i="15"/>
  <c r="AF284" i="15" s="1"/>
  <c r="E281" i="19" s="1"/>
  <c r="AI283" i="15"/>
  <c r="AG283" i="15"/>
  <c r="AF283" i="15" s="1"/>
  <c r="E280" i="19" s="1"/>
  <c r="AI282" i="15"/>
  <c r="AG282" i="15"/>
  <c r="AF282" i="15"/>
  <c r="E279" i="19" s="1"/>
  <c r="AI281" i="15"/>
  <c r="AG281" i="15"/>
  <c r="AF281" i="15" s="1"/>
  <c r="E278" i="19" s="1"/>
  <c r="AI280" i="15"/>
  <c r="AG280" i="15"/>
  <c r="AF280" i="15"/>
  <c r="E277" i="19" s="1"/>
  <c r="AI279" i="15"/>
  <c r="AG279" i="15"/>
  <c r="AF279" i="15" s="1"/>
  <c r="E276" i="19" s="1"/>
  <c r="AI278" i="15"/>
  <c r="AG278" i="15"/>
  <c r="AF278" i="15" s="1"/>
  <c r="E275" i="19" s="1"/>
  <c r="AI277" i="15"/>
  <c r="AG277" i="15"/>
  <c r="AF277" i="15" s="1"/>
  <c r="E274" i="19" s="1"/>
  <c r="AI276" i="15"/>
  <c r="AG276" i="15"/>
  <c r="AF276" i="15" s="1"/>
  <c r="E273" i="19" s="1"/>
  <c r="AI275" i="15"/>
  <c r="AG275" i="15"/>
  <c r="AF275" i="15"/>
  <c r="E272" i="19" s="1"/>
  <c r="AI274" i="15"/>
  <c r="AG274" i="15"/>
  <c r="AF274" i="15" s="1"/>
  <c r="E271" i="19" s="1"/>
  <c r="AI273" i="15"/>
  <c r="AG273" i="15"/>
  <c r="AF273" i="15"/>
  <c r="E270" i="19" s="1"/>
  <c r="AI272" i="15"/>
  <c r="AG272" i="15"/>
  <c r="AF272" i="15"/>
  <c r="E269" i="19" s="1"/>
  <c r="AI271" i="15"/>
  <c r="AG271" i="15"/>
  <c r="AF271" i="15" s="1"/>
  <c r="E268" i="19" s="1"/>
  <c r="AI270" i="15"/>
  <c r="AG270" i="15"/>
  <c r="AF270" i="15" s="1"/>
  <c r="E267" i="19" s="1"/>
  <c r="AI269" i="15"/>
  <c r="AG269" i="15"/>
  <c r="AF269" i="15" s="1"/>
  <c r="E266" i="19" s="1"/>
  <c r="AI268" i="15"/>
  <c r="AG268" i="15"/>
  <c r="AF268" i="15" s="1"/>
  <c r="E265" i="19" s="1"/>
  <c r="AI267" i="15"/>
  <c r="AG267" i="15"/>
  <c r="AF267" i="15" s="1"/>
  <c r="E264" i="19" s="1"/>
  <c r="AI266" i="15"/>
  <c r="AG266" i="15"/>
  <c r="AF266" i="15" s="1"/>
  <c r="E263" i="19" s="1"/>
  <c r="AI265" i="15"/>
  <c r="AG265" i="15"/>
  <c r="AF265" i="15"/>
  <c r="E262" i="19" s="1"/>
  <c r="AI264" i="15"/>
  <c r="AG264" i="15"/>
  <c r="AF264" i="15" s="1"/>
  <c r="E261" i="19" s="1"/>
  <c r="AI263" i="15"/>
  <c r="AG263" i="15"/>
  <c r="AF263" i="15" s="1"/>
  <c r="E260" i="19" s="1"/>
  <c r="AI262" i="15"/>
  <c r="AG262" i="15"/>
  <c r="AF262" i="15" s="1"/>
  <c r="E259" i="19" s="1"/>
  <c r="AI261" i="15"/>
  <c r="AG261" i="15"/>
  <c r="AF261" i="15" s="1"/>
  <c r="E258" i="19" s="1"/>
  <c r="AI260" i="15"/>
  <c r="AG260" i="15"/>
  <c r="AF260" i="15" s="1"/>
  <c r="E257" i="19" s="1"/>
  <c r="AI259" i="15"/>
  <c r="AG259" i="15"/>
  <c r="AF259" i="15" s="1"/>
  <c r="E256" i="19" s="1"/>
  <c r="AI258" i="15"/>
  <c r="AG258" i="15"/>
  <c r="AF258" i="15" s="1"/>
  <c r="E255" i="19" s="1"/>
  <c r="AI257" i="15"/>
  <c r="AG257" i="15"/>
  <c r="AF257" i="15" s="1"/>
  <c r="E254" i="19" s="1"/>
  <c r="AI256" i="15"/>
  <c r="AG256" i="15"/>
  <c r="AF256" i="15" s="1"/>
  <c r="E253" i="19" s="1"/>
  <c r="AI255" i="15"/>
  <c r="AG255" i="15"/>
  <c r="AF255" i="15" s="1"/>
  <c r="E252" i="19" s="1"/>
  <c r="AI254" i="15"/>
  <c r="AG254" i="15"/>
  <c r="AF254" i="15" s="1"/>
  <c r="E251" i="19" s="1"/>
  <c r="AI253" i="15"/>
  <c r="AG253" i="15"/>
  <c r="AF253" i="15" s="1"/>
  <c r="E250" i="19" s="1"/>
  <c r="AI252" i="15"/>
  <c r="AG252" i="15"/>
  <c r="AF252" i="15" s="1"/>
  <c r="E249" i="19" s="1"/>
  <c r="AI251" i="15"/>
  <c r="AG251" i="15"/>
  <c r="AF251" i="15" s="1"/>
  <c r="E248" i="19" s="1"/>
  <c r="AI250" i="15"/>
  <c r="AG250" i="15"/>
  <c r="AF250" i="15" s="1"/>
  <c r="E247" i="19" s="1"/>
  <c r="AI249" i="15"/>
  <c r="AG249" i="15"/>
  <c r="AF249" i="15" s="1"/>
  <c r="E246" i="19" s="1"/>
  <c r="AI248" i="15"/>
  <c r="AG248" i="15"/>
  <c r="AF248" i="15"/>
  <c r="E245" i="19" s="1"/>
  <c r="AI247" i="15"/>
  <c r="AG247" i="15"/>
  <c r="AF247" i="15" s="1"/>
  <c r="E244" i="19" s="1"/>
  <c r="AI246" i="15"/>
  <c r="AG246" i="15"/>
  <c r="AF246" i="15" s="1"/>
  <c r="E243" i="19" s="1"/>
  <c r="AI245" i="15"/>
  <c r="AG245" i="15"/>
  <c r="AF245" i="15" s="1"/>
  <c r="E242" i="19" s="1"/>
  <c r="AI244" i="15"/>
  <c r="AG244" i="15"/>
  <c r="AF244" i="15" s="1"/>
  <c r="E241" i="19" s="1"/>
  <c r="AI243" i="15"/>
  <c r="AG243" i="15"/>
  <c r="AF243" i="15" s="1"/>
  <c r="E240" i="19" s="1"/>
  <c r="AI242" i="15"/>
  <c r="AG242" i="15"/>
  <c r="AF242" i="15" s="1"/>
  <c r="E239" i="19" s="1"/>
  <c r="AI241" i="15"/>
  <c r="AG241" i="15"/>
  <c r="AF241" i="15"/>
  <c r="E238" i="19" s="1"/>
  <c r="AI240" i="15"/>
  <c r="AG240" i="15"/>
  <c r="AF240" i="15" s="1"/>
  <c r="E237" i="19" s="1"/>
  <c r="AI239" i="15"/>
  <c r="AG239" i="15"/>
  <c r="AF239" i="15" s="1"/>
  <c r="E236" i="19" s="1"/>
  <c r="AI238" i="15"/>
  <c r="AG238" i="15"/>
  <c r="AF238" i="15" s="1"/>
  <c r="E235" i="19" s="1"/>
  <c r="AI237" i="15"/>
  <c r="AG237" i="15"/>
  <c r="AF237" i="15" s="1"/>
  <c r="E234" i="19" s="1"/>
  <c r="AI236" i="15"/>
  <c r="AG236" i="15"/>
  <c r="AF236" i="15" s="1"/>
  <c r="E233" i="19" s="1"/>
  <c r="AI235" i="15"/>
  <c r="AG235" i="15"/>
  <c r="AF235" i="15" s="1"/>
  <c r="E232" i="19" s="1"/>
  <c r="AI234" i="15"/>
  <c r="AG234" i="15"/>
  <c r="AF234" i="15"/>
  <c r="E231" i="19" s="1"/>
  <c r="AI233" i="15"/>
  <c r="AG233" i="15"/>
  <c r="AF233" i="15" s="1"/>
  <c r="E230" i="19" s="1"/>
  <c r="AI232" i="15"/>
  <c r="AG232" i="15"/>
  <c r="AF232" i="15" s="1"/>
  <c r="E229" i="19" s="1"/>
  <c r="AI231" i="15"/>
  <c r="AG231" i="15"/>
  <c r="AF231" i="15" s="1"/>
  <c r="E228" i="19" s="1"/>
  <c r="AI230" i="15"/>
  <c r="AG230" i="15"/>
  <c r="AF230" i="15" s="1"/>
  <c r="E227" i="19" s="1"/>
  <c r="AI229" i="15"/>
  <c r="AG229" i="15"/>
  <c r="AF229" i="15" s="1"/>
  <c r="E226" i="19" s="1"/>
  <c r="AI228" i="15"/>
  <c r="AG228" i="15"/>
  <c r="AF228" i="15" s="1"/>
  <c r="E225" i="19" s="1"/>
  <c r="AI227" i="15"/>
  <c r="AG227" i="15"/>
  <c r="AF227" i="15" s="1"/>
  <c r="E224" i="19" s="1"/>
  <c r="AI226" i="15"/>
  <c r="AG226" i="15"/>
  <c r="AF226" i="15" s="1"/>
  <c r="E223" i="19" s="1"/>
  <c r="AI225" i="15"/>
  <c r="AG225" i="15"/>
  <c r="AF225" i="15"/>
  <c r="E222" i="19" s="1"/>
  <c r="AI224" i="15"/>
  <c r="AG224" i="15"/>
  <c r="AF224" i="15"/>
  <c r="E221" i="19" s="1"/>
  <c r="AI223" i="15"/>
  <c r="AG223" i="15"/>
  <c r="AF223" i="15" s="1"/>
  <c r="E220" i="19" s="1"/>
  <c r="AI222" i="15"/>
  <c r="AG222" i="15"/>
  <c r="AF222" i="15" s="1"/>
  <c r="E219" i="19" s="1"/>
  <c r="AI221" i="15"/>
  <c r="AG221" i="15"/>
  <c r="AF221" i="15"/>
  <c r="E218" i="19" s="1"/>
  <c r="AI220" i="15"/>
  <c r="AG220" i="15"/>
  <c r="AF220" i="15" s="1"/>
  <c r="E217" i="19" s="1"/>
  <c r="AI219" i="15"/>
  <c r="AG219" i="15"/>
  <c r="AF219" i="15" s="1"/>
  <c r="E216" i="19" s="1"/>
  <c r="AI218" i="15"/>
  <c r="AG218" i="15"/>
  <c r="AF218" i="15"/>
  <c r="E215" i="19" s="1"/>
  <c r="AI217" i="15"/>
  <c r="AG217" i="15"/>
  <c r="AF217" i="15"/>
  <c r="E214" i="19" s="1"/>
  <c r="AI216" i="15"/>
  <c r="AG216" i="15"/>
  <c r="AF216" i="15" s="1"/>
  <c r="E213" i="19" s="1"/>
  <c r="AI215" i="15"/>
  <c r="AG215" i="15"/>
  <c r="AF215" i="15"/>
  <c r="E212" i="19" s="1"/>
  <c r="AI214" i="15"/>
  <c r="AG214" i="15"/>
  <c r="AF214" i="15" s="1"/>
  <c r="E211" i="19" s="1"/>
  <c r="AI213" i="15"/>
  <c r="AG213" i="15"/>
  <c r="AF213" i="15" s="1"/>
  <c r="E210" i="19" s="1"/>
  <c r="AI212" i="15"/>
  <c r="AG212" i="15"/>
  <c r="AF212" i="15" s="1"/>
  <c r="E209" i="19" s="1"/>
  <c r="AI211" i="15"/>
  <c r="AG211" i="15"/>
  <c r="AF211" i="15" s="1"/>
  <c r="E208" i="19" s="1"/>
  <c r="AI210" i="15"/>
  <c r="AG210" i="15"/>
  <c r="AF210" i="15" s="1"/>
  <c r="E207" i="19" s="1"/>
  <c r="AI209" i="15"/>
  <c r="AG209" i="15"/>
  <c r="AF209" i="15"/>
  <c r="E206" i="19" s="1"/>
  <c r="AI208" i="15"/>
  <c r="AG208" i="15"/>
  <c r="AF208" i="15"/>
  <c r="E205" i="19" s="1"/>
  <c r="AI207" i="15"/>
  <c r="AG207" i="15"/>
  <c r="AF207" i="15"/>
  <c r="E204" i="19" s="1"/>
  <c r="AI206" i="15"/>
  <c r="AG206" i="15"/>
  <c r="AF206" i="15" s="1"/>
  <c r="E203" i="19" s="1"/>
  <c r="AI205" i="15"/>
  <c r="AG205" i="15"/>
  <c r="AF205" i="15" s="1"/>
  <c r="E202" i="19" s="1"/>
  <c r="AI204" i="15"/>
  <c r="AG204" i="15"/>
  <c r="AF204" i="15" s="1"/>
  <c r="E201" i="19" s="1"/>
  <c r="AI203" i="15"/>
  <c r="AG203" i="15"/>
  <c r="AF203" i="15" s="1"/>
  <c r="E200" i="19" s="1"/>
  <c r="AI202" i="15"/>
  <c r="AG202" i="15"/>
  <c r="AF202" i="15" s="1"/>
  <c r="E199" i="19" s="1"/>
  <c r="AI201" i="15"/>
  <c r="AG201" i="15"/>
  <c r="AF201" i="15"/>
  <c r="E198" i="19" s="1"/>
  <c r="AI200" i="15"/>
  <c r="AG200" i="15"/>
  <c r="AF200" i="15" s="1"/>
  <c r="E197" i="19" s="1"/>
  <c r="AI199" i="15"/>
  <c r="AG199" i="15"/>
  <c r="AF199" i="15" s="1"/>
  <c r="E196" i="19" s="1"/>
  <c r="AI198" i="15"/>
  <c r="AG198" i="15"/>
  <c r="AF198" i="15" s="1"/>
  <c r="E195" i="19" s="1"/>
  <c r="AI197" i="15"/>
  <c r="AG197" i="15"/>
  <c r="AF197" i="15"/>
  <c r="E194" i="19" s="1"/>
  <c r="AI196" i="15"/>
  <c r="AG196" i="15"/>
  <c r="AF196" i="15" s="1"/>
  <c r="E193" i="19" s="1"/>
  <c r="AI195" i="15"/>
  <c r="AG195" i="15"/>
  <c r="AF195" i="15" s="1"/>
  <c r="E192" i="19" s="1"/>
  <c r="AI194" i="15"/>
  <c r="AG194" i="15"/>
  <c r="AF194" i="15"/>
  <c r="E191" i="19" s="1"/>
  <c r="AI193" i="15"/>
  <c r="AG193" i="15"/>
  <c r="AF193" i="15"/>
  <c r="E190" i="19" s="1"/>
  <c r="AI192" i="15"/>
  <c r="AG192" i="15"/>
  <c r="AF192" i="15" s="1"/>
  <c r="E189" i="19" s="1"/>
  <c r="AI191" i="15"/>
  <c r="AG191" i="15"/>
  <c r="AF191" i="15" s="1"/>
  <c r="E188" i="19" s="1"/>
  <c r="AI190" i="15"/>
  <c r="AG190" i="15"/>
  <c r="AF190" i="15"/>
  <c r="E187" i="19" s="1"/>
  <c r="AI189" i="15"/>
  <c r="AG189" i="15"/>
  <c r="AF189" i="15" s="1"/>
  <c r="E186" i="19" s="1"/>
  <c r="AI188" i="15"/>
  <c r="AG188" i="15"/>
  <c r="AF188" i="15" s="1"/>
  <c r="E185" i="19" s="1"/>
  <c r="AI187" i="15"/>
  <c r="AG187" i="15"/>
  <c r="AF187" i="15"/>
  <c r="E184" i="19" s="1"/>
  <c r="AI186" i="15"/>
  <c r="AG186" i="15"/>
  <c r="AF186" i="15" s="1"/>
  <c r="E183" i="19" s="1"/>
  <c r="AI185" i="15"/>
  <c r="AG185" i="15"/>
  <c r="AF185" i="15"/>
  <c r="E182" i="19" s="1"/>
  <c r="AI184" i="15"/>
  <c r="AG184" i="15"/>
  <c r="AF184" i="15" s="1"/>
  <c r="E181" i="19" s="1"/>
  <c r="AI183" i="15"/>
  <c r="AG183" i="15"/>
  <c r="AF183" i="15"/>
  <c r="E180" i="19" s="1"/>
  <c r="AI182" i="15"/>
  <c r="AG182" i="15"/>
  <c r="AF182" i="15"/>
  <c r="E179" i="19" s="1"/>
  <c r="AI181" i="15"/>
  <c r="AG181" i="15"/>
  <c r="AF181" i="15" s="1"/>
  <c r="E178" i="19" s="1"/>
  <c r="AI180" i="15"/>
  <c r="AG180" i="15"/>
  <c r="AF180" i="15" s="1"/>
  <c r="E177" i="19" s="1"/>
  <c r="AI179" i="15"/>
  <c r="AG179" i="15"/>
  <c r="AF179" i="15"/>
  <c r="E176" i="19" s="1"/>
  <c r="AI178" i="15"/>
  <c r="AG178" i="15"/>
  <c r="AF178" i="15" s="1"/>
  <c r="E175" i="19" s="1"/>
  <c r="AI177" i="15"/>
  <c r="AG177" i="15"/>
  <c r="AF177" i="15"/>
  <c r="E174" i="19" s="1"/>
  <c r="AI176" i="15"/>
  <c r="AG176" i="15"/>
  <c r="AF176" i="15"/>
  <c r="E173" i="19" s="1"/>
  <c r="AI175" i="15"/>
  <c r="AG175" i="15"/>
  <c r="AF175" i="15" s="1"/>
  <c r="E172" i="19" s="1"/>
  <c r="AI174" i="15"/>
  <c r="AG174" i="15"/>
  <c r="AF174" i="15" s="1"/>
  <c r="E171" i="19" s="1"/>
  <c r="AI173" i="15"/>
  <c r="AG173" i="15"/>
  <c r="AF173" i="15" s="1"/>
  <c r="E170" i="19" s="1"/>
  <c r="AI172" i="15"/>
  <c r="AG172" i="15"/>
  <c r="AF172" i="15" s="1"/>
  <c r="E169" i="19" s="1"/>
  <c r="AI171" i="15"/>
  <c r="AG171" i="15"/>
  <c r="AF171" i="15" s="1"/>
  <c r="E168" i="19" s="1"/>
  <c r="AI170" i="15"/>
  <c r="AG170" i="15"/>
  <c r="AF170" i="15" s="1"/>
  <c r="E167" i="19" s="1"/>
  <c r="AI169" i="15"/>
  <c r="AG169" i="15"/>
  <c r="AF169" i="15"/>
  <c r="E166" i="19" s="1"/>
  <c r="AI168" i="15"/>
  <c r="AG168" i="15"/>
  <c r="AF168" i="15"/>
  <c r="E165" i="19" s="1"/>
  <c r="AI167" i="15"/>
  <c r="AG167" i="15"/>
  <c r="AF167" i="15" s="1"/>
  <c r="E164" i="19" s="1"/>
  <c r="AI166" i="15"/>
  <c r="AG166" i="15"/>
  <c r="AF166" i="15" s="1"/>
  <c r="E163" i="19" s="1"/>
  <c r="AI165" i="15"/>
  <c r="AG165" i="15"/>
  <c r="AF165" i="15"/>
  <c r="E162" i="19" s="1"/>
  <c r="AI164" i="15"/>
  <c r="AG164" i="15"/>
  <c r="AF164" i="15" s="1"/>
  <c r="E161" i="19" s="1"/>
  <c r="AI163" i="15"/>
  <c r="AG163" i="15"/>
  <c r="AF163" i="15" s="1"/>
  <c r="E160" i="19" s="1"/>
  <c r="AI162" i="15"/>
  <c r="AG162" i="15"/>
  <c r="AF162" i="15"/>
  <c r="E159" i="19" s="1"/>
  <c r="AI161" i="15"/>
  <c r="AG161" i="15"/>
  <c r="AF161" i="15"/>
  <c r="E158" i="19" s="1"/>
  <c r="AI160" i="15"/>
  <c r="AG160" i="15"/>
  <c r="AF160" i="15" s="1"/>
  <c r="E157" i="19" s="1"/>
  <c r="AI159" i="15"/>
  <c r="AG159" i="15"/>
  <c r="AF159" i="15" s="1"/>
  <c r="E156" i="19" s="1"/>
  <c r="AI158" i="15"/>
  <c r="AG158" i="15"/>
  <c r="AF158" i="15"/>
  <c r="E155" i="19" s="1"/>
  <c r="AI157" i="15"/>
  <c r="AG157" i="15"/>
  <c r="AF157" i="15"/>
  <c r="E154" i="19" s="1"/>
  <c r="AI156" i="15"/>
  <c r="AG156" i="15"/>
  <c r="AF156" i="15" s="1"/>
  <c r="E153" i="19" s="1"/>
  <c r="AI155" i="15"/>
  <c r="AG155" i="15"/>
  <c r="AF155" i="15"/>
  <c r="E152" i="19" s="1"/>
  <c r="AI154" i="15"/>
  <c r="AG154" i="15"/>
  <c r="AF154" i="15"/>
  <c r="E151" i="19" s="1"/>
  <c r="AI153" i="15"/>
  <c r="AG153" i="15"/>
  <c r="AF153" i="15"/>
  <c r="E150" i="19" s="1"/>
  <c r="AI152" i="15"/>
  <c r="AG152" i="15"/>
  <c r="AF152" i="15" s="1"/>
  <c r="E149" i="19" s="1"/>
  <c r="AI151" i="15"/>
  <c r="AG151" i="15"/>
  <c r="AF151" i="15"/>
  <c r="E148" i="19" s="1"/>
  <c r="AI150" i="15"/>
  <c r="AG150" i="15"/>
  <c r="AF150" i="15" s="1"/>
  <c r="E147" i="19" s="1"/>
  <c r="AI149" i="15"/>
  <c r="AG149" i="15"/>
  <c r="AF149" i="15" s="1"/>
  <c r="E146" i="19" s="1"/>
  <c r="AI148" i="15"/>
  <c r="AG148" i="15"/>
  <c r="AF148" i="15" s="1"/>
  <c r="E145" i="19" s="1"/>
  <c r="AI147" i="15"/>
  <c r="AG147" i="15"/>
  <c r="AF147" i="15" s="1"/>
  <c r="E144" i="19" s="1"/>
  <c r="AI146" i="15"/>
  <c r="AG146" i="15"/>
  <c r="AF146" i="15" s="1"/>
  <c r="E143" i="19" s="1"/>
  <c r="AI145" i="15"/>
  <c r="AG145" i="15"/>
  <c r="AF145" i="15"/>
  <c r="E142" i="19" s="1"/>
  <c r="AI144" i="15"/>
  <c r="AG144" i="15"/>
  <c r="AF144" i="15"/>
  <c r="E141" i="19" s="1"/>
  <c r="AI143" i="15"/>
  <c r="AG143" i="15"/>
  <c r="AF143" i="15"/>
  <c r="E140" i="19" s="1"/>
  <c r="AI142" i="15"/>
  <c r="AG142" i="15"/>
  <c r="AF142" i="15" s="1"/>
  <c r="E139" i="19" s="1"/>
  <c r="AI141" i="15"/>
  <c r="AG141" i="15"/>
  <c r="AF141" i="15" s="1"/>
  <c r="E138" i="19" s="1"/>
  <c r="AI140" i="15"/>
  <c r="AG140" i="15"/>
  <c r="AF140" i="15" s="1"/>
  <c r="E137" i="19" s="1"/>
  <c r="AI139" i="15"/>
  <c r="AG139" i="15"/>
  <c r="AF139" i="15" s="1"/>
  <c r="E136" i="19" s="1"/>
  <c r="AI138" i="15"/>
  <c r="AG138" i="15"/>
  <c r="AF138" i="15" s="1"/>
  <c r="E135" i="19" s="1"/>
  <c r="AI137" i="15"/>
  <c r="AG137" i="15"/>
  <c r="AF137" i="15"/>
  <c r="E134" i="19" s="1"/>
  <c r="AI136" i="15"/>
  <c r="AG136" i="15"/>
  <c r="AF136" i="15" s="1"/>
  <c r="E133" i="19" s="1"/>
  <c r="AI135" i="15"/>
  <c r="AG135" i="15"/>
  <c r="AF135" i="15" s="1"/>
  <c r="E132" i="19" s="1"/>
  <c r="AI134" i="15"/>
  <c r="AG134" i="15"/>
  <c r="AF134" i="15" s="1"/>
  <c r="E131" i="19" s="1"/>
  <c r="AI133" i="15"/>
  <c r="AG133" i="15"/>
  <c r="AF133" i="15"/>
  <c r="E130" i="19" s="1"/>
  <c r="AI132" i="15"/>
  <c r="AG132" i="15"/>
  <c r="AF132" i="15" s="1"/>
  <c r="E129" i="19" s="1"/>
  <c r="AI131" i="15"/>
  <c r="AG131" i="15"/>
  <c r="AF131" i="15" s="1"/>
  <c r="E128" i="19" s="1"/>
  <c r="AI130" i="15"/>
  <c r="AG130" i="15"/>
  <c r="AF130" i="15"/>
  <c r="E127" i="19" s="1"/>
  <c r="AI129" i="15"/>
  <c r="AG129" i="15"/>
  <c r="AF129" i="15"/>
  <c r="E126" i="19" s="1"/>
  <c r="AI128" i="15"/>
  <c r="AG128" i="15"/>
  <c r="AF128" i="15" s="1"/>
  <c r="E125" i="19" s="1"/>
  <c r="AI127" i="15"/>
  <c r="AG127" i="15"/>
  <c r="AF127" i="15" s="1"/>
  <c r="E124" i="19" s="1"/>
  <c r="AI126" i="15"/>
  <c r="AG126" i="15"/>
  <c r="AF126" i="15" s="1"/>
  <c r="E123" i="19" s="1"/>
  <c r="AI125" i="15"/>
  <c r="AG125" i="15"/>
  <c r="AF125" i="15" s="1"/>
  <c r="E122" i="19" s="1"/>
  <c r="AI124" i="15"/>
  <c r="AG124" i="15"/>
  <c r="AF124" i="15" s="1"/>
  <c r="E121" i="19" s="1"/>
  <c r="AI123" i="15"/>
  <c r="AG123" i="15"/>
  <c r="AF123" i="15" s="1"/>
  <c r="E120" i="19" s="1"/>
  <c r="AI122" i="15"/>
  <c r="AG122" i="15"/>
  <c r="AF122" i="15" s="1"/>
  <c r="E119" i="19" s="1"/>
  <c r="AI121" i="15"/>
  <c r="AG121" i="15"/>
  <c r="AF121" i="15"/>
  <c r="E118" i="19" s="1"/>
  <c r="AI120" i="15"/>
  <c r="AG120" i="15"/>
  <c r="AF120" i="15" s="1"/>
  <c r="E117" i="19" s="1"/>
  <c r="AI119" i="15"/>
  <c r="AG119" i="15"/>
  <c r="AF119" i="15"/>
  <c r="E116" i="19" s="1"/>
  <c r="AI118" i="15"/>
  <c r="AG118" i="15"/>
  <c r="AF118" i="15"/>
  <c r="E115" i="19" s="1"/>
  <c r="AI117" i="15"/>
  <c r="AG117" i="15"/>
  <c r="AF117" i="15" s="1"/>
  <c r="E114" i="19" s="1"/>
  <c r="AI116" i="15"/>
  <c r="AG116" i="15"/>
  <c r="AF116" i="15" s="1"/>
  <c r="E113" i="19" s="1"/>
  <c r="AI115" i="15"/>
  <c r="AG115" i="15"/>
  <c r="AF115" i="15"/>
  <c r="E112" i="19" s="1"/>
  <c r="AI114" i="15"/>
  <c r="AG114" i="15"/>
  <c r="AF114" i="15" s="1"/>
  <c r="E111" i="19" s="1"/>
  <c r="AI113" i="15"/>
  <c r="AG113" i="15"/>
  <c r="AF113" i="15"/>
  <c r="E110" i="19" s="1"/>
  <c r="AI112" i="15"/>
  <c r="AG112" i="15"/>
  <c r="AF112" i="15" s="1"/>
  <c r="E109" i="19" s="1"/>
  <c r="AI111" i="15"/>
  <c r="AG111" i="15"/>
  <c r="AF111" i="15" s="1"/>
  <c r="E108" i="19" s="1"/>
  <c r="AI110" i="15"/>
  <c r="AG110" i="15"/>
  <c r="AF110" i="15" s="1"/>
  <c r="E107" i="19" s="1"/>
  <c r="AI109" i="15"/>
  <c r="AG109" i="15"/>
  <c r="AF109" i="15" s="1"/>
  <c r="E106" i="19" s="1"/>
  <c r="AI108" i="15"/>
  <c r="AG108" i="15"/>
  <c r="AF108" i="15" s="1"/>
  <c r="E105" i="19" s="1"/>
  <c r="AI107" i="15"/>
  <c r="AG107" i="15"/>
  <c r="AF107" i="15" s="1"/>
  <c r="E104" i="19" s="1"/>
  <c r="AI106" i="15"/>
  <c r="AG106" i="15"/>
  <c r="AF106" i="15" s="1"/>
  <c r="E103" i="19" s="1"/>
  <c r="AI105" i="15"/>
  <c r="AG105" i="15"/>
  <c r="AF105" i="15"/>
  <c r="E102" i="19" s="1"/>
  <c r="AI104" i="15"/>
  <c r="AG104" i="15"/>
  <c r="AF104" i="15"/>
  <c r="E101" i="19" s="1"/>
  <c r="AI103" i="15"/>
  <c r="AG103" i="15"/>
  <c r="AF103" i="15" s="1"/>
  <c r="E100" i="19" s="1"/>
  <c r="AI102" i="15"/>
  <c r="AG102" i="15"/>
  <c r="AF102" i="15" s="1"/>
  <c r="E99" i="19" s="1"/>
  <c r="AI101" i="15"/>
  <c r="AG101" i="15"/>
  <c r="AF101" i="15" s="1"/>
  <c r="E98" i="19" s="1"/>
  <c r="AI100" i="15"/>
  <c r="AG100" i="15"/>
  <c r="AF100" i="15" s="1"/>
  <c r="E97" i="19" s="1"/>
  <c r="AI99" i="15"/>
  <c r="AG99" i="15"/>
  <c r="AF99" i="15" s="1"/>
  <c r="E96" i="19" s="1"/>
  <c r="AI98" i="15"/>
  <c r="AG98" i="15"/>
  <c r="AF98" i="15" s="1"/>
  <c r="E95" i="19" s="1"/>
  <c r="AI97" i="15"/>
  <c r="AG97" i="15"/>
  <c r="AF97" i="15"/>
  <c r="E94" i="19" s="1"/>
  <c r="AI96" i="15"/>
  <c r="AG96" i="15"/>
  <c r="AF96" i="15" s="1"/>
  <c r="E93" i="19" s="1"/>
  <c r="AI95" i="15"/>
  <c r="AG95" i="15"/>
  <c r="AF95" i="15" s="1"/>
  <c r="E92" i="19" s="1"/>
  <c r="AI94" i="15"/>
  <c r="AG94" i="15"/>
  <c r="AF94" i="15"/>
  <c r="E91" i="19" s="1"/>
  <c r="AI93" i="15"/>
  <c r="AG93" i="15"/>
  <c r="AF93" i="15"/>
  <c r="E90" i="19" s="1"/>
  <c r="AI92" i="15"/>
  <c r="AG92" i="15"/>
  <c r="AF92" i="15" s="1"/>
  <c r="E89" i="19" s="1"/>
  <c r="AI91" i="15"/>
  <c r="AG91" i="15"/>
  <c r="AF91" i="15"/>
  <c r="E88" i="19" s="1"/>
  <c r="AI90" i="15"/>
  <c r="AG90" i="15"/>
  <c r="AF90" i="15"/>
  <c r="E87" i="19" s="1"/>
  <c r="AI89" i="15"/>
  <c r="AG89" i="15"/>
  <c r="AF89" i="15"/>
  <c r="E86" i="19" s="1"/>
  <c r="AI88" i="15"/>
  <c r="AG88" i="15"/>
  <c r="AF88" i="15" s="1"/>
  <c r="E85" i="19" s="1"/>
  <c r="AI87" i="15"/>
  <c r="AG87" i="15"/>
  <c r="AF87" i="15" s="1"/>
  <c r="E84" i="19" s="1"/>
  <c r="AI86" i="15"/>
  <c r="AG86" i="15"/>
  <c r="AF86" i="15" s="1"/>
  <c r="E83" i="19" s="1"/>
  <c r="AI85" i="15"/>
  <c r="AG85" i="15"/>
  <c r="AF85" i="15" s="1"/>
  <c r="E82" i="19" s="1"/>
  <c r="AI84" i="15"/>
  <c r="AG84" i="15"/>
  <c r="AF84" i="15" s="1"/>
  <c r="E81" i="19" s="1"/>
  <c r="AI83" i="15"/>
  <c r="AG83" i="15"/>
  <c r="AF83" i="15" s="1"/>
  <c r="E80" i="19" s="1"/>
  <c r="AI82" i="15"/>
  <c r="AG82" i="15"/>
  <c r="AF82" i="15" s="1"/>
  <c r="E79" i="19" s="1"/>
  <c r="AI81" i="15"/>
  <c r="AG81" i="15"/>
  <c r="AF81" i="15"/>
  <c r="E78" i="19" s="1"/>
  <c r="AI80" i="15"/>
  <c r="AG80" i="15"/>
  <c r="AF80" i="15"/>
  <c r="E77" i="19" s="1"/>
  <c r="AI79" i="15"/>
  <c r="AG79" i="15"/>
  <c r="AF79" i="15"/>
  <c r="E76" i="19" s="1"/>
  <c r="AI78" i="15"/>
  <c r="AG78" i="15"/>
  <c r="AF78" i="15" s="1"/>
  <c r="E75" i="19" s="1"/>
  <c r="AI77" i="15"/>
  <c r="AG77" i="15"/>
  <c r="AF77" i="15" s="1"/>
  <c r="E74" i="19" s="1"/>
  <c r="AI76" i="15"/>
  <c r="AG76" i="15"/>
  <c r="AF76" i="15" s="1"/>
  <c r="E73" i="19" s="1"/>
  <c r="AI75" i="15"/>
  <c r="AG75" i="15"/>
  <c r="AF75" i="15" s="1"/>
  <c r="E72" i="19" s="1"/>
  <c r="AI74" i="15"/>
  <c r="AG74" i="15"/>
  <c r="AF74" i="15" s="1"/>
  <c r="E71" i="19" s="1"/>
  <c r="AI73" i="15"/>
  <c r="AG73" i="15"/>
  <c r="AF73" i="15"/>
  <c r="E70" i="19" s="1"/>
  <c r="AI72" i="15"/>
  <c r="AG72" i="15"/>
  <c r="AF72" i="15" s="1"/>
  <c r="E69" i="19" s="1"/>
  <c r="AI71" i="15"/>
  <c r="AG71" i="15"/>
  <c r="AF71" i="15" s="1"/>
  <c r="E68" i="19" s="1"/>
  <c r="AI70" i="15"/>
  <c r="AG70" i="15"/>
  <c r="AF70" i="15" s="1"/>
  <c r="E67" i="19" s="1"/>
  <c r="AI69" i="15"/>
  <c r="AG69" i="15"/>
  <c r="AF69" i="15"/>
  <c r="E66" i="19" s="1"/>
  <c r="AI68" i="15"/>
  <c r="AG68" i="15"/>
  <c r="AF68" i="15" s="1"/>
  <c r="E65" i="19" s="1"/>
  <c r="AI67" i="15"/>
  <c r="AG67" i="15"/>
  <c r="AF67" i="15" s="1"/>
  <c r="E64" i="19" s="1"/>
  <c r="AI66" i="15"/>
  <c r="AG66" i="15"/>
  <c r="AF66" i="15"/>
  <c r="E63" i="19" s="1"/>
  <c r="AI65" i="15"/>
  <c r="AG65" i="15"/>
  <c r="AF65" i="15"/>
  <c r="E62" i="19" s="1"/>
  <c r="AI64" i="15"/>
  <c r="AG64" i="15"/>
  <c r="AF64" i="15" s="1"/>
  <c r="E61" i="19" s="1"/>
  <c r="AI63" i="15"/>
  <c r="AG63" i="15"/>
  <c r="AF63" i="15" s="1"/>
  <c r="E60" i="19" s="1"/>
  <c r="AI62" i="15"/>
  <c r="AG62" i="15"/>
  <c r="AF62" i="15"/>
  <c r="E59" i="19" s="1"/>
  <c r="AI61" i="15"/>
  <c r="AG61" i="15"/>
  <c r="AF61" i="15" s="1"/>
  <c r="E58" i="19" s="1"/>
  <c r="AI60" i="15"/>
  <c r="AG60" i="15"/>
  <c r="AF60" i="15" s="1"/>
  <c r="E57" i="19" s="1"/>
  <c r="AI59" i="15"/>
  <c r="AG59" i="15"/>
  <c r="AF59" i="15"/>
  <c r="E56" i="19" s="1"/>
  <c r="AI58" i="15"/>
  <c r="AG58" i="15"/>
  <c r="AF58" i="15" s="1"/>
  <c r="E55" i="19" s="1"/>
  <c r="AI57" i="15"/>
  <c r="AG57" i="15"/>
  <c r="AF57" i="15"/>
  <c r="E54" i="19" s="1"/>
  <c r="AI56" i="15"/>
  <c r="AG56" i="15"/>
  <c r="AF56" i="15" s="1"/>
  <c r="E53" i="19" s="1"/>
  <c r="AI55" i="15"/>
  <c r="AG55" i="15"/>
  <c r="AF55" i="15"/>
  <c r="E52" i="19" s="1"/>
  <c r="AI54" i="15"/>
  <c r="AG54" i="15"/>
  <c r="AF54" i="15"/>
  <c r="E51" i="19" s="1"/>
  <c r="AI53" i="15"/>
  <c r="AG53" i="15"/>
  <c r="AF53" i="15" s="1"/>
  <c r="E50" i="19" s="1"/>
  <c r="AI52" i="15"/>
  <c r="AG52" i="15"/>
  <c r="AF52" i="15" s="1"/>
  <c r="E49" i="19" s="1"/>
  <c r="AI51" i="15"/>
  <c r="AG51" i="15"/>
  <c r="AF51" i="15"/>
  <c r="E48" i="19" s="1"/>
  <c r="AI50" i="15"/>
  <c r="AG50" i="15"/>
  <c r="AF50" i="15" s="1"/>
  <c r="E47" i="19" s="1"/>
  <c r="AI49" i="15"/>
  <c r="AG49" i="15"/>
  <c r="AF49" i="15"/>
  <c r="E46" i="19" s="1"/>
  <c r="AI48" i="15"/>
  <c r="AG48" i="15"/>
  <c r="AF48" i="15"/>
  <c r="E45" i="19" s="1"/>
  <c r="AI47" i="15"/>
  <c r="AG47" i="15"/>
  <c r="AF47" i="15" s="1"/>
  <c r="E44" i="19" s="1"/>
  <c r="AI46" i="15"/>
  <c r="AG46" i="15"/>
  <c r="AF46" i="15" s="1"/>
  <c r="E43" i="19" s="1"/>
  <c r="AI45" i="15"/>
  <c r="AG45" i="15"/>
  <c r="AF45" i="15" s="1"/>
  <c r="E42" i="19" s="1"/>
  <c r="AI44" i="15"/>
  <c r="AG44" i="15"/>
  <c r="AF44" i="15" s="1"/>
  <c r="E41" i="19" s="1"/>
  <c r="AI43" i="15"/>
  <c r="AG43" i="15"/>
  <c r="AF43" i="15" s="1"/>
  <c r="E40" i="19" s="1"/>
  <c r="AI42" i="15"/>
  <c r="AG42" i="15"/>
  <c r="AF42" i="15" s="1"/>
  <c r="E39" i="19" s="1"/>
  <c r="AI41" i="15"/>
  <c r="AG41" i="15"/>
  <c r="AF41" i="15"/>
  <c r="E38" i="19" s="1"/>
  <c r="AI40" i="15"/>
  <c r="AG40" i="15"/>
  <c r="AF40" i="15"/>
  <c r="E37" i="19" s="1"/>
  <c r="AI39" i="15"/>
  <c r="AG39" i="15"/>
  <c r="AF39" i="15" s="1"/>
  <c r="E36" i="19" s="1"/>
  <c r="AI38" i="15"/>
  <c r="AG38" i="15"/>
  <c r="AF38" i="15" s="1"/>
  <c r="E35" i="19" s="1"/>
  <c r="AI37" i="15"/>
  <c r="AG37" i="15"/>
  <c r="AF37" i="15"/>
  <c r="E34" i="19" s="1"/>
  <c r="AI36" i="15"/>
  <c r="AG36" i="15"/>
  <c r="AF36" i="15" s="1"/>
  <c r="E33" i="19" s="1"/>
  <c r="AI35" i="15"/>
  <c r="AG35" i="15"/>
  <c r="AF35" i="15" s="1"/>
  <c r="E32" i="19" s="1"/>
  <c r="AI34" i="15"/>
  <c r="AG34" i="15"/>
  <c r="AF34" i="15"/>
  <c r="E31" i="19" s="1"/>
  <c r="AI33" i="15"/>
  <c r="AG33" i="15"/>
  <c r="AF33" i="15"/>
  <c r="E30" i="19" s="1"/>
  <c r="AI32" i="15"/>
  <c r="AG32" i="15"/>
  <c r="AF32" i="15" s="1"/>
  <c r="E29" i="19" s="1"/>
  <c r="AI31" i="15"/>
  <c r="AG31" i="15"/>
  <c r="AF31" i="15" s="1"/>
  <c r="E28" i="19" s="1"/>
  <c r="AI30" i="15"/>
  <c r="AG30" i="15"/>
  <c r="AF30" i="15"/>
  <c r="E27" i="19" s="1"/>
  <c r="AI29" i="15"/>
  <c r="AG29" i="15"/>
  <c r="AF29" i="15"/>
  <c r="E26" i="19" s="1"/>
  <c r="AI28" i="15"/>
  <c r="AG28" i="15"/>
  <c r="AF28" i="15" s="1"/>
  <c r="E25" i="19" s="1"/>
  <c r="AI27" i="15"/>
  <c r="AG27" i="15"/>
  <c r="AF27" i="15"/>
  <c r="E24" i="19" s="1"/>
  <c r="AI26" i="15"/>
  <c r="AG26" i="15"/>
  <c r="AF26" i="15"/>
  <c r="E23" i="19" s="1"/>
  <c r="AI25" i="15"/>
  <c r="AG25" i="15"/>
  <c r="AF25" i="15"/>
  <c r="E22" i="19" s="1"/>
  <c r="AI24" i="15"/>
  <c r="AG24" i="15"/>
  <c r="AF24" i="15" s="1"/>
  <c r="E21" i="19" s="1"/>
  <c r="AI23" i="15"/>
  <c r="AG23" i="15"/>
  <c r="AF23" i="15"/>
  <c r="E20" i="19" s="1"/>
  <c r="AI22" i="15"/>
  <c r="AG22" i="15"/>
  <c r="AF22" i="15" s="1"/>
  <c r="E19" i="19" s="1"/>
  <c r="AI21" i="15"/>
  <c r="AG21" i="15"/>
  <c r="AF21" i="15" s="1"/>
  <c r="E18" i="19" s="1"/>
  <c r="AI20" i="15"/>
  <c r="AG20" i="15"/>
  <c r="AF20" i="15" s="1"/>
  <c r="E17" i="19" s="1"/>
  <c r="AI19" i="15"/>
  <c r="AG19" i="15"/>
  <c r="AF19" i="15" s="1"/>
  <c r="E16" i="19" s="1"/>
  <c r="AI18" i="15"/>
  <c r="AG18" i="15"/>
  <c r="AF18" i="15" s="1"/>
  <c r="E15" i="19" s="1"/>
  <c r="AI17" i="15"/>
  <c r="AG17" i="15"/>
  <c r="AF17" i="15"/>
  <c r="E14" i="19" s="1"/>
  <c r="AI16" i="15"/>
  <c r="AG16" i="15"/>
  <c r="AF16" i="15"/>
  <c r="E13" i="19" s="1"/>
  <c r="AI15" i="15"/>
  <c r="AG15" i="15"/>
  <c r="AF15" i="15"/>
  <c r="E12" i="19" s="1"/>
  <c r="AI14" i="15"/>
  <c r="AG14" i="15"/>
  <c r="AF14" i="15" s="1"/>
  <c r="E11" i="19" s="1"/>
  <c r="AI13" i="15"/>
  <c r="AG13" i="15"/>
  <c r="AF13" i="15" s="1"/>
  <c r="E10" i="19" s="1"/>
  <c r="AI12" i="15"/>
  <c r="AG12" i="15"/>
  <c r="AF12" i="15" s="1"/>
  <c r="E9" i="19" s="1"/>
  <c r="AI11" i="15"/>
  <c r="AG11" i="15"/>
  <c r="AF11" i="15" s="1"/>
  <c r="E8" i="19" s="1"/>
  <c r="AI10" i="15"/>
  <c r="AG10" i="15"/>
  <c r="AF10" i="15" s="1"/>
  <c r="E7" i="19" s="1"/>
  <c r="AI9" i="15"/>
  <c r="AG9" i="15"/>
  <c r="AF9" i="15" s="1"/>
  <c r="E6" i="19" s="1"/>
  <c r="AI500" i="14"/>
  <c r="AG500" i="14"/>
  <c r="AF500" i="14" s="1"/>
  <c r="E497" i="18" s="1"/>
  <c r="AI499" i="14"/>
  <c r="AG499" i="14"/>
  <c r="AF499" i="14" s="1"/>
  <c r="E496" i="18" s="1"/>
  <c r="AI498" i="14"/>
  <c r="AG498" i="14"/>
  <c r="AF498" i="14" s="1"/>
  <c r="E495" i="18" s="1"/>
  <c r="AI497" i="14"/>
  <c r="AG497" i="14"/>
  <c r="AF497" i="14" s="1"/>
  <c r="E494" i="18" s="1"/>
  <c r="AI496" i="14"/>
  <c r="AG496" i="14"/>
  <c r="AF496" i="14"/>
  <c r="E493" i="18" s="1"/>
  <c r="AI495" i="14"/>
  <c r="AG495" i="14"/>
  <c r="AF495" i="14" s="1"/>
  <c r="E492" i="18" s="1"/>
  <c r="AI494" i="14"/>
  <c r="AG494" i="14"/>
  <c r="AF494" i="14" s="1"/>
  <c r="E491" i="18" s="1"/>
  <c r="AI493" i="14"/>
  <c r="AG493" i="14"/>
  <c r="AF493" i="14"/>
  <c r="E490" i="18" s="1"/>
  <c r="AI492" i="14"/>
  <c r="AG492" i="14"/>
  <c r="AF492" i="14"/>
  <c r="E489" i="18" s="1"/>
  <c r="AI491" i="14"/>
  <c r="AG491" i="14"/>
  <c r="AF491" i="14" s="1"/>
  <c r="E488" i="18" s="1"/>
  <c r="AI490" i="14"/>
  <c r="AG490" i="14"/>
  <c r="AF490" i="14" s="1"/>
  <c r="E487" i="18" s="1"/>
  <c r="AI489" i="14"/>
  <c r="AG489" i="14"/>
  <c r="AF489" i="14"/>
  <c r="E486" i="18" s="1"/>
  <c r="AI488" i="14"/>
  <c r="AG488" i="14"/>
  <c r="AF488" i="14" s="1"/>
  <c r="E485" i="18" s="1"/>
  <c r="AI487" i="14"/>
  <c r="AG487" i="14"/>
  <c r="AF487" i="14" s="1"/>
  <c r="E484" i="18" s="1"/>
  <c r="AI486" i="14"/>
  <c r="AG486" i="14"/>
  <c r="AF486" i="14"/>
  <c r="E483" i="18" s="1"/>
  <c r="AI485" i="14"/>
  <c r="AG485" i="14"/>
  <c r="AF485" i="14" s="1"/>
  <c r="E482" i="18" s="1"/>
  <c r="AI484" i="14"/>
  <c r="AG484" i="14"/>
  <c r="AF484" i="14" s="1"/>
  <c r="E481" i="18" s="1"/>
  <c r="AI483" i="14"/>
  <c r="AG483" i="14"/>
  <c r="AF483" i="14"/>
  <c r="E480" i="18" s="1"/>
  <c r="AI482" i="14"/>
  <c r="AG482" i="14"/>
  <c r="AF482" i="14" s="1"/>
  <c r="E479" i="18" s="1"/>
  <c r="AI481" i="14"/>
  <c r="AG481" i="14"/>
  <c r="AF481" i="14"/>
  <c r="E478" i="18" s="1"/>
  <c r="AI480" i="14"/>
  <c r="AG480" i="14"/>
  <c r="AF480" i="14" s="1"/>
  <c r="E477" i="18" s="1"/>
  <c r="AI479" i="14"/>
  <c r="AG479" i="14"/>
  <c r="AF479" i="14"/>
  <c r="E476" i="18" s="1"/>
  <c r="AI478" i="14"/>
  <c r="AG478" i="14"/>
  <c r="AF478" i="14"/>
  <c r="E475" i="18" s="1"/>
  <c r="AI477" i="14"/>
  <c r="AG477" i="14"/>
  <c r="AF477" i="14" s="1"/>
  <c r="E474" i="18" s="1"/>
  <c r="AI476" i="14"/>
  <c r="AG476" i="14"/>
  <c r="AF476" i="14"/>
  <c r="E473" i="18" s="1"/>
  <c r="AI475" i="14"/>
  <c r="AG475" i="14"/>
  <c r="AF475" i="14" s="1"/>
  <c r="E472" i="18" s="1"/>
  <c r="AI474" i="14"/>
  <c r="AG474" i="14"/>
  <c r="AF474" i="14" s="1"/>
  <c r="E471" i="18" s="1"/>
  <c r="AI473" i="14"/>
  <c r="AG473" i="14"/>
  <c r="AF473" i="14"/>
  <c r="E470" i="18" s="1"/>
  <c r="AI472" i="14"/>
  <c r="AG472" i="14"/>
  <c r="AF472" i="14"/>
  <c r="E469" i="18" s="1"/>
  <c r="AI471" i="14"/>
  <c r="AG471" i="14"/>
  <c r="AF471" i="14" s="1"/>
  <c r="E468" i="18" s="1"/>
  <c r="AI470" i="14"/>
  <c r="AG470" i="14"/>
  <c r="AF470" i="14"/>
  <c r="E467" i="18" s="1"/>
  <c r="AI469" i="14"/>
  <c r="AG469" i="14"/>
  <c r="AF469" i="14"/>
  <c r="E466" i="18" s="1"/>
  <c r="AI468" i="14"/>
  <c r="AG468" i="14"/>
  <c r="AF468" i="14" s="1"/>
  <c r="E465" i="18" s="1"/>
  <c r="AI467" i="14"/>
  <c r="AG467" i="14"/>
  <c r="AF467" i="14" s="1"/>
  <c r="E464" i="18" s="1"/>
  <c r="AI466" i="14"/>
  <c r="AG466" i="14"/>
  <c r="AF466" i="14"/>
  <c r="E463" i="18" s="1"/>
  <c r="AI465" i="14"/>
  <c r="AG465" i="14"/>
  <c r="AF465" i="14" s="1"/>
  <c r="E462" i="18" s="1"/>
  <c r="AI464" i="14"/>
  <c r="AG464" i="14"/>
  <c r="AF464" i="14"/>
  <c r="E461" i="18" s="1"/>
  <c r="AI463" i="14"/>
  <c r="AG463" i="14"/>
  <c r="AF463" i="14"/>
  <c r="E460" i="18" s="1"/>
  <c r="AI462" i="14"/>
  <c r="AG462" i="14"/>
  <c r="AF462" i="14" s="1"/>
  <c r="E459" i="18" s="1"/>
  <c r="AI461" i="14"/>
  <c r="AG461" i="14"/>
  <c r="AF461" i="14" s="1"/>
  <c r="E458" i="18" s="1"/>
  <c r="AI460" i="14"/>
  <c r="AG460" i="14"/>
  <c r="AF460" i="14"/>
  <c r="E457" i="18" s="1"/>
  <c r="AI459" i="14"/>
  <c r="AG459" i="14"/>
  <c r="AF459" i="14" s="1"/>
  <c r="E456" i="18" s="1"/>
  <c r="AI458" i="14"/>
  <c r="AG458" i="14"/>
  <c r="AF458" i="14"/>
  <c r="E455" i="18" s="1"/>
  <c r="AI457" i="14"/>
  <c r="AG457" i="14"/>
  <c r="AF457" i="14"/>
  <c r="E454" i="18" s="1"/>
  <c r="AI456" i="14"/>
  <c r="AG456" i="14"/>
  <c r="AF456" i="14" s="1"/>
  <c r="E453" i="18" s="1"/>
  <c r="AI455" i="14"/>
  <c r="AG455" i="14"/>
  <c r="AF455" i="14" s="1"/>
  <c r="E452" i="18" s="1"/>
  <c r="AI454" i="14"/>
  <c r="AG454" i="14"/>
  <c r="AF454" i="14" s="1"/>
  <c r="E451" i="18" s="1"/>
  <c r="AI453" i="14"/>
  <c r="AG453" i="14"/>
  <c r="AF453" i="14" s="1"/>
  <c r="E450" i="18" s="1"/>
  <c r="AI452" i="14"/>
  <c r="AG452" i="14"/>
  <c r="AF452" i="14" s="1"/>
  <c r="E449" i="18" s="1"/>
  <c r="AI451" i="14"/>
  <c r="AG451" i="14"/>
  <c r="AF451" i="14"/>
  <c r="E448" i="18" s="1"/>
  <c r="AI450" i="14"/>
  <c r="AG450" i="14"/>
  <c r="AF450" i="14" s="1"/>
  <c r="E447" i="18" s="1"/>
  <c r="AI449" i="14"/>
  <c r="AG449" i="14"/>
  <c r="AF449" i="14"/>
  <c r="E446" i="18" s="1"/>
  <c r="AI448" i="14"/>
  <c r="AG448" i="14"/>
  <c r="AF448" i="14" s="1"/>
  <c r="E445" i="18" s="1"/>
  <c r="AI447" i="14"/>
  <c r="AG447" i="14"/>
  <c r="AF447" i="14" s="1"/>
  <c r="E444" i="18" s="1"/>
  <c r="AI446" i="14"/>
  <c r="AG446" i="14"/>
  <c r="AF446" i="14"/>
  <c r="E443" i="18" s="1"/>
  <c r="AI445" i="14"/>
  <c r="AG445" i="14"/>
  <c r="AF445" i="14" s="1"/>
  <c r="E442" i="18" s="1"/>
  <c r="AI444" i="14"/>
  <c r="AG444" i="14"/>
  <c r="AF444" i="14" s="1"/>
  <c r="E441" i="18" s="1"/>
  <c r="AI443" i="14"/>
  <c r="AG443" i="14"/>
  <c r="AF443" i="14" s="1"/>
  <c r="E440" i="18" s="1"/>
  <c r="AI442" i="14"/>
  <c r="AG442" i="14"/>
  <c r="AF442" i="14"/>
  <c r="E439" i="18" s="1"/>
  <c r="AI441" i="14"/>
  <c r="AG441" i="14"/>
  <c r="AF441" i="14" s="1"/>
  <c r="E438" i="18" s="1"/>
  <c r="AI440" i="14"/>
  <c r="AG440" i="14"/>
  <c r="AF440" i="14"/>
  <c r="E437" i="18" s="1"/>
  <c r="AI439" i="14"/>
  <c r="AG439" i="14"/>
  <c r="AF439" i="14" s="1"/>
  <c r="E436" i="18" s="1"/>
  <c r="AI438" i="14"/>
  <c r="AG438" i="14"/>
  <c r="AF438" i="14" s="1"/>
  <c r="E435" i="18" s="1"/>
  <c r="AI437" i="14"/>
  <c r="AG437" i="14"/>
  <c r="AF437" i="14" s="1"/>
  <c r="E434" i="18" s="1"/>
  <c r="AI436" i="14"/>
  <c r="AG436" i="14"/>
  <c r="AF436" i="14" s="1"/>
  <c r="E433" i="18" s="1"/>
  <c r="AI435" i="14"/>
  <c r="AG435" i="14"/>
  <c r="AF435" i="14"/>
  <c r="E432" i="18" s="1"/>
  <c r="AI434" i="14"/>
  <c r="AG434" i="14"/>
  <c r="AF434" i="14" s="1"/>
  <c r="E431" i="18" s="1"/>
  <c r="AI433" i="14"/>
  <c r="AG433" i="14"/>
  <c r="AF433" i="14" s="1"/>
  <c r="E430" i="18" s="1"/>
  <c r="AI432" i="14"/>
  <c r="AG432" i="14"/>
  <c r="AF432" i="14" s="1"/>
  <c r="E429" i="18" s="1"/>
  <c r="AI431" i="14"/>
  <c r="AG431" i="14"/>
  <c r="AF431" i="14" s="1"/>
  <c r="E428" i="18" s="1"/>
  <c r="AI430" i="14"/>
  <c r="AG430" i="14"/>
  <c r="AF430" i="14" s="1"/>
  <c r="E427" i="18" s="1"/>
  <c r="AI429" i="14"/>
  <c r="AG429" i="14"/>
  <c r="AF429" i="14" s="1"/>
  <c r="E426" i="18" s="1"/>
  <c r="AI428" i="14"/>
  <c r="AG428" i="14"/>
  <c r="AF428" i="14" s="1"/>
  <c r="E425" i="18" s="1"/>
  <c r="AI427" i="14"/>
  <c r="AG427" i="14"/>
  <c r="AF427" i="14" s="1"/>
  <c r="E424" i="18" s="1"/>
  <c r="AI426" i="14"/>
  <c r="AG426" i="14"/>
  <c r="AF426" i="14"/>
  <c r="E423" i="18" s="1"/>
  <c r="AI425" i="14"/>
  <c r="AG425" i="14"/>
  <c r="AF425" i="14" s="1"/>
  <c r="E422" i="18" s="1"/>
  <c r="AI424" i="14"/>
  <c r="AG424" i="14"/>
  <c r="AF424" i="14"/>
  <c r="E421" i="18" s="1"/>
  <c r="AI423" i="14"/>
  <c r="AG423" i="14"/>
  <c r="AF423" i="14" s="1"/>
  <c r="E420" i="18" s="1"/>
  <c r="AI422" i="14"/>
  <c r="AG422" i="14"/>
  <c r="AF422" i="14" s="1"/>
  <c r="E419" i="18" s="1"/>
  <c r="AI421" i="14"/>
  <c r="AG421" i="14"/>
  <c r="AF421" i="14" s="1"/>
  <c r="E418" i="18" s="1"/>
  <c r="AI420" i="14"/>
  <c r="AG420" i="14"/>
  <c r="AF420" i="14" s="1"/>
  <c r="E417" i="18" s="1"/>
  <c r="AI419" i="14"/>
  <c r="AG419" i="14"/>
  <c r="AF419" i="14" s="1"/>
  <c r="E416" i="18" s="1"/>
  <c r="AI418" i="14"/>
  <c r="AG418" i="14"/>
  <c r="AF418" i="14" s="1"/>
  <c r="E415" i="18" s="1"/>
  <c r="AI417" i="14"/>
  <c r="AG417" i="14"/>
  <c r="AF417" i="14" s="1"/>
  <c r="E414" i="18" s="1"/>
  <c r="AI416" i="14"/>
  <c r="AG416" i="14"/>
  <c r="AF416" i="14" s="1"/>
  <c r="E413" i="18" s="1"/>
  <c r="AI415" i="14"/>
  <c r="AG415" i="14"/>
  <c r="AF415" i="14" s="1"/>
  <c r="E412" i="18" s="1"/>
  <c r="AI414" i="14"/>
  <c r="AG414" i="14"/>
  <c r="AF414" i="14" s="1"/>
  <c r="E411" i="18" s="1"/>
  <c r="AI413" i="14"/>
  <c r="AG413" i="14"/>
  <c r="AF413" i="14" s="1"/>
  <c r="E410" i="18" s="1"/>
  <c r="AI412" i="14"/>
  <c r="AG412" i="14"/>
  <c r="AF412" i="14" s="1"/>
  <c r="E409" i="18" s="1"/>
  <c r="AI411" i="14"/>
  <c r="AG411" i="14"/>
  <c r="AF411" i="14" s="1"/>
  <c r="E408" i="18" s="1"/>
  <c r="AI410" i="14"/>
  <c r="AG410" i="14"/>
  <c r="AF410" i="14" s="1"/>
  <c r="E407" i="18" s="1"/>
  <c r="AI409" i="14"/>
  <c r="AG409" i="14"/>
  <c r="AF409" i="14" s="1"/>
  <c r="E406" i="18" s="1"/>
  <c r="AI408" i="14"/>
  <c r="AG408" i="14"/>
  <c r="AF408" i="14"/>
  <c r="E405" i="18" s="1"/>
  <c r="AI407" i="14"/>
  <c r="AG407" i="14"/>
  <c r="AF407" i="14" s="1"/>
  <c r="E404" i="18" s="1"/>
  <c r="AI406" i="14"/>
  <c r="AG406" i="14"/>
  <c r="AF406" i="14" s="1"/>
  <c r="E403" i="18" s="1"/>
  <c r="AI405" i="14"/>
  <c r="AG405" i="14"/>
  <c r="AF405" i="14" s="1"/>
  <c r="E402" i="18" s="1"/>
  <c r="AI404" i="14"/>
  <c r="AG404" i="14"/>
  <c r="AF404" i="14" s="1"/>
  <c r="E401" i="18" s="1"/>
  <c r="AI403" i="14"/>
  <c r="AG403" i="14"/>
  <c r="AF403" i="14" s="1"/>
  <c r="E400" i="18" s="1"/>
  <c r="AI402" i="14"/>
  <c r="AG402" i="14"/>
  <c r="AF402" i="14" s="1"/>
  <c r="E399" i="18" s="1"/>
  <c r="AI401" i="14"/>
  <c r="AG401" i="14"/>
  <c r="AF401" i="14"/>
  <c r="E398" i="18" s="1"/>
  <c r="AI400" i="14"/>
  <c r="AG400" i="14"/>
  <c r="AF400" i="14" s="1"/>
  <c r="E397" i="18" s="1"/>
  <c r="AI399" i="14"/>
  <c r="AG399" i="14"/>
  <c r="AF399" i="14" s="1"/>
  <c r="E396" i="18" s="1"/>
  <c r="AI398" i="14"/>
  <c r="AG398" i="14"/>
  <c r="AF398" i="14"/>
  <c r="E395" i="18" s="1"/>
  <c r="AI397" i="14"/>
  <c r="AG397" i="14"/>
  <c r="AF397" i="14" s="1"/>
  <c r="E394" i="18" s="1"/>
  <c r="AI396" i="14"/>
  <c r="AG396" i="14"/>
  <c r="AF396" i="14" s="1"/>
  <c r="E393" i="18" s="1"/>
  <c r="AI395" i="14"/>
  <c r="AG395" i="14"/>
  <c r="AF395" i="14" s="1"/>
  <c r="E392" i="18" s="1"/>
  <c r="AI394" i="14"/>
  <c r="AG394" i="14"/>
  <c r="AF394" i="14" s="1"/>
  <c r="E391" i="18" s="1"/>
  <c r="AI393" i="14"/>
  <c r="AG393" i="14"/>
  <c r="AF393" i="14"/>
  <c r="E390" i="18" s="1"/>
  <c r="AI392" i="14"/>
  <c r="AG392" i="14"/>
  <c r="AF392" i="14" s="1"/>
  <c r="E389" i="18" s="1"/>
  <c r="AI391" i="14"/>
  <c r="AG391" i="14"/>
  <c r="AF391" i="14" s="1"/>
  <c r="E388" i="18" s="1"/>
  <c r="AI390" i="14"/>
  <c r="AG390" i="14"/>
  <c r="AF390" i="14" s="1"/>
  <c r="E387" i="18" s="1"/>
  <c r="AI389" i="14"/>
  <c r="AG389" i="14"/>
  <c r="AF389" i="14" s="1"/>
  <c r="E386" i="18" s="1"/>
  <c r="AI388" i="14"/>
  <c r="AG388" i="14"/>
  <c r="AF388" i="14" s="1"/>
  <c r="E385" i="18" s="1"/>
  <c r="AI387" i="14"/>
  <c r="AG387" i="14"/>
  <c r="AF387" i="14"/>
  <c r="E384" i="18" s="1"/>
  <c r="AI386" i="14"/>
  <c r="AG386" i="14"/>
  <c r="AF386" i="14" s="1"/>
  <c r="E383" i="18" s="1"/>
  <c r="AI385" i="14"/>
  <c r="AG385" i="14"/>
  <c r="AF385" i="14"/>
  <c r="E382" i="18" s="1"/>
  <c r="AI384" i="14"/>
  <c r="AG384" i="14"/>
  <c r="AF384" i="14" s="1"/>
  <c r="E381" i="18" s="1"/>
  <c r="AI383" i="14"/>
  <c r="AG383" i="14"/>
  <c r="AF383" i="14" s="1"/>
  <c r="E380" i="18" s="1"/>
  <c r="AI382" i="14"/>
  <c r="AG382" i="14"/>
  <c r="AF382" i="14" s="1"/>
  <c r="E379" i="18" s="1"/>
  <c r="AI381" i="14"/>
  <c r="AG381" i="14"/>
  <c r="AF381" i="14" s="1"/>
  <c r="E378" i="18" s="1"/>
  <c r="AI380" i="14"/>
  <c r="AG380" i="14"/>
  <c r="AF380" i="14" s="1"/>
  <c r="E377" i="18" s="1"/>
  <c r="AI379" i="14"/>
  <c r="AG379" i="14"/>
  <c r="AF379" i="14" s="1"/>
  <c r="E376" i="18" s="1"/>
  <c r="AI378" i="14"/>
  <c r="AG378" i="14"/>
  <c r="AF378" i="14"/>
  <c r="E375" i="18" s="1"/>
  <c r="AI377" i="14"/>
  <c r="AG377" i="14"/>
  <c r="AF377" i="14"/>
  <c r="E374" i="18" s="1"/>
  <c r="AI376" i="14"/>
  <c r="AG376" i="14"/>
  <c r="AF376" i="14" s="1"/>
  <c r="E373" i="18" s="1"/>
  <c r="AI375" i="14"/>
  <c r="AG375" i="14"/>
  <c r="AF375" i="14" s="1"/>
  <c r="E372" i="18" s="1"/>
  <c r="AI374" i="14"/>
  <c r="AG374" i="14"/>
  <c r="AF374" i="14" s="1"/>
  <c r="E371" i="18" s="1"/>
  <c r="AI373" i="14"/>
  <c r="AG373" i="14"/>
  <c r="AF373" i="14" s="1"/>
  <c r="E370" i="18" s="1"/>
  <c r="AI372" i="14"/>
  <c r="AG372" i="14"/>
  <c r="AF372" i="14" s="1"/>
  <c r="E369" i="18" s="1"/>
  <c r="AI371" i="14"/>
  <c r="AG371" i="14"/>
  <c r="AF371" i="14" s="1"/>
  <c r="E368" i="18" s="1"/>
  <c r="AI370" i="14"/>
  <c r="AG370" i="14"/>
  <c r="AF370" i="14" s="1"/>
  <c r="E367" i="18" s="1"/>
  <c r="AI369" i="14"/>
  <c r="AG369" i="14"/>
  <c r="AF369" i="14"/>
  <c r="E366" i="18" s="1"/>
  <c r="AI368" i="14"/>
  <c r="AG368" i="14"/>
  <c r="AF368" i="14" s="1"/>
  <c r="E365" i="18" s="1"/>
  <c r="AI367" i="14"/>
  <c r="AG367" i="14"/>
  <c r="AF367" i="14" s="1"/>
  <c r="E364" i="18" s="1"/>
  <c r="AI366" i="14"/>
  <c r="AG366" i="14"/>
  <c r="AF366" i="14"/>
  <c r="E363" i="18" s="1"/>
  <c r="AI365" i="14"/>
  <c r="AG365" i="14"/>
  <c r="AF365" i="14" s="1"/>
  <c r="E362" i="18" s="1"/>
  <c r="AI364" i="14"/>
  <c r="AG364" i="14"/>
  <c r="AF364" i="14" s="1"/>
  <c r="E361" i="18" s="1"/>
  <c r="AI363" i="14"/>
  <c r="AG363" i="14"/>
  <c r="AF363" i="14" s="1"/>
  <c r="E360" i="18" s="1"/>
  <c r="AI362" i="14"/>
  <c r="AG362" i="14"/>
  <c r="AF362" i="14" s="1"/>
  <c r="E359" i="18" s="1"/>
  <c r="AI361" i="14"/>
  <c r="AG361" i="14"/>
  <c r="AF361" i="14"/>
  <c r="E358" i="18" s="1"/>
  <c r="AI360" i="14"/>
  <c r="AG360" i="14"/>
  <c r="AF360" i="14" s="1"/>
  <c r="E357" i="18" s="1"/>
  <c r="AI359" i="14"/>
  <c r="AG359" i="14"/>
  <c r="AF359" i="14" s="1"/>
  <c r="E356" i="18" s="1"/>
  <c r="AI358" i="14"/>
  <c r="AG358" i="14"/>
  <c r="AF358" i="14" s="1"/>
  <c r="E355" i="18" s="1"/>
  <c r="AI357" i="14"/>
  <c r="AG357" i="14"/>
  <c r="AF357" i="14" s="1"/>
  <c r="E354" i="18" s="1"/>
  <c r="AI356" i="14"/>
  <c r="AG356" i="14"/>
  <c r="AF356" i="14" s="1"/>
  <c r="E353" i="18" s="1"/>
  <c r="AI355" i="14"/>
  <c r="AG355" i="14"/>
  <c r="AF355" i="14" s="1"/>
  <c r="E352" i="18" s="1"/>
  <c r="AI354" i="14"/>
  <c r="AG354" i="14"/>
  <c r="AF354" i="14" s="1"/>
  <c r="E351" i="18" s="1"/>
  <c r="AI353" i="14"/>
  <c r="AG353" i="14"/>
  <c r="AF353" i="14"/>
  <c r="E350" i="18" s="1"/>
  <c r="AI352" i="14"/>
  <c r="AG352" i="14"/>
  <c r="AF352" i="14" s="1"/>
  <c r="E349" i="18" s="1"/>
  <c r="AI351" i="14"/>
  <c r="AG351" i="14"/>
  <c r="AF351" i="14" s="1"/>
  <c r="E348" i="18" s="1"/>
  <c r="AI350" i="14"/>
  <c r="AG350" i="14"/>
  <c r="AF350" i="14" s="1"/>
  <c r="E347" i="18" s="1"/>
  <c r="AI349" i="14"/>
  <c r="AG349" i="14"/>
  <c r="AF349" i="14" s="1"/>
  <c r="E346" i="18" s="1"/>
  <c r="AI348" i="14"/>
  <c r="AG348" i="14"/>
  <c r="AF348" i="14"/>
  <c r="E345" i="18" s="1"/>
  <c r="AI347" i="14"/>
  <c r="AG347" i="14"/>
  <c r="AF347" i="14" s="1"/>
  <c r="E344" i="18" s="1"/>
  <c r="AI346" i="14"/>
  <c r="AG346" i="14"/>
  <c r="AF346" i="14"/>
  <c r="E343" i="18" s="1"/>
  <c r="AI345" i="14"/>
  <c r="AG345" i="14"/>
  <c r="AF345" i="14"/>
  <c r="E342" i="18" s="1"/>
  <c r="AI344" i="14"/>
  <c r="AG344" i="14"/>
  <c r="AF344" i="14" s="1"/>
  <c r="E341" i="18" s="1"/>
  <c r="AI343" i="14"/>
  <c r="AG343" i="14"/>
  <c r="AF343" i="14" s="1"/>
  <c r="E340" i="18" s="1"/>
  <c r="AI342" i="14"/>
  <c r="AG342" i="14"/>
  <c r="AF342" i="14"/>
  <c r="E339" i="18" s="1"/>
  <c r="AI341" i="14"/>
  <c r="AG341" i="14"/>
  <c r="AF341" i="14" s="1"/>
  <c r="E338" i="18" s="1"/>
  <c r="AI340" i="14"/>
  <c r="AG340" i="14"/>
  <c r="AF340" i="14" s="1"/>
  <c r="E337" i="18" s="1"/>
  <c r="AI339" i="14"/>
  <c r="AG339" i="14"/>
  <c r="AF339" i="14"/>
  <c r="E336" i="18" s="1"/>
  <c r="AI338" i="14"/>
  <c r="AG338" i="14"/>
  <c r="AF338" i="14" s="1"/>
  <c r="E335" i="18" s="1"/>
  <c r="AI337" i="14"/>
  <c r="AG337" i="14"/>
  <c r="AF337" i="14"/>
  <c r="E334" i="18" s="1"/>
  <c r="AI336" i="14"/>
  <c r="AG336" i="14"/>
  <c r="AF336" i="14" s="1"/>
  <c r="E333" i="18" s="1"/>
  <c r="AI335" i="14"/>
  <c r="AG335" i="14"/>
  <c r="AF335" i="14" s="1"/>
  <c r="E332" i="18" s="1"/>
  <c r="AI334" i="14"/>
  <c r="AG334" i="14"/>
  <c r="AF334" i="14" s="1"/>
  <c r="E331" i="18" s="1"/>
  <c r="AI333" i="14"/>
  <c r="AG333" i="14"/>
  <c r="AF333" i="14"/>
  <c r="E330" i="18" s="1"/>
  <c r="AI332" i="14"/>
  <c r="AG332" i="14"/>
  <c r="AF332" i="14" s="1"/>
  <c r="E329" i="18" s="1"/>
  <c r="AI331" i="14"/>
  <c r="AG331" i="14"/>
  <c r="AF331" i="14" s="1"/>
  <c r="E328" i="18" s="1"/>
  <c r="AI330" i="14"/>
  <c r="AG330" i="14"/>
  <c r="AF330" i="14" s="1"/>
  <c r="E327" i="18" s="1"/>
  <c r="AI329" i="14"/>
  <c r="AG329" i="14"/>
  <c r="AF329" i="14" s="1"/>
  <c r="E326" i="18" s="1"/>
  <c r="AI328" i="14"/>
  <c r="AG328" i="14"/>
  <c r="AF328" i="14" s="1"/>
  <c r="E325" i="18" s="1"/>
  <c r="AI327" i="14"/>
  <c r="AG327" i="14"/>
  <c r="AF327" i="14" s="1"/>
  <c r="E324" i="18" s="1"/>
  <c r="AI326" i="14"/>
  <c r="AG326" i="14"/>
  <c r="AF326" i="14"/>
  <c r="E323" i="18" s="1"/>
  <c r="AI325" i="14"/>
  <c r="AG325" i="14"/>
  <c r="AF325" i="14" s="1"/>
  <c r="E322" i="18" s="1"/>
  <c r="AI324" i="14"/>
  <c r="AG324" i="14"/>
  <c r="AF324" i="14"/>
  <c r="E321" i="18" s="1"/>
  <c r="AI323" i="14"/>
  <c r="AG323" i="14"/>
  <c r="AF323" i="14" s="1"/>
  <c r="E320" i="18" s="1"/>
  <c r="AI322" i="14"/>
  <c r="AG322" i="14"/>
  <c r="AF322" i="14" s="1"/>
  <c r="E319" i="18" s="1"/>
  <c r="AI321" i="14"/>
  <c r="AG321" i="14"/>
  <c r="AF321" i="14" s="1"/>
  <c r="E318" i="18" s="1"/>
  <c r="AI320" i="14"/>
  <c r="AG320" i="14"/>
  <c r="AF320" i="14" s="1"/>
  <c r="E317" i="18" s="1"/>
  <c r="AI319" i="14"/>
  <c r="AG319" i="14"/>
  <c r="AF319" i="14" s="1"/>
  <c r="E316" i="18" s="1"/>
  <c r="AI318" i="14"/>
  <c r="AG318" i="14"/>
  <c r="AF318" i="14" s="1"/>
  <c r="E315" i="18" s="1"/>
  <c r="AI317" i="14"/>
  <c r="AG317" i="14"/>
  <c r="AF317" i="14" s="1"/>
  <c r="E314" i="18" s="1"/>
  <c r="AI316" i="14"/>
  <c r="AG316" i="14"/>
  <c r="AF316" i="14" s="1"/>
  <c r="E313" i="18" s="1"/>
  <c r="AI315" i="14"/>
  <c r="AG315" i="14"/>
  <c r="AF315" i="14" s="1"/>
  <c r="E312" i="18" s="1"/>
  <c r="AI314" i="14"/>
  <c r="AG314" i="14"/>
  <c r="AF314" i="14" s="1"/>
  <c r="E311" i="18" s="1"/>
  <c r="AI313" i="14"/>
  <c r="AG313" i="14"/>
  <c r="AF313" i="14" s="1"/>
  <c r="E310" i="18" s="1"/>
  <c r="AI312" i="14"/>
  <c r="AG312" i="14"/>
  <c r="AF312" i="14" s="1"/>
  <c r="E309" i="18" s="1"/>
  <c r="AI311" i="14"/>
  <c r="AG311" i="14"/>
  <c r="AF311" i="14" s="1"/>
  <c r="E308" i="18" s="1"/>
  <c r="AI310" i="14"/>
  <c r="AG310" i="14"/>
  <c r="AF310" i="14" s="1"/>
  <c r="E307" i="18" s="1"/>
  <c r="AI309" i="14"/>
  <c r="AG309" i="14"/>
  <c r="AF309" i="14" s="1"/>
  <c r="E306" i="18" s="1"/>
  <c r="AI308" i="14"/>
  <c r="AG308" i="14"/>
  <c r="AF308" i="14" s="1"/>
  <c r="E305" i="18" s="1"/>
  <c r="AI307" i="14"/>
  <c r="AG307" i="14"/>
  <c r="AF307" i="14" s="1"/>
  <c r="E304" i="18" s="1"/>
  <c r="AI306" i="14"/>
  <c r="AG306" i="14"/>
  <c r="AF306" i="14"/>
  <c r="E303" i="18" s="1"/>
  <c r="AI305" i="14"/>
  <c r="AG305" i="14"/>
  <c r="AF305" i="14" s="1"/>
  <c r="E302" i="18" s="1"/>
  <c r="AI304" i="14"/>
  <c r="AG304" i="14"/>
  <c r="AF304" i="14" s="1"/>
  <c r="E301" i="18" s="1"/>
  <c r="AI303" i="14"/>
  <c r="AG303" i="14"/>
  <c r="AF303" i="14" s="1"/>
  <c r="E300" i="18" s="1"/>
  <c r="AI302" i="14"/>
  <c r="AG302" i="14"/>
  <c r="AF302" i="14" s="1"/>
  <c r="E299" i="18" s="1"/>
  <c r="AI301" i="14"/>
  <c r="AG301" i="14"/>
  <c r="AF301" i="14" s="1"/>
  <c r="E298" i="18" s="1"/>
  <c r="AI300" i="14"/>
  <c r="AG300" i="14"/>
  <c r="AF300" i="14" s="1"/>
  <c r="E297" i="18" s="1"/>
  <c r="AI299" i="14"/>
  <c r="AG299" i="14"/>
  <c r="AF299" i="14" s="1"/>
  <c r="E296" i="18" s="1"/>
  <c r="AI298" i="14"/>
  <c r="AG298" i="14"/>
  <c r="AF298" i="14" s="1"/>
  <c r="E295" i="18" s="1"/>
  <c r="AI297" i="14"/>
  <c r="AG297" i="14"/>
  <c r="AF297" i="14" s="1"/>
  <c r="E294" i="18" s="1"/>
  <c r="AI296" i="14"/>
  <c r="AG296" i="14"/>
  <c r="AF296" i="14" s="1"/>
  <c r="E293" i="18" s="1"/>
  <c r="AI295" i="14"/>
  <c r="AG295" i="14"/>
  <c r="AF295" i="14" s="1"/>
  <c r="E292" i="18" s="1"/>
  <c r="AI294" i="14"/>
  <c r="AG294" i="14"/>
  <c r="AF294" i="14"/>
  <c r="E291" i="18" s="1"/>
  <c r="AI293" i="14"/>
  <c r="AG293" i="14"/>
  <c r="AF293" i="14" s="1"/>
  <c r="E290" i="18" s="1"/>
  <c r="AI292" i="14"/>
  <c r="AG292" i="14"/>
  <c r="AF292" i="14"/>
  <c r="E289" i="18" s="1"/>
  <c r="AI291" i="14"/>
  <c r="AG291" i="14"/>
  <c r="AF291" i="14" s="1"/>
  <c r="E288" i="18" s="1"/>
  <c r="AI290" i="14"/>
  <c r="AG290" i="14"/>
  <c r="AF290" i="14" s="1"/>
  <c r="E287" i="18" s="1"/>
  <c r="AI289" i="14"/>
  <c r="AG289" i="14"/>
  <c r="AF289" i="14" s="1"/>
  <c r="E286" i="18" s="1"/>
  <c r="AI288" i="14"/>
  <c r="AG288" i="14"/>
  <c r="AF288" i="14" s="1"/>
  <c r="E285" i="18" s="1"/>
  <c r="AI287" i="14"/>
  <c r="AG287" i="14"/>
  <c r="AF287" i="14" s="1"/>
  <c r="E284" i="18" s="1"/>
  <c r="AI286" i="14"/>
  <c r="AG286" i="14"/>
  <c r="AF286" i="14" s="1"/>
  <c r="E283" i="18" s="1"/>
  <c r="AI285" i="14"/>
  <c r="AG285" i="14"/>
  <c r="AF285" i="14" s="1"/>
  <c r="E282" i="18" s="1"/>
  <c r="AI284" i="14"/>
  <c r="AG284" i="14"/>
  <c r="AF284" i="14" s="1"/>
  <c r="E281" i="18" s="1"/>
  <c r="AI283" i="14"/>
  <c r="AG283" i="14"/>
  <c r="AF283" i="14" s="1"/>
  <c r="E280" i="18" s="1"/>
  <c r="AI282" i="14"/>
  <c r="AG282" i="14"/>
  <c r="AF282" i="14" s="1"/>
  <c r="E279" i="18" s="1"/>
  <c r="AI281" i="14"/>
  <c r="AG281" i="14"/>
  <c r="AF281" i="14" s="1"/>
  <c r="E278" i="18" s="1"/>
  <c r="AI280" i="14"/>
  <c r="AG280" i="14"/>
  <c r="AF280" i="14" s="1"/>
  <c r="E277" i="18" s="1"/>
  <c r="AI279" i="14"/>
  <c r="AG279" i="14"/>
  <c r="AF279" i="14" s="1"/>
  <c r="E276" i="18" s="1"/>
  <c r="AI278" i="14"/>
  <c r="AG278" i="14"/>
  <c r="AF278" i="14"/>
  <c r="E275" i="18" s="1"/>
  <c r="AI277" i="14"/>
  <c r="AG277" i="14"/>
  <c r="AF277" i="14" s="1"/>
  <c r="E274" i="18" s="1"/>
  <c r="AI276" i="14"/>
  <c r="AG276" i="14"/>
  <c r="AF276" i="14" s="1"/>
  <c r="E273" i="18" s="1"/>
  <c r="AI275" i="14"/>
  <c r="AG275" i="14"/>
  <c r="AF275" i="14" s="1"/>
  <c r="E272" i="18" s="1"/>
  <c r="AI274" i="14"/>
  <c r="AG274" i="14"/>
  <c r="AF274" i="14"/>
  <c r="E271" i="18" s="1"/>
  <c r="AI273" i="14"/>
  <c r="AG273" i="14"/>
  <c r="AF273" i="14" s="1"/>
  <c r="E270" i="18" s="1"/>
  <c r="AI272" i="14"/>
  <c r="AG272" i="14"/>
  <c r="AF272" i="14" s="1"/>
  <c r="E269" i="18" s="1"/>
  <c r="AI271" i="14"/>
  <c r="AG271" i="14"/>
  <c r="AF271" i="14" s="1"/>
  <c r="E268" i="18" s="1"/>
  <c r="AI270" i="14"/>
  <c r="AG270" i="14"/>
  <c r="AF270" i="14" s="1"/>
  <c r="E267" i="18" s="1"/>
  <c r="AI269" i="14"/>
  <c r="AG269" i="14"/>
  <c r="AF269" i="14" s="1"/>
  <c r="E266" i="18" s="1"/>
  <c r="AI268" i="14"/>
  <c r="AG268" i="14"/>
  <c r="AF268" i="14" s="1"/>
  <c r="E265" i="18" s="1"/>
  <c r="AI267" i="14"/>
  <c r="AG267" i="14"/>
  <c r="AF267" i="14" s="1"/>
  <c r="E264" i="18" s="1"/>
  <c r="AI266" i="14"/>
  <c r="AG266" i="14"/>
  <c r="AF266" i="14" s="1"/>
  <c r="E263" i="18" s="1"/>
  <c r="AI265" i="14"/>
  <c r="AG265" i="14"/>
  <c r="AF265" i="14" s="1"/>
  <c r="E262" i="18" s="1"/>
  <c r="AI264" i="14"/>
  <c r="AG264" i="14"/>
  <c r="AF264" i="14" s="1"/>
  <c r="E261" i="18" s="1"/>
  <c r="AI263" i="14"/>
  <c r="AG263" i="14"/>
  <c r="AF263" i="14" s="1"/>
  <c r="E260" i="18" s="1"/>
  <c r="AI262" i="14"/>
  <c r="AG262" i="14"/>
  <c r="AF262" i="14"/>
  <c r="E259" i="18" s="1"/>
  <c r="AI261" i="14"/>
  <c r="AG261" i="14"/>
  <c r="AF261" i="14" s="1"/>
  <c r="E258" i="18" s="1"/>
  <c r="AI260" i="14"/>
  <c r="AG260" i="14"/>
  <c r="AF260" i="14" s="1"/>
  <c r="E257" i="18" s="1"/>
  <c r="AI259" i="14"/>
  <c r="AG259" i="14"/>
  <c r="AF259" i="14" s="1"/>
  <c r="E256" i="18" s="1"/>
  <c r="AI258" i="14"/>
  <c r="AG258" i="14"/>
  <c r="AF258" i="14"/>
  <c r="E255" i="18" s="1"/>
  <c r="AI257" i="14"/>
  <c r="AG257" i="14"/>
  <c r="AF257" i="14" s="1"/>
  <c r="E254" i="18" s="1"/>
  <c r="AI256" i="14"/>
  <c r="AG256" i="14"/>
  <c r="AF256" i="14" s="1"/>
  <c r="E253" i="18" s="1"/>
  <c r="AI255" i="14"/>
  <c r="AG255" i="14"/>
  <c r="AF255" i="14" s="1"/>
  <c r="E252" i="18" s="1"/>
  <c r="AI254" i="14"/>
  <c r="AG254" i="14"/>
  <c r="AF254" i="14" s="1"/>
  <c r="E251" i="18" s="1"/>
  <c r="AI253" i="14"/>
  <c r="AG253" i="14"/>
  <c r="AF253" i="14"/>
  <c r="E250" i="18" s="1"/>
  <c r="AI252" i="14"/>
  <c r="AG252" i="14"/>
  <c r="AF252" i="14"/>
  <c r="E249" i="18" s="1"/>
  <c r="AI251" i="14"/>
  <c r="AG251" i="14"/>
  <c r="AF251" i="14" s="1"/>
  <c r="E248" i="18" s="1"/>
  <c r="AI250" i="14"/>
  <c r="AG250" i="14"/>
  <c r="AF250" i="14" s="1"/>
  <c r="E247" i="18" s="1"/>
  <c r="AI249" i="14"/>
  <c r="AG249" i="14"/>
  <c r="AF249" i="14" s="1"/>
  <c r="E246" i="18" s="1"/>
  <c r="AI248" i="14"/>
  <c r="AG248" i="14"/>
  <c r="AF248" i="14" s="1"/>
  <c r="E245" i="18" s="1"/>
  <c r="AI247" i="14"/>
  <c r="AG247" i="14"/>
  <c r="AF247" i="14"/>
  <c r="E244" i="18" s="1"/>
  <c r="AI246" i="14"/>
  <c r="AG246" i="14"/>
  <c r="AF246" i="14" s="1"/>
  <c r="E243" i="18" s="1"/>
  <c r="AI245" i="14"/>
  <c r="AG245" i="14"/>
  <c r="AF245" i="14" s="1"/>
  <c r="E242" i="18" s="1"/>
  <c r="AI244" i="14"/>
  <c r="AG244" i="14"/>
  <c r="AF244" i="14"/>
  <c r="E241" i="18" s="1"/>
  <c r="AI243" i="14"/>
  <c r="AG243" i="14"/>
  <c r="AF243" i="14" s="1"/>
  <c r="E240" i="18" s="1"/>
  <c r="AI242" i="14"/>
  <c r="AG242" i="14"/>
  <c r="AF242" i="14" s="1"/>
  <c r="E239" i="18" s="1"/>
  <c r="AI241" i="14"/>
  <c r="AG241" i="14"/>
  <c r="AF241" i="14" s="1"/>
  <c r="E238" i="18" s="1"/>
  <c r="AI240" i="14"/>
  <c r="AG240" i="14"/>
  <c r="AF240" i="14" s="1"/>
  <c r="E237" i="18" s="1"/>
  <c r="AI239" i="14"/>
  <c r="AG239" i="14"/>
  <c r="AF239" i="14"/>
  <c r="E236" i="18" s="1"/>
  <c r="AI238" i="14"/>
  <c r="AG238" i="14"/>
  <c r="AF238" i="14" s="1"/>
  <c r="E235" i="18" s="1"/>
  <c r="AI237" i="14"/>
  <c r="AG237" i="14"/>
  <c r="AF237" i="14"/>
  <c r="E234" i="18" s="1"/>
  <c r="AI236" i="14"/>
  <c r="AG236" i="14"/>
  <c r="AF236" i="14"/>
  <c r="E233" i="18" s="1"/>
  <c r="AI235" i="14"/>
  <c r="AG235" i="14"/>
  <c r="AF235" i="14" s="1"/>
  <c r="E232" i="18" s="1"/>
  <c r="AI234" i="14"/>
  <c r="AG234" i="14"/>
  <c r="AF234" i="14" s="1"/>
  <c r="E231" i="18" s="1"/>
  <c r="AI233" i="14"/>
  <c r="AG233" i="14"/>
  <c r="AF233" i="14" s="1"/>
  <c r="E230" i="18" s="1"/>
  <c r="AI232" i="14"/>
  <c r="AG232" i="14"/>
  <c r="AF232" i="14"/>
  <c r="E229" i="18" s="1"/>
  <c r="AI231" i="14"/>
  <c r="AG231" i="14"/>
  <c r="AF231" i="14" s="1"/>
  <c r="E228" i="18" s="1"/>
  <c r="AI230" i="14"/>
  <c r="AG230" i="14"/>
  <c r="AF230" i="14" s="1"/>
  <c r="E227" i="18" s="1"/>
  <c r="AI229" i="14"/>
  <c r="AG229" i="14"/>
  <c r="AF229" i="14"/>
  <c r="E226" i="18" s="1"/>
  <c r="AI228" i="14"/>
  <c r="AG228" i="14"/>
  <c r="AF228" i="14" s="1"/>
  <c r="E225" i="18" s="1"/>
  <c r="AI227" i="14"/>
  <c r="AG227" i="14"/>
  <c r="AF227" i="14" s="1"/>
  <c r="E224" i="18" s="1"/>
  <c r="AI226" i="14"/>
  <c r="AG226" i="14"/>
  <c r="AF226" i="14" s="1"/>
  <c r="E223" i="18" s="1"/>
  <c r="AI225" i="14"/>
  <c r="AG225" i="14"/>
  <c r="AF225" i="14" s="1"/>
  <c r="E222" i="18" s="1"/>
  <c r="AI224" i="14"/>
  <c r="AG224" i="14"/>
  <c r="AF224" i="14" s="1"/>
  <c r="E221" i="18" s="1"/>
  <c r="AI223" i="14"/>
  <c r="AG223" i="14"/>
  <c r="AF223" i="14" s="1"/>
  <c r="E220" i="18" s="1"/>
  <c r="AI222" i="14"/>
  <c r="AG222" i="14"/>
  <c r="AF222" i="14" s="1"/>
  <c r="E219" i="18" s="1"/>
  <c r="AI221" i="14"/>
  <c r="AG221" i="14"/>
  <c r="AF221" i="14"/>
  <c r="E218" i="18" s="1"/>
  <c r="AI220" i="14"/>
  <c r="AG220" i="14"/>
  <c r="AF220" i="14" s="1"/>
  <c r="E217" i="18" s="1"/>
  <c r="AI219" i="14"/>
  <c r="AG219" i="14"/>
  <c r="AF219" i="14" s="1"/>
  <c r="E216" i="18" s="1"/>
  <c r="AI218" i="14"/>
  <c r="AG218" i="14"/>
  <c r="AF218" i="14"/>
  <c r="E215" i="18" s="1"/>
  <c r="AI217" i="14"/>
  <c r="AG217" i="14"/>
  <c r="AF217" i="14" s="1"/>
  <c r="E214" i="18" s="1"/>
  <c r="AI216" i="14"/>
  <c r="AG216" i="14"/>
  <c r="AF216" i="14" s="1"/>
  <c r="E213" i="18" s="1"/>
  <c r="AI215" i="14"/>
  <c r="AG215" i="14"/>
  <c r="AF215" i="14"/>
  <c r="E212" i="18" s="1"/>
  <c r="AI214" i="14"/>
  <c r="AG214" i="14"/>
  <c r="AF214" i="14" s="1"/>
  <c r="E211" i="18" s="1"/>
  <c r="AI213" i="14"/>
  <c r="AG213" i="14"/>
  <c r="AF213" i="14" s="1"/>
  <c r="E210" i="18" s="1"/>
  <c r="AI212" i="14"/>
  <c r="AG212" i="14"/>
  <c r="AF212" i="14"/>
  <c r="E209" i="18" s="1"/>
  <c r="AI211" i="14"/>
  <c r="AG211" i="14"/>
  <c r="AF211" i="14" s="1"/>
  <c r="E208" i="18" s="1"/>
  <c r="AI210" i="14"/>
  <c r="AG210" i="14"/>
  <c r="AF210" i="14" s="1"/>
  <c r="E207" i="18" s="1"/>
  <c r="AI209" i="14"/>
  <c r="AG209" i="14"/>
  <c r="AF209" i="14"/>
  <c r="E206" i="18" s="1"/>
  <c r="AI208" i="14"/>
  <c r="AG208" i="14"/>
  <c r="AF208" i="14"/>
  <c r="E205" i="18" s="1"/>
  <c r="AI207" i="14"/>
  <c r="AG207" i="14"/>
  <c r="AF207" i="14" s="1"/>
  <c r="E204" i="18" s="1"/>
  <c r="AI206" i="14"/>
  <c r="AG206" i="14"/>
  <c r="AF206" i="14" s="1"/>
  <c r="E203" i="18" s="1"/>
  <c r="AI205" i="14"/>
  <c r="AG205" i="14"/>
  <c r="AF205" i="14" s="1"/>
  <c r="E202" i="18" s="1"/>
  <c r="AI204" i="14"/>
  <c r="AG204" i="14"/>
  <c r="AF204" i="14" s="1"/>
  <c r="E201" i="18" s="1"/>
  <c r="AI203" i="14"/>
  <c r="AG203" i="14"/>
  <c r="AF203" i="14" s="1"/>
  <c r="E200" i="18" s="1"/>
  <c r="AI202" i="14"/>
  <c r="AG202" i="14"/>
  <c r="AF202" i="14" s="1"/>
  <c r="E199" i="18" s="1"/>
  <c r="AI201" i="14"/>
  <c r="AG201" i="14"/>
  <c r="AF201" i="14" s="1"/>
  <c r="E198" i="18" s="1"/>
  <c r="AI200" i="14"/>
  <c r="AG200" i="14"/>
  <c r="AF200" i="14" s="1"/>
  <c r="E197" i="18" s="1"/>
  <c r="AI199" i="14"/>
  <c r="AG199" i="14"/>
  <c r="AF199" i="14" s="1"/>
  <c r="E196" i="18" s="1"/>
  <c r="AI198" i="14"/>
  <c r="AG198" i="14"/>
  <c r="AF198" i="14" s="1"/>
  <c r="E195" i="18" s="1"/>
  <c r="AI197" i="14"/>
  <c r="AG197" i="14"/>
  <c r="AF197" i="14" s="1"/>
  <c r="E194" i="18" s="1"/>
  <c r="AI196" i="14"/>
  <c r="AG196" i="14"/>
  <c r="AF196" i="14" s="1"/>
  <c r="E193" i="18" s="1"/>
  <c r="AI195" i="14"/>
  <c r="AG195" i="14"/>
  <c r="AF195" i="14" s="1"/>
  <c r="E192" i="18" s="1"/>
  <c r="AI194" i="14"/>
  <c r="AG194" i="14"/>
  <c r="AF194" i="14" s="1"/>
  <c r="E191" i="18" s="1"/>
  <c r="AI193" i="14"/>
  <c r="AG193" i="14"/>
  <c r="AF193" i="14" s="1"/>
  <c r="E190" i="18" s="1"/>
  <c r="AI192" i="14"/>
  <c r="AG192" i="14"/>
  <c r="AF192" i="14" s="1"/>
  <c r="E189" i="18" s="1"/>
  <c r="AI191" i="14"/>
  <c r="AG191" i="14"/>
  <c r="AF191" i="14" s="1"/>
  <c r="E188" i="18" s="1"/>
  <c r="AI190" i="14"/>
  <c r="AG190" i="14"/>
  <c r="AF190" i="14" s="1"/>
  <c r="E187" i="18" s="1"/>
  <c r="AI189" i="14"/>
  <c r="AG189" i="14"/>
  <c r="AF189" i="14" s="1"/>
  <c r="E186" i="18" s="1"/>
  <c r="AI188" i="14"/>
  <c r="AG188" i="14"/>
  <c r="AF188" i="14" s="1"/>
  <c r="E185" i="18" s="1"/>
  <c r="AI187" i="14"/>
  <c r="AG187" i="14"/>
  <c r="AF187" i="14" s="1"/>
  <c r="E184" i="18" s="1"/>
  <c r="AI186" i="14"/>
  <c r="AG186" i="14"/>
  <c r="AF186" i="14" s="1"/>
  <c r="E183" i="18" s="1"/>
  <c r="AI185" i="14"/>
  <c r="AG185" i="14"/>
  <c r="AF185" i="14" s="1"/>
  <c r="E182" i="18" s="1"/>
  <c r="AI184" i="14"/>
  <c r="AG184" i="14"/>
  <c r="AF184" i="14"/>
  <c r="E181" i="18" s="1"/>
  <c r="AI183" i="14"/>
  <c r="AG183" i="14"/>
  <c r="AF183" i="14" s="1"/>
  <c r="E180" i="18" s="1"/>
  <c r="AI182" i="14"/>
  <c r="AG182" i="14"/>
  <c r="AF182" i="14" s="1"/>
  <c r="E179" i="18" s="1"/>
  <c r="AI181" i="14"/>
  <c r="AG181" i="14"/>
  <c r="AF181" i="14"/>
  <c r="E178" i="18" s="1"/>
  <c r="AI180" i="14"/>
  <c r="AG180" i="14"/>
  <c r="AF180" i="14" s="1"/>
  <c r="E177" i="18" s="1"/>
  <c r="AI179" i="14"/>
  <c r="AG179" i="14"/>
  <c r="AF179" i="14" s="1"/>
  <c r="E176" i="18" s="1"/>
  <c r="AI178" i="14"/>
  <c r="AG178" i="14"/>
  <c r="AF178" i="14"/>
  <c r="E175" i="18" s="1"/>
  <c r="AI177" i="14"/>
  <c r="AG177" i="14"/>
  <c r="AF177" i="14" s="1"/>
  <c r="E174" i="18" s="1"/>
  <c r="AI176" i="14"/>
  <c r="AG176" i="14"/>
  <c r="AF176" i="14" s="1"/>
  <c r="E173" i="18" s="1"/>
  <c r="AI175" i="14"/>
  <c r="AG175" i="14"/>
  <c r="AF175" i="14" s="1"/>
  <c r="E172" i="18" s="1"/>
  <c r="AI174" i="14"/>
  <c r="AG174" i="14"/>
  <c r="AF174" i="14" s="1"/>
  <c r="E171" i="18" s="1"/>
  <c r="AI173" i="14"/>
  <c r="AG173" i="14"/>
  <c r="AF173" i="14"/>
  <c r="E170" i="18" s="1"/>
  <c r="AI172" i="14"/>
  <c r="AG172" i="14"/>
  <c r="AF172" i="14" s="1"/>
  <c r="E169" i="18" s="1"/>
  <c r="AI171" i="14"/>
  <c r="AG171" i="14"/>
  <c r="AF171" i="14" s="1"/>
  <c r="E168" i="18" s="1"/>
  <c r="AI170" i="14"/>
  <c r="AG170" i="14"/>
  <c r="AF170" i="14"/>
  <c r="E167" i="18" s="1"/>
  <c r="AI169" i="14"/>
  <c r="AG169" i="14"/>
  <c r="AF169" i="14" s="1"/>
  <c r="E166" i="18" s="1"/>
  <c r="AI168" i="14"/>
  <c r="AG168" i="14"/>
  <c r="AF168" i="14"/>
  <c r="E165" i="18" s="1"/>
  <c r="AI167" i="14"/>
  <c r="AG167" i="14"/>
  <c r="AF167" i="14" s="1"/>
  <c r="E164" i="18" s="1"/>
  <c r="AI166" i="14"/>
  <c r="AG166" i="14"/>
  <c r="AF166" i="14" s="1"/>
  <c r="E163" i="18" s="1"/>
  <c r="AI165" i="14"/>
  <c r="AG165" i="14"/>
  <c r="AF165" i="14"/>
  <c r="E162" i="18" s="1"/>
  <c r="AI164" i="14"/>
  <c r="AG164" i="14"/>
  <c r="AF164" i="14" s="1"/>
  <c r="E161" i="18" s="1"/>
  <c r="AI163" i="14"/>
  <c r="AG163" i="14"/>
  <c r="AF163" i="14" s="1"/>
  <c r="E160" i="18" s="1"/>
  <c r="AI162" i="14"/>
  <c r="AG162" i="14"/>
  <c r="AF162" i="14"/>
  <c r="E159" i="18" s="1"/>
  <c r="AI161" i="14"/>
  <c r="AG161" i="14"/>
  <c r="AF161" i="14" s="1"/>
  <c r="E158" i="18" s="1"/>
  <c r="AI160" i="14"/>
  <c r="AG160" i="14"/>
  <c r="AF160" i="14"/>
  <c r="E157" i="18" s="1"/>
  <c r="AI159" i="14"/>
  <c r="AG159" i="14"/>
  <c r="AF159" i="14"/>
  <c r="E156" i="18" s="1"/>
  <c r="AI158" i="14"/>
  <c r="AG158" i="14"/>
  <c r="AF158" i="14"/>
  <c r="E155" i="18" s="1"/>
  <c r="AI157" i="14"/>
  <c r="AG157" i="14"/>
  <c r="AF157" i="14"/>
  <c r="E154" i="18" s="1"/>
  <c r="AI156" i="14"/>
  <c r="AG156" i="14"/>
  <c r="AF156" i="14" s="1"/>
  <c r="E153" i="18" s="1"/>
  <c r="AI155" i="14"/>
  <c r="AG155" i="14"/>
  <c r="AF155" i="14" s="1"/>
  <c r="E152" i="18" s="1"/>
  <c r="AI154" i="14"/>
  <c r="AG154" i="14"/>
  <c r="AF154" i="14"/>
  <c r="E151" i="18" s="1"/>
  <c r="AI153" i="14"/>
  <c r="AG153" i="14"/>
  <c r="AF153" i="14" s="1"/>
  <c r="E150" i="18" s="1"/>
  <c r="AI152" i="14"/>
  <c r="AG152" i="14"/>
  <c r="AF152" i="14" s="1"/>
  <c r="E149" i="18" s="1"/>
  <c r="AI151" i="14"/>
  <c r="AG151" i="14"/>
  <c r="AF151" i="14"/>
  <c r="E148" i="18" s="1"/>
  <c r="AI150" i="14"/>
  <c r="AG150" i="14"/>
  <c r="AF150" i="14" s="1"/>
  <c r="E147" i="18" s="1"/>
  <c r="AI149" i="14"/>
  <c r="AG149" i="14"/>
  <c r="AF149" i="14" s="1"/>
  <c r="E146" i="18" s="1"/>
  <c r="AI148" i="14"/>
  <c r="AG148" i="14"/>
  <c r="AF148" i="14" s="1"/>
  <c r="E145" i="18" s="1"/>
  <c r="AI147" i="14"/>
  <c r="AG147" i="14"/>
  <c r="AF147" i="14" s="1"/>
  <c r="E144" i="18" s="1"/>
  <c r="AI146" i="14"/>
  <c r="AG146" i="14"/>
  <c r="AF146" i="14" s="1"/>
  <c r="E143" i="18" s="1"/>
  <c r="AI145" i="14"/>
  <c r="AG145" i="14"/>
  <c r="AF145" i="14" s="1"/>
  <c r="E142" i="18" s="1"/>
  <c r="AI144" i="14"/>
  <c r="AG144" i="14"/>
  <c r="AF144" i="14" s="1"/>
  <c r="E141" i="18" s="1"/>
  <c r="AI143" i="14"/>
  <c r="AG143" i="14"/>
  <c r="AF143" i="14" s="1"/>
  <c r="E140" i="18" s="1"/>
  <c r="AI142" i="14"/>
  <c r="AG142" i="14"/>
  <c r="AF142" i="14" s="1"/>
  <c r="E139" i="18" s="1"/>
  <c r="AI141" i="14"/>
  <c r="AG141" i="14"/>
  <c r="AF141" i="14"/>
  <c r="E138" i="18" s="1"/>
  <c r="AI140" i="14"/>
  <c r="AG140" i="14"/>
  <c r="AF140" i="14" s="1"/>
  <c r="E137" i="18" s="1"/>
  <c r="AI139" i="14"/>
  <c r="AG139" i="14"/>
  <c r="AF139" i="14" s="1"/>
  <c r="E136" i="18" s="1"/>
  <c r="AI138" i="14"/>
  <c r="AG138" i="14"/>
  <c r="AF138" i="14" s="1"/>
  <c r="E135" i="18" s="1"/>
  <c r="AI137" i="14"/>
  <c r="AG137" i="14"/>
  <c r="AF137" i="14"/>
  <c r="E134" i="18" s="1"/>
  <c r="AI136" i="14"/>
  <c r="AG136" i="14"/>
  <c r="AF136" i="14"/>
  <c r="E133" i="18" s="1"/>
  <c r="AI135" i="14"/>
  <c r="AG135" i="14"/>
  <c r="AF135" i="14" s="1"/>
  <c r="E132" i="18" s="1"/>
  <c r="AI134" i="14"/>
  <c r="AG134" i="14"/>
  <c r="AF134" i="14" s="1"/>
  <c r="E131" i="18" s="1"/>
  <c r="AI133" i="14"/>
  <c r="AG133" i="14"/>
  <c r="AF133" i="14" s="1"/>
  <c r="E130" i="18" s="1"/>
  <c r="AI132" i="14"/>
  <c r="AG132" i="14"/>
  <c r="AF132" i="14" s="1"/>
  <c r="E129" i="18" s="1"/>
  <c r="AI131" i="14"/>
  <c r="AG131" i="14"/>
  <c r="AF131" i="14" s="1"/>
  <c r="E128" i="18" s="1"/>
  <c r="AI130" i="14"/>
  <c r="AG130" i="14"/>
  <c r="AF130" i="14" s="1"/>
  <c r="E127" i="18" s="1"/>
  <c r="AI129" i="14"/>
  <c r="AG129" i="14"/>
  <c r="AF129" i="14" s="1"/>
  <c r="E126" i="18" s="1"/>
  <c r="AI128" i="14"/>
  <c r="AG128" i="14"/>
  <c r="AF128" i="14" s="1"/>
  <c r="E125" i="18" s="1"/>
  <c r="AI127" i="14"/>
  <c r="AG127" i="14"/>
  <c r="AF127" i="14" s="1"/>
  <c r="E124" i="18" s="1"/>
  <c r="AI126" i="14"/>
  <c r="AG126" i="14"/>
  <c r="AF126" i="14" s="1"/>
  <c r="E123" i="18" s="1"/>
  <c r="AI125" i="14"/>
  <c r="AG125" i="14"/>
  <c r="AF125" i="14" s="1"/>
  <c r="E122" i="18" s="1"/>
  <c r="AI124" i="14"/>
  <c r="AG124" i="14"/>
  <c r="AF124" i="14" s="1"/>
  <c r="E121" i="18" s="1"/>
  <c r="AI123" i="14"/>
  <c r="AG123" i="14"/>
  <c r="AF123" i="14"/>
  <c r="E120" i="18" s="1"/>
  <c r="AI122" i="14"/>
  <c r="AG122" i="14"/>
  <c r="AF122" i="14" s="1"/>
  <c r="E119" i="18" s="1"/>
  <c r="AI121" i="14"/>
  <c r="AG121" i="14"/>
  <c r="AF121" i="14" s="1"/>
  <c r="E118" i="18" s="1"/>
  <c r="AI120" i="14"/>
  <c r="AG120" i="14"/>
  <c r="AF120" i="14"/>
  <c r="E117" i="18" s="1"/>
  <c r="AI119" i="14"/>
  <c r="AG119" i="14"/>
  <c r="AF119" i="14"/>
  <c r="E116" i="18" s="1"/>
  <c r="AI118" i="14"/>
  <c r="AG118" i="14"/>
  <c r="AF118" i="14"/>
  <c r="E115" i="18" s="1"/>
  <c r="AI117" i="14"/>
  <c r="AG117" i="14"/>
  <c r="AF117" i="14" s="1"/>
  <c r="E114" i="18" s="1"/>
  <c r="AI116" i="14"/>
  <c r="AG116" i="14"/>
  <c r="AF116" i="14"/>
  <c r="E113" i="18" s="1"/>
  <c r="AI115" i="14"/>
  <c r="AG115" i="14"/>
  <c r="AF115" i="14"/>
  <c r="E112" i="18" s="1"/>
  <c r="AI114" i="14"/>
  <c r="AG114" i="14"/>
  <c r="AF114" i="14" s="1"/>
  <c r="E111" i="18" s="1"/>
  <c r="AI113" i="14"/>
  <c r="AG113" i="14"/>
  <c r="AF113" i="14" s="1"/>
  <c r="E110" i="18" s="1"/>
  <c r="AI112" i="14"/>
  <c r="AG112" i="14"/>
  <c r="AF112" i="14"/>
  <c r="E109" i="18" s="1"/>
  <c r="AI111" i="14"/>
  <c r="AG111" i="14"/>
  <c r="AF111" i="14" s="1"/>
  <c r="E108" i="18" s="1"/>
  <c r="AI110" i="14"/>
  <c r="AG110" i="14"/>
  <c r="AF110" i="14" s="1"/>
  <c r="E107" i="18" s="1"/>
  <c r="AI109" i="14"/>
  <c r="AG109" i="14"/>
  <c r="AF109" i="14"/>
  <c r="E106" i="18" s="1"/>
  <c r="AI108" i="14"/>
  <c r="AG108" i="14"/>
  <c r="AF108" i="14" s="1"/>
  <c r="E105" i="18" s="1"/>
  <c r="AI107" i="14"/>
  <c r="AG107" i="14"/>
  <c r="AF107" i="14" s="1"/>
  <c r="E104" i="18" s="1"/>
  <c r="AI106" i="14"/>
  <c r="AG106" i="14"/>
  <c r="AF106" i="14" s="1"/>
  <c r="E103" i="18" s="1"/>
  <c r="AI105" i="14"/>
  <c r="AG105" i="14"/>
  <c r="AF105" i="14" s="1"/>
  <c r="E102" i="18" s="1"/>
  <c r="AI104" i="14"/>
  <c r="AG104" i="14"/>
  <c r="AF104" i="14" s="1"/>
  <c r="E101" i="18" s="1"/>
  <c r="AI103" i="14"/>
  <c r="AG103" i="14"/>
  <c r="AF103" i="14" s="1"/>
  <c r="E100" i="18" s="1"/>
  <c r="AI102" i="14"/>
  <c r="AG102" i="14"/>
  <c r="AF102" i="14" s="1"/>
  <c r="E99" i="18" s="1"/>
  <c r="AI101" i="14"/>
  <c r="AG101" i="14"/>
  <c r="AF101" i="14" s="1"/>
  <c r="E98" i="18" s="1"/>
  <c r="AI100" i="14"/>
  <c r="AG100" i="14"/>
  <c r="AF100" i="14" s="1"/>
  <c r="E97" i="18" s="1"/>
  <c r="AI99" i="14"/>
  <c r="AG99" i="14"/>
  <c r="AF99" i="14" s="1"/>
  <c r="E96" i="18" s="1"/>
  <c r="AI98" i="14"/>
  <c r="AG98" i="14"/>
  <c r="AF98" i="14" s="1"/>
  <c r="E95" i="18" s="1"/>
  <c r="AI97" i="14"/>
  <c r="AG97" i="14"/>
  <c r="AF97" i="14" s="1"/>
  <c r="E94" i="18" s="1"/>
  <c r="AI96" i="14"/>
  <c r="AG96" i="14"/>
  <c r="AF96" i="14" s="1"/>
  <c r="E93" i="18" s="1"/>
  <c r="AI95" i="14"/>
  <c r="AG95" i="14"/>
  <c r="AF95" i="14" s="1"/>
  <c r="E92" i="18" s="1"/>
  <c r="AI94" i="14"/>
  <c r="AG94" i="14"/>
  <c r="AF94" i="14" s="1"/>
  <c r="E91" i="18" s="1"/>
  <c r="AI93" i="14"/>
  <c r="AG93" i="14"/>
  <c r="AF93" i="14" s="1"/>
  <c r="E90" i="18" s="1"/>
  <c r="AI92" i="14"/>
  <c r="AG92" i="14"/>
  <c r="AF92" i="14" s="1"/>
  <c r="E89" i="18" s="1"/>
  <c r="AI91" i="14"/>
  <c r="AG91" i="14"/>
  <c r="AF91" i="14"/>
  <c r="E88" i="18" s="1"/>
  <c r="AI90" i="14"/>
  <c r="AG90" i="14"/>
  <c r="AF90" i="14" s="1"/>
  <c r="E87" i="18" s="1"/>
  <c r="AI89" i="14"/>
  <c r="AG89" i="14"/>
  <c r="AF89" i="14" s="1"/>
  <c r="E86" i="18" s="1"/>
  <c r="AI88" i="14"/>
  <c r="AG88" i="14"/>
  <c r="AF88" i="14"/>
  <c r="E85" i="18" s="1"/>
  <c r="AI87" i="14"/>
  <c r="AG87" i="14"/>
  <c r="AF87" i="14"/>
  <c r="E84" i="18" s="1"/>
  <c r="AI86" i="14"/>
  <c r="AG86" i="14"/>
  <c r="AF86" i="14"/>
  <c r="E83" i="18" s="1"/>
  <c r="AI85" i="14"/>
  <c r="AG85" i="14"/>
  <c r="AF85" i="14" s="1"/>
  <c r="E82" i="18" s="1"/>
  <c r="AI84" i="14"/>
  <c r="AG84" i="14"/>
  <c r="AF84" i="14"/>
  <c r="E81" i="18" s="1"/>
  <c r="AI83" i="14"/>
  <c r="AG83" i="14"/>
  <c r="AF83" i="14"/>
  <c r="E80" i="18" s="1"/>
  <c r="AI82" i="14"/>
  <c r="AG82" i="14"/>
  <c r="AF82" i="14" s="1"/>
  <c r="E79" i="18" s="1"/>
  <c r="AI81" i="14"/>
  <c r="AG81" i="14"/>
  <c r="AF81" i="14" s="1"/>
  <c r="E78" i="18" s="1"/>
  <c r="AI80" i="14"/>
  <c r="AG80" i="14"/>
  <c r="AF80" i="14"/>
  <c r="E77" i="18" s="1"/>
  <c r="AI79" i="14"/>
  <c r="AG79" i="14"/>
  <c r="AF79" i="14" s="1"/>
  <c r="E76" i="18" s="1"/>
  <c r="AI78" i="14"/>
  <c r="AG78" i="14"/>
  <c r="AF78" i="14" s="1"/>
  <c r="E75" i="18" s="1"/>
  <c r="AI77" i="14"/>
  <c r="AG77" i="14"/>
  <c r="AF77" i="14"/>
  <c r="E74" i="18" s="1"/>
  <c r="AI76" i="14"/>
  <c r="AG76" i="14"/>
  <c r="AF76" i="14" s="1"/>
  <c r="E73" i="18" s="1"/>
  <c r="AI75" i="14"/>
  <c r="AG75" i="14"/>
  <c r="AF75" i="14" s="1"/>
  <c r="E72" i="18" s="1"/>
  <c r="AI74" i="14"/>
  <c r="AG74" i="14"/>
  <c r="AF74" i="14" s="1"/>
  <c r="E71" i="18" s="1"/>
  <c r="AI73" i="14"/>
  <c r="AG73" i="14"/>
  <c r="AF73" i="14" s="1"/>
  <c r="E70" i="18" s="1"/>
  <c r="AI72" i="14"/>
  <c r="AG72" i="14"/>
  <c r="AF72" i="14" s="1"/>
  <c r="E69" i="18" s="1"/>
  <c r="AI71" i="14"/>
  <c r="AG71" i="14"/>
  <c r="AF71" i="14" s="1"/>
  <c r="E68" i="18" s="1"/>
  <c r="AI70" i="14"/>
  <c r="AG70" i="14"/>
  <c r="AF70" i="14" s="1"/>
  <c r="E67" i="18" s="1"/>
  <c r="AI69" i="14"/>
  <c r="AG69" i="14"/>
  <c r="AF69" i="14" s="1"/>
  <c r="E66" i="18" s="1"/>
  <c r="AI68" i="14"/>
  <c r="AG68" i="14"/>
  <c r="AF68" i="14" s="1"/>
  <c r="E65" i="18" s="1"/>
  <c r="AI67" i="14"/>
  <c r="AG67" i="14"/>
  <c r="AF67" i="14" s="1"/>
  <c r="E64" i="18" s="1"/>
  <c r="AI66" i="14"/>
  <c r="AG66" i="14"/>
  <c r="AF66" i="14" s="1"/>
  <c r="E63" i="18" s="1"/>
  <c r="AI65" i="14"/>
  <c r="AG65" i="14"/>
  <c r="AF65" i="14" s="1"/>
  <c r="E62" i="18" s="1"/>
  <c r="AI64" i="14"/>
  <c r="AG64" i="14"/>
  <c r="AF64" i="14" s="1"/>
  <c r="E61" i="18" s="1"/>
  <c r="AI63" i="14"/>
  <c r="AG63" i="14"/>
  <c r="AF63" i="14" s="1"/>
  <c r="E60" i="18" s="1"/>
  <c r="AI62" i="14"/>
  <c r="AG62" i="14"/>
  <c r="AF62" i="14" s="1"/>
  <c r="E59" i="18" s="1"/>
  <c r="AI61" i="14"/>
  <c r="AG61" i="14"/>
  <c r="AF61" i="14" s="1"/>
  <c r="E58" i="18" s="1"/>
  <c r="AI60" i="14"/>
  <c r="AG60" i="14"/>
  <c r="AF60" i="14" s="1"/>
  <c r="E57" i="18" s="1"/>
  <c r="AI59" i="14"/>
  <c r="AG59" i="14"/>
  <c r="AF59" i="14"/>
  <c r="E56" i="18" s="1"/>
  <c r="AI58" i="14"/>
  <c r="AG58" i="14"/>
  <c r="AF58" i="14" s="1"/>
  <c r="E55" i="18" s="1"/>
  <c r="AI57" i="14"/>
  <c r="AG57" i="14"/>
  <c r="AF57" i="14" s="1"/>
  <c r="E54" i="18" s="1"/>
  <c r="AI56" i="14"/>
  <c r="AG56" i="14"/>
  <c r="AF56" i="14"/>
  <c r="E53" i="18" s="1"/>
  <c r="AI55" i="14"/>
  <c r="AG55" i="14"/>
  <c r="AF55" i="14"/>
  <c r="E52" i="18" s="1"/>
  <c r="AI54" i="14"/>
  <c r="AG54" i="14"/>
  <c r="AF54" i="14"/>
  <c r="E51" i="18" s="1"/>
  <c r="AI53" i="14"/>
  <c r="AG53" i="14"/>
  <c r="AF53" i="14" s="1"/>
  <c r="E50" i="18" s="1"/>
  <c r="AI52" i="14"/>
  <c r="AG52" i="14"/>
  <c r="AF52" i="14"/>
  <c r="E49" i="18" s="1"/>
  <c r="AI51" i="14"/>
  <c r="AG51" i="14"/>
  <c r="AF51" i="14"/>
  <c r="E48" i="18" s="1"/>
  <c r="AI50" i="14"/>
  <c r="AG50" i="14"/>
  <c r="AF50" i="14" s="1"/>
  <c r="E47" i="18" s="1"/>
  <c r="AI49" i="14"/>
  <c r="AG49" i="14"/>
  <c r="AF49" i="14" s="1"/>
  <c r="E46" i="18" s="1"/>
  <c r="AI48" i="14"/>
  <c r="AG48" i="14"/>
  <c r="AF48" i="14"/>
  <c r="E45" i="18" s="1"/>
  <c r="AI47" i="14"/>
  <c r="AG47" i="14"/>
  <c r="AF47" i="14" s="1"/>
  <c r="E44" i="18" s="1"/>
  <c r="AI46" i="14"/>
  <c r="AG46" i="14"/>
  <c r="AF46" i="14" s="1"/>
  <c r="E43" i="18" s="1"/>
  <c r="AI45" i="14"/>
  <c r="AG45" i="14"/>
  <c r="AF45" i="14"/>
  <c r="E42" i="18" s="1"/>
  <c r="AI44" i="14"/>
  <c r="AG44" i="14"/>
  <c r="AF44" i="14" s="1"/>
  <c r="E41" i="18" s="1"/>
  <c r="AI43" i="14"/>
  <c r="AG43" i="14"/>
  <c r="AF43" i="14"/>
  <c r="E40" i="18" s="1"/>
  <c r="AI42" i="14"/>
  <c r="AG42" i="14"/>
  <c r="AF42" i="14" s="1"/>
  <c r="E39" i="18" s="1"/>
  <c r="AI41" i="14"/>
  <c r="AG41" i="14"/>
  <c r="AF41" i="14"/>
  <c r="E38" i="18" s="1"/>
  <c r="AI40" i="14"/>
  <c r="AG40" i="14"/>
  <c r="AF40" i="14" s="1"/>
  <c r="E37" i="18" s="1"/>
  <c r="AI39" i="14"/>
  <c r="AG39" i="14"/>
  <c r="AF39" i="14" s="1"/>
  <c r="E36" i="18" s="1"/>
  <c r="AI38" i="14"/>
  <c r="AG38" i="14"/>
  <c r="AF38" i="14" s="1"/>
  <c r="E35" i="18" s="1"/>
  <c r="AI37" i="14"/>
  <c r="AG37" i="14"/>
  <c r="AF37" i="14" s="1"/>
  <c r="E34" i="18" s="1"/>
  <c r="AI36" i="14"/>
  <c r="AG36" i="14"/>
  <c r="AF36" i="14" s="1"/>
  <c r="E33" i="18" s="1"/>
  <c r="AI35" i="14"/>
  <c r="AG35" i="14"/>
  <c r="AF35" i="14" s="1"/>
  <c r="E32" i="18" s="1"/>
  <c r="AI34" i="14"/>
  <c r="AG34" i="14"/>
  <c r="AF34" i="14" s="1"/>
  <c r="E31" i="18" s="1"/>
  <c r="AI33" i="14"/>
  <c r="AG33" i="14"/>
  <c r="AF33" i="14" s="1"/>
  <c r="E30" i="18" s="1"/>
  <c r="AI32" i="14"/>
  <c r="AG32" i="14"/>
  <c r="AF32" i="14" s="1"/>
  <c r="E29" i="18" s="1"/>
  <c r="AI31" i="14"/>
  <c r="AG31" i="14"/>
  <c r="AF31" i="14" s="1"/>
  <c r="E28" i="18" s="1"/>
  <c r="AI30" i="14"/>
  <c r="AG30" i="14"/>
  <c r="AF30" i="14" s="1"/>
  <c r="E27" i="18" s="1"/>
  <c r="AI29" i="14"/>
  <c r="AG29" i="14"/>
  <c r="AF29" i="14"/>
  <c r="E26" i="18" s="1"/>
  <c r="AI28" i="14"/>
  <c r="AG28" i="14"/>
  <c r="AF28" i="14" s="1"/>
  <c r="E25" i="18" s="1"/>
  <c r="AI27" i="14"/>
  <c r="AG27" i="14"/>
  <c r="AF27" i="14"/>
  <c r="E24" i="18" s="1"/>
  <c r="AI26" i="14"/>
  <c r="AG26" i="14"/>
  <c r="AF26" i="14" s="1"/>
  <c r="E23" i="18" s="1"/>
  <c r="AI25" i="14"/>
  <c r="AG25" i="14"/>
  <c r="AF25" i="14"/>
  <c r="E22" i="18" s="1"/>
  <c r="AI24" i="14"/>
  <c r="AG24" i="14"/>
  <c r="AF24" i="14" s="1"/>
  <c r="E21" i="18" s="1"/>
  <c r="AI23" i="14"/>
  <c r="AG23" i="14"/>
  <c r="AF23" i="14" s="1"/>
  <c r="E20" i="18" s="1"/>
  <c r="AI22" i="14"/>
  <c r="AG22" i="14"/>
  <c r="AF22" i="14" s="1"/>
  <c r="E19" i="18" s="1"/>
  <c r="AI21" i="14"/>
  <c r="AG21" i="14"/>
  <c r="AF21" i="14" s="1"/>
  <c r="E18" i="18" s="1"/>
  <c r="AI20" i="14"/>
  <c r="AG20" i="14"/>
  <c r="AF20" i="14" s="1"/>
  <c r="E17" i="18" s="1"/>
  <c r="AI19" i="14"/>
  <c r="AG19" i="14"/>
  <c r="AF19" i="14" s="1"/>
  <c r="E16" i="18" s="1"/>
  <c r="AI18" i="14"/>
  <c r="AG18" i="14"/>
  <c r="AF18" i="14" s="1"/>
  <c r="E15" i="18" s="1"/>
  <c r="AI17" i="14"/>
  <c r="AG17" i="14"/>
  <c r="AF17" i="14" s="1"/>
  <c r="E14" i="18" s="1"/>
  <c r="AI16" i="14"/>
  <c r="AG16" i="14"/>
  <c r="AF16" i="14" s="1"/>
  <c r="E13" i="18" s="1"/>
  <c r="AI15" i="14"/>
  <c r="AG15" i="14"/>
  <c r="AF15" i="14" s="1"/>
  <c r="E12" i="18" s="1"/>
  <c r="AI14" i="14"/>
  <c r="AG14" i="14"/>
  <c r="AF14" i="14" s="1"/>
  <c r="E11" i="18" s="1"/>
  <c r="AI13" i="14"/>
  <c r="AG13" i="14"/>
  <c r="AF13" i="14"/>
  <c r="E10" i="18" s="1"/>
  <c r="AI12" i="14"/>
  <c r="AG12" i="14"/>
  <c r="AF12" i="14" s="1"/>
  <c r="E9" i="18" s="1"/>
  <c r="AI11" i="14"/>
  <c r="AG11" i="14"/>
  <c r="AF11" i="14"/>
  <c r="E8" i="18" s="1"/>
  <c r="AI10" i="14"/>
  <c r="AG10" i="14"/>
  <c r="AF10" i="14" s="1"/>
  <c r="E7" i="18" s="1"/>
  <c r="AI9" i="14"/>
  <c r="AG9" i="14"/>
  <c r="AF9" i="14" s="1"/>
  <c r="E6" i="18" s="1"/>
  <c r="AI500" i="13"/>
  <c r="AG500" i="13"/>
  <c r="AF500" i="13" s="1"/>
  <c r="E497" i="17" s="1"/>
  <c r="AI499" i="13"/>
  <c r="AG499" i="13"/>
  <c r="AF499" i="13" s="1"/>
  <c r="E496" i="17" s="1"/>
  <c r="AI498" i="13"/>
  <c r="AG498" i="13"/>
  <c r="AF498" i="13" s="1"/>
  <c r="E495" i="17" s="1"/>
  <c r="AI497" i="13"/>
  <c r="AG497" i="13"/>
  <c r="AF497" i="13" s="1"/>
  <c r="E494" i="17" s="1"/>
  <c r="AI496" i="13"/>
  <c r="AG496" i="13"/>
  <c r="AF496" i="13" s="1"/>
  <c r="E493" i="17" s="1"/>
  <c r="AI495" i="13"/>
  <c r="AG495" i="13"/>
  <c r="AF495" i="13"/>
  <c r="E492" i="17" s="1"/>
  <c r="AI494" i="13"/>
  <c r="AG494" i="13"/>
  <c r="AF494" i="13"/>
  <c r="E491" i="17" s="1"/>
  <c r="AI493" i="13"/>
  <c r="AG493" i="13"/>
  <c r="AF493" i="13"/>
  <c r="E490" i="17" s="1"/>
  <c r="AI492" i="13"/>
  <c r="AG492" i="13"/>
  <c r="AF492" i="13"/>
  <c r="E489" i="17" s="1"/>
  <c r="AI491" i="13"/>
  <c r="AG491" i="13"/>
  <c r="AF491" i="13" s="1"/>
  <c r="E488" i="17" s="1"/>
  <c r="AI490" i="13"/>
  <c r="AG490" i="13"/>
  <c r="AF490" i="13"/>
  <c r="E487" i="17" s="1"/>
  <c r="AI489" i="13"/>
  <c r="AG489" i="13"/>
  <c r="AF489" i="13"/>
  <c r="E486" i="17" s="1"/>
  <c r="AI488" i="13"/>
  <c r="AG488" i="13"/>
  <c r="AF488" i="13"/>
  <c r="E485" i="17" s="1"/>
  <c r="AI487" i="13"/>
  <c r="AG487" i="13"/>
  <c r="AF487" i="13" s="1"/>
  <c r="E484" i="17" s="1"/>
  <c r="AI486" i="13"/>
  <c r="AG486" i="13"/>
  <c r="AF486" i="13"/>
  <c r="E483" i="17" s="1"/>
  <c r="AI485" i="13"/>
  <c r="AG485" i="13"/>
  <c r="AF485" i="13"/>
  <c r="E482" i="17" s="1"/>
  <c r="AI484" i="13"/>
  <c r="AG484" i="13"/>
  <c r="AF484" i="13" s="1"/>
  <c r="E481" i="17" s="1"/>
  <c r="AI483" i="13"/>
  <c r="AG483" i="13"/>
  <c r="AF483" i="13" s="1"/>
  <c r="E480" i="17" s="1"/>
  <c r="AI482" i="13"/>
  <c r="AG482" i="13"/>
  <c r="AF482" i="13" s="1"/>
  <c r="E479" i="17" s="1"/>
  <c r="AI481" i="13"/>
  <c r="AG481" i="13"/>
  <c r="AF481" i="13" s="1"/>
  <c r="E478" i="17" s="1"/>
  <c r="AI480" i="13"/>
  <c r="AG480" i="13"/>
  <c r="AF480" i="13" s="1"/>
  <c r="E477" i="17" s="1"/>
  <c r="AI479" i="13"/>
  <c r="AG479" i="13"/>
  <c r="AF479" i="13" s="1"/>
  <c r="E476" i="17" s="1"/>
  <c r="AI478" i="13"/>
  <c r="AG478" i="13"/>
  <c r="AF478" i="13" s="1"/>
  <c r="E475" i="17" s="1"/>
  <c r="AI477" i="13"/>
  <c r="AG477" i="13"/>
  <c r="AF477" i="13" s="1"/>
  <c r="E474" i="17" s="1"/>
  <c r="AI476" i="13"/>
  <c r="AG476" i="13"/>
  <c r="AF476" i="13" s="1"/>
  <c r="E473" i="17" s="1"/>
  <c r="AI475" i="13"/>
  <c r="AG475" i="13"/>
  <c r="AF475" i="13" s="1"/>
  <c r="E472" i="17" s="1"/>
  <c r="AI474" i="13"/>
  <c r="AG474" i="13"/>
  <c r="AF474" i="13" s="1"/>
  <c r="E471" i="17" s="1"/>
  <c r="AI473" i="13"/>
  <c r="AG473" i="13"/>
  <c r="AF473" i="13"/>
  <c r="E470" i="17" s="1"/>
  <c r="AI472" i="13"/>
  <c r="AG472" i="13"/>
  <c r="AF472" i="13" s="1"/>
  <c r="E469" i="17" s="1"/>
  <c r="AI471" i="13"/>
  <c r="AG471" i="13"/>
  <c r="AF471" i="13" s="1"/>
  <c r="E468" i="17" s="1"/>
  <c r="AI470" i="13"/>
  <c r="AG470" i="13"/>
  <c r="AF470" i="13" s="1"/>
  <c r="E467" i="17" s="1"/>
  <c r="AI469" i="13"/>
  <c r="AG469" i="13"/>
  <c r="AF469" i="13" s="1"/>
  <c r="E466" i="17" s="1"/>
  <c r="AI468" i="13"/>
  <c r="AG468" i="13"/>
  <c r="AF468" i="13" s="1"/>
  <c r="E465" i="17" s="1"/>
  <c r="AI467" i="13"/>
  <c r="AG467" i="13"/>
  <c r="AF467" i="13" s="1"/>
  <c r="E464" i="17" s="1"/>
  <c r="AI466" i="13"/>
  <c r="AG466" i="13"/>
  <c r="AF466" i="13"/>
  <c r="E463" i="17" s="1"/>
  <c r="AI465" i="13"/>
  <c r="AG465" i="13"/>
  <c r="AF465" i="13" s="1"/>
  <c r="E462" i="17" s="1"/>
  <c r="AI464" i="13"/>
  <c r="AG464" i="13"/>
  <c r="AF464" i="13" s="1"/>
  <c r="E461" i="17" s="1"/>
  <c r="AI463" i="13"/>
  <c r="AG463" i="13"/>
  <c r="AF463" i="13"/>
  <c r="E460" i="17" s="1"/>
  <c r="AI462" i="13"/>
  <c r="AG462" i="13"/>
  <c r="AF462" i="13" s="1"/>
  <c r="E459" i="17" s="1"/>
  <c r="AI461" i="13"/>
  <c r="AG461" i="13"/>
  <c r="AF461" i="13" s="1"/>
  <c r="E458" i="17" s="1"/>
  <c r="AI460" i="13"/>
  <c r="AG460" i="13"/>
  <c r="AF460" i="13" s="1"/>
  <c r="E457" i="17" s="1"/>
  <c r="AI459" i="13"/>
  <c r="AG459" i="13"/>
  <c r="AF459" i="13" s="1"/>
  <c r="E456" i="17" s="1"/>
  <c r="AI458" i="13"/>
  <c r="AG458" i="13"/>
  <c r="AF458" i="13" s="1"/>
  <c r="E455" i="17" s="1"/>
  <c r="AI457" i="13"/>
  <c r="AG457" i="13"/>
  <c r="AF457" i="13"/>
  <c r="E454" i="17" s="1"/>
  <c r="AI456" i="13"/>
  <c r="AG456" i="13"/>
  <c r="AF456" i="13"/>
  <c r="E453" i="17" s="1"/>
  <c r="AI455" i="13"/>
  <c r="AG455" i="13"/>
  <c r="AF455" i="13" s="1"/>
  <c r="E452" i="17" s="1"/>
  <c r="AI454" i="13"/>
  <c r="AG454" i="13"/>
  <c r="AF454" i="13"/>
  <c r="E451" i="17" s="1"/>
  <c r="AI453" i="13"/>
  <c r="AG453" i="13"/>
  <c r="AF453" i="13"/>
  <c r="E450" i="17" s="1"/>
  <c r="AI452" i="13"/>
  <c r="AG452" i="13"/>
  <c r="AF452" i="13" s="1"/>
  <c r="E449" i="17" s="1"/>
  <c r="AI451" i="13"/>
  <c r="AG451" i="13"/>
  <c r="AF451" i="13" s="1"/>
  <c r="E448" i="17" s="1"/>
  <c r="AI450" i="13"/>
  <c r="AG450" i="13"/>
  <c r="AF450" i="13" s="1"/>
  <c r="E447" i="17" s="1"/>
  <c r="AI449" i="13"/>
  <c r="AG449" i="13"/>
  <c r="AF449" i="13"/>
  <c r="E446" i="17" s="1"/>
  <c r="AI448" i="13"/>
  <c r="AG448" i="13"/>
  <c r="AF448" i="13" s="1"/>
  <c r="E445" i="17" s="1"/>
  <c r="AI447" i="13"/>
  <c r="AG447" i="13"/>
  <c r="AF447" i="13" s="1"/>
  <c r="E444" i="17" s="1"/>
  <c r="AI446" i="13"/>
  <c r="AG446" i="13"/>
  <c r="AF446" i="13" s="1"/>
  <c r="E443" i="17" s="1"/>
  <c r="AI445" i="13"/>
  <c r="AG445" i="13"/>
  <c r="AF445" i="13" s="1"/>
  <c r="E442" i="17" s="1"/>
  <c r="AI444" i="13"/>
  <c r="AG444" i="13"/>
  <c r="AF444" i="13" s="1"/>
  <c r="E441" i="17" s="1"/>
  <c r="AI443" i="13"/>
  <c r="AG443" i="13"/>
  <c r="AF443" i="13" s="1"/>
  <c r="E440" i="17" s="1"/>
  <c r="AI442" i="13"/>
  <c r="AG442" i="13"/>
  <c r="AF442" i="13"/>
  <c r="E439" i="17" s="1"/>
  <c r="AI441" i="13"/>
  <c r="AG441" i="13"/>
  <c r="AF441" i="13"/>
  <c r="E438" i="17" s="1"/>
  <c r="AI440" i="13"/>
  <c r="AG440" i="13"/>
  <c r="AF440" i="13" s="1"/>
  <c r="E437" i="17" s="1"/>
  <c r="AI439" i="13"/>
  <c r="AG439" i="13"/>
  <c r="AF439" i="13" s="1"/>
  <c r="E436" i="17" s="1"/>
  <c r="AI438" i="13"/>
  <c r="AG438" i="13"/>
  <c r="AF438" i="13" s="1"/>
  <c r="E435" i="17" s="1"/>
  <c r="AI437" i="13"/>
  <c r="AG437" i="13"/>
  <c r="AF437" i="13" s="1"/>
  <c r="E434" i="17" s="1"/>
  <c r="AI436" i="13"/>
  <c r="AG436" i="13"/>
  <c r="AF436" i="13" s="1"/>
  <c r="E433" i="17" s="1"/>
  <c r="AI435" i="13"/>
  <c r="AG435" i="13"/>
  <c r="AF435" i="13" s="1"/>
  <c r="E432" i="17" s="1"/>
  <c r="AI434" i="13"/>
  <c r="AG434" i="13"/>
  <c r="AF434" i="13"/>
  <c r="E431" i="17" s="1"/>
  <c r="AI433" i="13"/>
  <c r="AG433" i="13"/>
  <c r="AF433" i="13" s="1"/>
  <c r="E430" i="17" s="1"/>
  <c r="AI432" i="13"/>
  <c r="AG432" i="13"/>
  <c r="AF432" i="13" s="1"/>
  <c r="E429" i="17" s="1"/>
  <c r="AI431" i="13"/>
  <c r="AG431" i="13"/>
  <c r="AF431" i="13" s="1"/>
  <c r="E428" i="17" s="1"/>
  <c r="AI430" i="13"/>
  <c r="AG430" i="13"/>
  <c r="AF430" i="13" s="1"/>
  <c r="E427" i="17" s="1"/>
  <c r="AI429" i="13"/>
  <c r="AG429" i="13"/>
  <c r="AF429" i="13"/>
  <c r="E426" i="17" s="1"/>
  <c r="AI428" i="13"/>
  <c r="AG428" i="13"/>
  <c r="AF428" i="13" s="1"/>
  <c r="E425" i="17" s="1"/>
  <c r="AI427" i="13"/>
  <c r="AG427" i="13"/>
  <c r="AF427" i="13" s="1"/>
  <c r="E424" i="17" s="1"/>
  <c r="AI426" i="13"/>
  <c r="AG426" i="13"/>
  <c r="AF426" i="13" s="1"/>
  <c r="E423" i="17" s="1"/>
  <c r="AI425" i="13"/>
  <c r="AG425" i="13"/>
  <c r="AF425" i="13"/>
  <c r="E422" i="17" s="1"/>
  <c r="AI424" i="13"/>
  <c r="AG424" i="13"/>
  <c r="AF424" i="13" s="1"/>
  <c r="E421" i="17" s="1"/>
  <c r="AI423" i="13"/>
  <c r="AG423" i="13"/>
  <c r="AF423" i="13" s="1"/>
  <c r="E420" i="17" s="1"/>
  <c r="AI422" i="13"/>
  <c r="AG422" i="13"/>
  <c r="AF422" i="13" s="1"/>
  <c r="E419" i="17" s="1"/>
  <c r="AI421" i="13"/>
  <c r="AG421" i="13"/>
  <c r="AF421" i="13" s="1"/>
  <c r="E418" i="17" s="1"/>
  <c r="AI420" i="13"/>
  <c r="AG420" i="13"/>
  <c r="AF420" i="13" s="1"/>
  <c r="E417" i="17" s="1"/>
  <c r="AI419" i="13"/>
  <c r="AG419" i="13"/>
  <c r="AF419" i="13" s="1"/>
  <c r="E416" i="17" s="1"/>
  <c r="AI418" i="13"/>
  <c r="AG418" i="13"/>
  <c r="AF418" i="13"/>
  <c r="E415" i="17" s="1"/>
  <c r="AI417" i="13"/>
  <c r="AG417" i="13"/>
  <c r="AF417" i="13" s="1"/>
  <c r="E414" i="17" s="1"/>
  <c r="AI416" i="13"/>
  <c r="AG416" i="13"/>
  <c r="AF416" i="13" s="1"/>
  <c r="E413" i="17" s="1"/>
  <c r="AI415" i="13"/>
  <c r="AG415" i="13"/>
  <c r="AF415" i="13" s="1"/>
  <c r="E412" i="17" s="1"/>
  <c r="AI414" i="13"/>
  <c r="AG414" i="13"/>
  <c r="AF414" i="13"/>
  <c r="E411" i="17" s="1"/>
  <c r="AI413" i="13"/>
  <c r="AG413" i="13"/>
  <c r="AF413" i="13" s="1"/>
  <c r="E410" i="17" s="1"/>
  <c r="AI412" i="13"/>
  <c r="AG412" i="13"/>
  <c r="AF412" i="13" s="1"/>
  <c r="E409" i="17" s="1"/>
  <c r="AI411" i="13"/>
  <c r="AG411" i="13"/>
  <c r="AF411" i="13" s="1"/>
  <c r="E408" i="17" s="1"/>
  <c r="AI410" i="13"/>
  <c r="AG410" i="13"/>
  <c r="AF410" i="13" s="1"/>
  <c r="E407" i="17" s="1"/>
  <c r="AI409" i="13"/>
  <c r="AG409" i="13"/>
  <c r="AF409" i="13" s="1"/>
  <c r="E406" i="17" s="1"/>
  <c r="AI408" i="13"/>
  <c r="AG408" i="13"/>
  <c r="AF408" i="13" s="1"/>
  <c r="E405" i="17" s="1"/>
  <c r="AI407" i="13"/>
  <c r="AG407" i="13"/>
  <c r="AF407" i="13" s="1"/>
  <c r="E404" i="17" s="1"/>
  <c r="AI406" i="13"/>
  <c r="AG406" i="13"/>
  <c r="AF406" i="13" s="1"/>
  <c r="E403" i="17" s="1"/>
  <c r="AI405" i="13"/>
  <c r="AG405" i="13"/>
  <c r="AF405" i="13"/>
  <c r="E402" i="17" s="1"/>
  <c r="AI404" i="13"/>
  <c r="AG404" i="13"/>
  <c r="AF404" i="13" s="1"/>
  <c r="E401" i="17" s="1"/>
  <c r="AI403" i="13"/>
  <c r="AG403" i="13"/>
  <c r="AF403" i="13" s="1"/>
  <c r="E400" i="17" s="1"/>
  <c r="AI402" i="13"/>
  <c r="AG402" i="13"/>
  <c r="AF402" i="13" s="1"/>
  <c r="E399" i="17" s="1"/>
  <c r="AI401" i="13"/>
  <c r="AG401" i="13"/>
  <c r="AF401" i="13"/>
  <c r="E398" i="17" s="1"/>
  <c r="AI400" i="13"/>
  <c r="AG400" i="13"/>
  <c r="AF400" i="13" s="1"/>
  <c r="E397" i="17" s="1"/>
  <c r="AI399" i="13"/>
  <c r="AG399" i="13"/>
  <c r="AF399" i="13" s="1"/>
  <c r="E396" i="17" s="1"/>
  <c r="AI398" i="13"/>
  <c r="AG398" i="13"/>
  <c r="AF398" i="13"/>
  <c r="E395" i="17" s="1"/>
  <c r="AI397" i="13"/>
  <c r="AG397" i="13"/>
  <c r="AF397" i="13" s="1"/>
  <c r="E394" i="17" s="1"/>
  <c r="AI396" i="13"/>
  <c r="AG396" i="13"/>
  <c r="AF396" i="13" s="1"/>
  <c r="E393" i="17" s="1"/>
  <c r="AI395" i="13"/>
  <c r="AG395" i="13"/>
  <c r="AF395" i="13" s="1"/>
  <c r="E392" i="17" s="1"/>
  <c r="AI394" i="13"/>
  <c r="AG394" i="13"/>
  <c r="AF394" i="13"/>
  <c r="E391" i="17" s="1"/>
  <c r="AI393" i="13"/>
  <c r="AG393" i="13"/>
  <c r="AF393" i="13" s="1"/>
  <c r="E390" i="17" s="1"/>
  <c r="AI392" i="13"/>
  <c r="AG392" i="13"/>
  <c r="AF392" i="13"/>
  <c r="E389" i="17" s="1"/>
  <c r="AI391" i="13"/>
  <c r="AG391" i="13"/>
  <c r="AF391" i="13" s="1"/>
  <c r="E388" i="17" s="1"/>
  <c r="AI390" i="13"/>
  <c r="AG390" i="13"/>
  <c r="AF390" i="13" s="1"/>
  <c r="E387" i="17" s="1"/>
  <c r="AI389" i="13"/>
  <c r="AG389" i="13"/>
  <c r="AF389" i="13"/>
  <c r="E386" i="17" s="1"/>
  <c r="AI388" i="13"/>
  <c r="AG388" i="13"/>
  <c r="AF388" i="13" s="1"/>
  <c r="E385" i="17" s="1"/>
  <c r="AI387" i="13"/>
  <c r="AG387" i="13"/>
  <c r="AF387" i="13" s="1"/>
  <c r="E384" i="17" s="1"/>
  <c r="AI386" i="13"/>
  <c r="AG386" i="13"/>
  <c r="AF386" i="13" s="1"/>
  <c r="E383" i="17" s="1"/>
  <c r="AI385" i="13"/>
  <c r="AG385" i="13"/>
  <c r="AF385" i="13"/>
  <c r="E382" i="17" s="1"/>
  <c r="AI384" i="13"/>
  <c r="AG384" i="13"/>
  <c r="AF384" i="13" s="1"/>
  <c r="E381" i="17" s="1"/>
  <c r="AI383" i="13"/>
  <c r="AG383" i="13"/>
  <c r="AF383" i="13" s="1"/>
  <c r="E380" i="17" s="1"/>
  <c r="AI382" i="13"/>
  <c r="AG382" i="13"/>
  <c r="AF382" i="13" s="1"/>
  <c r="E379" i="17" s="1"/>
  <c r="AI381" i="13"/>
  <c r="AG381" i="13"/>
  <c r="AF381" i="13" s="1"/>
  <c r="E378" i="17" s="1"/>
  <c r="AI380" i="13"/>
  <c r="AG380" i="13"/>
  <c r="AF380" i="13" s="1"/>
  <c r="E377" i="17" s="1"/>
  <c r="AI379" i="13"/>
  <c r="AG379" i="13"/>
  <c r="AF379" i="13" s="1"/>
  <c r="E376" i="17" s="1"/>
  <c r="AI378" i="13"/>
  <c r="AG378" i="13"/>
  <c r="AF378" i="13"/>
  <c r="E375" i="17" s="1"/>
  <c r="AI377" i="13"/>
  <c r="AG377" i="13"/>
  <c r="AF377" i="13"/>
  <c r="E374" i="17" s="1"/>
  <c r="AI376" i="13"/>
  <c r="AG376" i="13"/>
  <c r="AF376" i="13" s="1"/>
  <c r="E373" i="17" s="1"/>
  <c r="AI375" i="13"/>
  <c r="AG375" i="13"/>
  <c r="AF375" i="13" s="1"/>
  <c r="E372" i="17" s="1"/>
  <c r="AI374" i="13"/>
  <c r="AG374" i="13"/>
  <c r="AF374" i="13"/>
  <c r="E371" i="17" s="1"/>
  <c r="AI373" i="13"/>
  <c r="AG373" i="13"/>
  <c r="AF373" i="13" s="1"/>
  <c r="E370" i="17" s="1"/>
  <c r="AI372" i="13"/>
  <c r="AG372" i="13"/>
  <c r="AF372" i="13" s="1"/>
  <c r="E369" i="17" s="1"/>
  <c r="AI371" i="13"/>
  <c r="AG371" i="13"/>
  <c r="AF371" i="13" s="1"/>
  <c r="E368" i="17" s="1"/>
  <c r="AI370" i="13"/>
  <c r="AG370" i="13"/>
  <c r="AF370" i="13"/>
  <c r="E367" i="17" s="1"/>
  <c r="AI369" i="13"/>
  <c r="AG369" i="13"/>
  <c r="AF369" i="13" s="1"/>
  <c r="E366" i="17" s="1"/>
  <c r="AI368" i="13"/>
  <c r="AG368" i="13"/>
  <c r="AF368" i="13" s="1"/>
  <c r="E365" i="17" s="1"/>
  <c r="AI367" i="13"/>
  <c r="AG367" i="13"/>
  <c r="AF367" i="13" s="1"/>
  <c r="E364" i="17" s="1"/>
  <c r="AI366" i="13"/>
  <c r="AG366" i="13"/>
  <c r="AF366" i="13" s="1"/>
  <c r="E363" i="17" s="1"/>
  <c r="AI365" i="13"/>
  <c r="AG365" i="13"/>
  <c r="AF365" i="13" s="1"/>
  <c r="E362" i="17" s="1"/>
  <c r="AI364" i="13"/>
  <c r="AG364" i="13"/>
  <c r="AF364" i="13" s="1"/>
  <c r="E361" i="17" s="1"/>
  <c r="AI363" i="13"/>
  <c r="AG363" i="13"/>
  <c r="AF363" i="13" s="1"/>
  <c r="E360" i="17" s="1"/>
  <c r="AI362" i="13"/>
  <c r="AG362" i="13"/>
  <c r="AF362" i="13"/>
  <c r="E359" i="17" s="1"/>
  <c r="AI361" i="13"/>
  <c r="AG361" i="13"/>
  <c r="AF361" i="13" s="1"/>
  <c r="E358" i="17" s="1"/>
  <c r="AI360" i="13"/>
  <c r="AG360" i="13"/>
  <c r="AF360" i="13"/>
  <c r="E357" i="17" s="1"/>
  <c r="AI359" i="13"/>
  <c r="AG359" i="13"/>
  <c r="AF359" i="13" s="1"/>
  <c r="E356" i="17" s="1"/>
  <c r="AI358" i="13"/>
  <c r="AG358" i="13"/>
  <c r="AF358" i="13" s="1"/>
  <c r="E355" i="17" s="1"/>
  <c r="AI357" i="13"/>
  <c r="AG357" i="13"/>
  <c r="AF357" i="13" s="1"/>
  <c r="E354" i="17" s="1"/>
  <c r="AI356" i="13"/>
  <c r="AG356" i="13"/>
  <c r="AF356" i="13" s="1"/>
  <c r="E353" i="17" s="1"/>
  <c r="AI355" i="13"/>
  <c r="AG355" i="13"/>
  <c r="AF355" i="13" s="1"/>
  <c r="E352" i="17" s="1"/>
  <c r="AI354" i="13"/>
  <c r="AG354" i="13"/>
  <c r="AF354" i="13"/>
  <c r="E351" i="17" s="1"/>
  <c r="AI353" i="13"/>
  <c r="AG353" i="13"/>
  <c r="AF353" i="13" s="1"/>
  <c r="E350" i="17" s="1"/>
  <c r="AI352" i="13"/>
  <c r="AG352" i="13"/>
  <c r="AF352" i="13" s="1"/>
  <c r="E349" i="17" s="1"/>
  <c r="AI351" i="13"/>
  <c r="AG351" i="13"/>
  <c r="AF351" i="13"/>
  <c r="E348" i="17" s="1"/>
  <c r="AI350" i="13"/>
  <c r="AG350" i="13"/>
  <c r="AF350" i="13" s="1"/>
  <c r="E347" i="17" s="1"/>
  <c r="AI349" i="13"/>
  <c r="AG349" i="13"/>
  <c r="AF349" i="13" s="1"/>
  <c r="E346" i="17" s="1"/>
  <c r="AI348" i="13"/>
  <c r="AG348" i="13"/>
  <c r="AF348" i="13" s="1"/>
  <c r="E345" i="17" s="1"/>
  <c r="AI347" i="13"/>
  <c r="AG347" i="13"/>
  <c r="AF347" i="13" s="1"/>
  <c r="E344" i="17" s="1"/>
  <c r="AI346" i="13"/>
  <c r="AG346" i="13"/>
  <c r="AF346" i="13" s="1"/>
  <c r="E343" i="17" s="1"/>
  <c r="AI345" i="13"/>
  <c r="AG345" i="13"/>
  <c r="AF345" i="13"/>
  <c r="E342" i="17" s="1"/>
  <c r="AI344" i="13"/>
  <c r="AG344" i="13"/>
  <c r="AF344" i="13" s="1"/>
  <c r="E341" i="17" s="1"/>
  <c r="AI343" i="13"/>
  <c r="AG343" i="13"/>
  <c r="AF343" i="13" s="1"/>
  <c r="E340" i="17" s="1"/>
  <c r="AI342" i="13"/>
  <c r="AG342" i="13"/>
  <c r="AF342" i="13" s="1"/>
  <c r="E339" i="17" s="1"/>
  <c r="AI341" i="13"/>
  <c r="AG341" i="13"/>
  <c r="AF341" i="13"/>
  <c r="E338" i="17" s="1"/>
  <c r="AI340" i="13"/>
  <c r="AG340" i="13"/>
  <c r="AF340" i="13" s="1"/>
  <c r="E337" i="17" s="1"/>
  <c r="AI339" i="13"/>
  <c r="AG339" i="13"/>
  <c r="AF339" i="13" s="1"/>
  <c r="E336" i="17" s="1"/>
  <c r="AI338" i="13"/>
  <c r="AG338" i="13"/>
  <c r="AF338" i="13" s="1"/>
  <c r="E335" i="17" s="1"/>
  <c r="AI337" i="13"/>
  <c r="AG337" i="13"/>
  <c r="AF337" i="13" s="1"/>
  <c r="E334" i="17" s="1"/>
  <c r="AI336" i="13"/>
  <c r="AG336" i="13"/>
  <c r="AF336" i="13" s="1"/>
  <c r="E333" i="17" s="1"/>
  <c r="AI335" i="13"/>
  <c r="AG335" i="13"/>
  <c r="AF335" i="13" s="1"/>
  <c r="E332" i="17" s="1"/>
  <c r="AI334" i="13"/>
  <c r="AG334" i="13"/>
  <c r="AF334" i="13" s="1"/>
  <c r="E331" i="17" s="1"/>
  <c r="AI333" i="13"/>
  <c r="AG333" i="13"/>
  <c r="AF333" i="13" s="1"/>
  <c r="E330" i="17" s="1"/>
  <c r="AI332" i="13"/>
  <c r="AG332" i="13"/>
  <c r="AF332" i="13" s="1"/>
  <c r="E329" i="17" s="1"/>
  <c r="AI331" i="13"/>
  <c r="AG331" i="13"/>
  <c r="AF331" i="13" s="1"/>
  <c r="E328" i="17" s="1"/>
  <c r="AI330" i="13"/>
  <c r="AG330" i="13"/>
  <c r="AF330" i="13" s="1"/>
  <c r="E327" i="17" s="1"/>
  <c r="AI329" i="13"/>
  <c r="AG329" i="13"/>
  <c r="AF329" i="13" s="1"/>
  <c r="E326" i="17" s="1"/>
  <c r="AI328" i="13"/>
  <c r="AG328" i="13"/>
  <c r="AF328" i="13" s="1"/>
  <c r="E325" i="17" s="1"/>
  <c r="AI327" i="13"/>
  <c r="AG327" i="13"/>
  <c r="AF327" i="13" s="1"/>
  <c r="E324" i="17" s="1"/>
  <c r="AI326" i="13"/>
  <c r="AG326" i="13"/>
  <c r="AF326" i="13" s="1"/>
  <c r="E323" i="17" s="1"/>
  <c r="AI325" i="13"/>
  <c r="AG325" i="13"/>
  <c r="AF325" i="13" s="1"/>
  <c r="E322" i="17" s="1"/>
  <c r="AI324" i="13"/>
  <c r="AG324" i="13"/>
  <c r="AF324" i="13" s="1"/>
  <c r="E321" i="17" s="1"/>
  <c r="AI323" i="13"/>
  <c r="AG323" i="13"/>
  <c r="AF323" i="13" s="1"/>
  <c r="E320" i="17" s="1"/>
  <c r="AI322" i="13"/>
  <c r="AG322" i="13"/>
  <c r="AF322" i="13" s="1"/>
  <c r="E319" i="17" s="1"/>
  <c r="AI321" i="13"/>
  <c r="AG321" i="13"/>
  <c r="AF321" i="13" s="1"/>
  <c r="E318" i="17" s="1"/>
  <c r="AI320" i="13"/>
  <c r="AG320" i="13"/>
  <c r="AF320" i="13" s="1"/>
  <c r="E317" i="17" s="1"/>
  <c r="AI319" i="13"/>
  <c r="AG319" i="13"/>
  <c r="AF319" i="13" s="1"/>
  <c r="E316" i="17" s="1"/>
  <c r="AI318" i="13"/>
  <c r="AG318" i="13"/>
  <c r="AF318" i="13" s="1"/>
  <c r="E315" i="17" s="1"/>
  <c r="AI317" i="13"/>
  <c r="AG317" i="13"/>
  <c r="AF317" i="13" s="1"/>
  <c r="E314" i="17" s="1"/>
  <c r="AI316" i="13"/>
  <c r="AG316" i="13"/>
  <c r="AF316" i="13" s="1"/>
  <c r="E313" i="17" s="1"/>
  <c r="AI315" i="13"/>
  <c r="AG315" i="13"/>
  <c r="AF315" i="13" s="1"/>
  <c r="E312" i="17" s="1"/>
  <c r="AI314" i="13"/>
  <c r="AG314" i="13"/>
  <c r="AF314" i="13" s="1"/>
  <c r="E311" i="17" s="1"/>
  <c r="AI313" i="13"/>
  <c r="AG313" i="13"/>
  <c r="AF313" i="13" s="1"/>
  <c r="E310" i="17" s="1"/>
  <c r="AI312" i="13"/>
  <c r="AG312" i="13"/>
  <c r="AF312" i="13" s="1"/>
  <c r="E309" i="17" s="1"/>
  <c r="AI311" i="13"/>
  <c r="AG311" i="13"/>
  <c r="AF311" i="13" s="1"/>
  <c r="E308" i="17" s="1"/>
  <c r="AI310" i="13"/>
  <c r="AG310" i="13"/>
  <c r="AF310" i="13" s="1"/>
  <c r="E307" i="17" s="1"/>
  <c r="AI309" i="13"/>
  <c r="AG309" i="13"/>
  <c r="AF309" i="13" s="1"/>
  <c r="E306" i="17" s="1"/>
  <c r="AI308" i="13"/>
  <c r="AG308" i="13"/>
  <c r="AF308" i="13" s="1"/>
  <c r="E305" i="17" s="1"/>
  <c r="AI307" i="13"/>
  <c r="AG307" i="13"/>
  <c r="AF307" i="13" s="1"/>
  <c r="E304" i="17" s="1"/>
  <c r="AI306" i="13"/>
  <c r="AG306" i="13"/>
  <c r="AF306" i="13" s="1"/>
  <c r="E303" i="17" s="1"/>
  <c r="AI305" i="13"/>
  <c r="AG305" i="13"/>
  <c r="AF305" i="13" s="1"/>
  <c r="E302" i="17" s="1"/>
  <c r="AI304" i="13"/>
  <c r="AG304" i="13"/>
  <c r="AF304" i="13" s="1"/>
  <c r="E301" i="17" s="1"/>
  <c r="AI303" i="13"/>
  <c r="AG303" i="13"/>
  <c r="AF303" i="13" s="1"/>
  <c r="E300" i="17" s="1"/>
  <c r="AI302" i="13"/>
  <c r="AG302" i="13"/>
  <c r="AF302" i="13" s="1"/>
  <c r="E299" i="17" s="1"/>
  <c r="AI301" i="13"/>
  <c r="AG301" i="13"/>
  <c r="AF301" i="13" s="1"/>
  <c r="E298" i="17" s="1"/>
  <c r="AI300" i="13"/>
  <c r="AG300" i="13"/>
  <c r="AF300" i="13" s="1"/>
  <c r="E297" i="17" s="1"/>
  <c r="AI299" i="13"/>
  <c r="AG299" i="13"/>
  <c r="AF299" i="13" s="1"/>
  <c r="E296" i="17" s="1"/>
  <c r="AI298" i="13"/>
  <c r="AG298" i="13"/>
  <c r="AF298" i="13" s="1"/>
  <c r="E295" i="17" s="1"/>
  <c r="AI297" i="13"/>
  <c r="AG297" i="13"/>
  <c r="AF297" i="13" s="1"/>
  <c r="E294" i="17" s="1"/>
  <c r="AI296" i="13"/>
  <c r="AG296" i="13"/>
  <c r="AF296" i="13" s="1"/>
  <c r="E293" i="17" s="1"/>
  <c r="AI295" i="13"/>
  <c r="AG295" i="13"/>
  <c r="AF295" i="13" s="1"/>
  <c r="E292" i="17" s="1"/>
  <c r="AI294" i="13"/>
  <c r="AG294" i="13"/>
  <c r="AF294" i="13" s="1"/>
  <c r="E291" i="17" s="1"/>
  <c r="AI293" i="13"/>
  <c r="AG293" i="13"/>
  <c r="AF293" i="13" s="1"/>
  <c r="E290" i="17" s="1"/>
  <c r="AI292" i="13"/>
  <c r="AG292" i="13"/>
  <c r="AF292" i="13" s="1"/>
  <c r="E289" i="17" s="1"/>
  <c r="AI291" i="13"/>
  <c r="AG291" i="13"/>
  <c r="AF291" i="13" s="1"/>
  <c r="E288" i="17" s="1"/>
  <c r="AI290" i="13"/>
  <c r="AG290" i="13"/>
  <c r="AF290" i="13" s="1"/>
  <c r="E287" i="17" s="1"/>
  <c r="AI289" i="13"/>
  <c r="AG289" i="13"/>
  <c r="AF289" i="13" s="1"/>
  <c r="E286" i="17" s="1"/>
  <c r="AI288" i="13"/>
  <c r="AG288" i="13"/>
  <c r="AF288" i="13" s="1"/>
  <c r="E285" i="17" s="1"/>
  <c r="AI287" i="13"/>
  <c r="AG287" i="13"/>
  <c r="AF287" i="13" s="1"/>
  <c r="E284" i="17" s="1"/>
  <c r="AI286" i="13"/>
  <c r="AG286" i="13"/>
  <c r="AF286" i="13" s="1"/>
  <c r="E283" i="17" s="1"/>
  <c r="AI285" i="13"/>
  <c r="AG285" i="13"/>
  <c r="AF285" i="13" s="1"/>
  <c r="E282" i="17" s="1"/>
  <c r="AI284" i="13"/>
  <c r="AG284" i="13"/>
  <c r="AF284" i="13" s="1"/>
  <c r="E281" i="17" s="1"/>
  <c r="AI283" i="13"/>
  <c r="AG283" i="13"/>
  <c r="AF283" i="13" s="1"/>
  <c r="E280" i="17" s="1"/>
  <c r="AI282" i="13"/>
  <c r="AG282" i="13"/>
  <c r="AF282" i="13" s="1"/>
  <c r="E279" i="17" s="1"/>
  <c r="AI281" i="13"/>
  <c r="AG281" i="13"/>
  <c r="AF281" i="13" s="1"/>
  <c r="E278" i="17" s="1"/>
  <c r="AI280" i="13"/>
  <c r="AG280" i="13"/>
  <c r="AF280" i="13" s="1"/>
  <c r="E277" i="17" s="1"/>
  <c r="AI279" i="13"/>
  <c r="AG279" i="13"/>
  <c r="AF279" i="13" s="1"/>
  <c r="E276" i="17" s="1"/>
  <c r="AI278" i="13"/>
  <c r="AG278" i="13"/>
  <c r="AF278" i="13" s="1"/>
  <c r="E275" i="17" s="1"/>
  <c r="AI277" i="13"/>
  <c r="AG277" i="13"/>
  <c r="AF277" i="13" s="1"/>
  <c r="E274" i="17" s="1"/>
  <c r="AI276" i="13"/>
  <c r="AG276" i="13"/>
  <c r="AF276" i="13" s="1"/>
  <c r="E273" i="17" s="1"/>
  <c r="AI275" i="13"/>
  <c r="AG275" i="13"/>
  <c r="AF275" i="13" s="1"/>
  <c r="E272" i="17" s="1"/>
  <c r="AI274" i="13"/>
  <c r="AG274" i="13"/>
  <c r="AF274" i="13" s="1"/>
  <c r="E271" i="17" s="1"/>
  <c r="AI273" i="13"/>
  <c r="AG273" i="13"/>
  <c r="AF273" i="13" s="1"/>
  <c r="E270" i="17" s="1"/>
  <c r="AI272" i="13"/>
  <c r="AG272" i="13"/>
  <c r="AF272" i="13" s="1"/>
  <c r="E269" i="17" s="1"/>
  <c r="AI271" i="13"/>
  <c r="AG271" i="13"/>
  <c r="AF271" i="13" s="1"/>
  <c r="E268" i="17" s="1"/>
  <c r="AI270" i="13"/>
  <c r="AG270" i="13"/>
  <c r="AF270" i="13" s="1"/>
  <c r="E267" i="17" s="1"/>
  <c r="AI269" i="13"/>
  <c r="AG269" i="13"/>
  <c r="AF269" i="13" s="1"/>
  <c r="E266" i="17" s="1"/>
  <c r="AI268" i="13"/>
  <c r="AG268" i="13"/>
  <c r="AF268" i="13" s="1"/>
  <c r="E265" i="17" s="1"/>
  <c r="AI267" i="13"/>
  <c r="AG267" i="13"/>
  <c r="AF267" i="13" s="1"/>
  <c r="E264" i="17" s="1"/>
  <c r="AI266" i="13"/>
  <c r="AG266" i="13"/>
  <c r="AF266" i="13" s="1"/>
  <c r="E263" i="17" s="1"/>
  <c r="AI265" i="13"/>
  <c r="AG265" i="13"/>
  <c r="AF265" i="13" s="1"/>
  <c r="E262" i="17" s="1"/>
  <c r="AI264" i="13"/>
  <c r="AG264" i="13"/>
  <c r="AF264" i="13" s="1"/>
  <c r="E261" i="17" s="1"/>
  <c r="AI263" i="13"/>
  <c r="AG263" i="13"/>
  <c r="AF263" i="13" s="1"/>
  <c r="E260" i="17" s="1"/>
  <c r="AI262" i="13"/>
  <c r="AG262" i="13"/>
  <c r="AF262" i="13" s="1"/>
  <c r="E259" i="17" s="1"/>
  <c r="AI261" i="13"/>
  <c r="AG261" i="13"/>
  <c r="AF261" i="13" s="1"/>
  <c r="E258" i="17" s="1"/>
  <c r="AI260" i="13"/>
  <c r="AG260" i="13"/>
  <c r="AF260" i="13" s="1"/>
  <c r="E257" i="17" s="1"/>
  <c r="AI259" i="13"/>
  <c r="AG259" i="13"/>
  <c r="AF259" i="13" s="1"/>
  <c r="E256" i="17" s="1"/>
  <c r="AI258" i="13"/>
  <c r="AG258" i="13"/>
  <c r="AF258" i="13" s="1"/>
  <c r="E255" i="17" s="1"/>
  <c r="AI257" i="13"/>
  <c r="AG257" i="13"/>
  <c r="AF257" i="13" s="1"/>
  <c r="E254" i="17" s="1"/>
  <c r="AI256" i="13"/>
  <c r="AG256" i="13"/>
  <c r="AF256" i="13" s="1"/>
  <c r="E253" i="17" s="1"/>
  <c r="AI255" i="13"/>
  <c r="AG255" i="13"/>
  <c r="AF255" i="13" s="1"/>
  <c r="E252" i="17" s="1"/>
  <c r="AI254" i="13"/>
  <c r="AG254" i="13"/>
  <c r="AF254" i="13" s="1"/>
  <c r="E251" i="17" s="1"/>
  <c r="AI253" i="13"/>
  <c r="AG253" i="13"/>
  <c r="AF253" i="13" s="1"/>
  <c r="E250" i="17" s="1"/>
  <c r="AI252" i="13"/>
  <c r="AG252" i="13"/>
  <c r="AF252" i="13" s="1"/>
  <c r="E249" i="17" s="1"/>
  <c r="AI251" i="13"/>
  <c r="AG251" i="13"/>
  <c r="AF251" i="13" s="1"/>
  <c r="E248" i="17" s="1"/>
  <c r="AI250" i="13"/>
  <c r="AG250" i="13"/>
  <c r="AF250" i="13" s="1"/>
  <c r="E247" i="17" s="1"/>
  <c r="AI249" i="13"/>
  <c r="AG249" i="13"/>
  <c r="AF249" i="13" s="1"/>
  <c r="E246" i="17" s="1"/>
  <c r="AI248" i="13"/>
  <c r="AG248" i="13"/>
  <c r="AF248" i="13" s="1"/>
  <c r="E245" i="17" s="1"/>
  <c r="AI247" i="13"/>
  <c r="AG247" i="13"/>
  <c r="AF247" i="13" s="1"/>
  <c r="E244" i="17" s="1"/>
  <c r="AI246" i="13"/>
  <c r="AG246" i="13"/>
  <c r="AF246" i="13" s="1"/>
  <c r="E243" i="17" s="1"/>
  <c r="AI245" i="13"/>
  <c r="AG245" i="13"/>
  <c r="AF245" i="13" s="1"/>
  <c r="E242" i="17" s="1"/>
  <c r="AI244" i="13"/>
  <c r="AG244" i="13"/>
  <c r="AF244" i="13" s="1"/>
  <c r="E241" i="17" s="1"/>
  <c r="AI243" i="13"/>
  <c r="AG243" i="13"/>
  <c r="AF243" i="13" s="1"/>
  <c r="E240" i="17" s="1"/>
  <c r="AI242" i="13"/>
  <c r="AG242" i="13"/>
  <c r="AF242" i="13" s="1"/>
  <c r="E239" i="17" s="1"/>
  <c r="AI241" i="13"/>
  <c r="AG241" i="13"/>
  <c r="AF241" i="13" s="1"/>
  <c r="E238" i="17" s="1"/>
  <c r="AI240" i="13"/>
  <c r="AG240" i="13"/>
  <c r="AF240" i="13" s="1"/>
  <c r="E237" i="17" s="1"/>
  <c r="AI239" i="13"/>
  <c r="AG239" i="13"/>
  <c r="AF239" i="13" s="1"/>
  <c r="E236" i="17" s="1"/>
  <c r="AI238" i="13"/>
  <c r="AG238" i="13"/>
  <c r="AF238" i="13" s="1"/>
  <c r="E235" i="17" s="1"/>
  <c r="AI237" i="13"/>
  <c r="AG237" i="13"/>
  <c r="AF237" i="13" s="1"/>
  <c r="E234" i="17" s="1"/>
  <c r="AI236" i="13"/>
  <c r="AG236" i="13"/>
  <c r="AF236" i="13" s="1"/>
  <c r="E233" i="17" s="1"/>
  <c r="AI235" i="13"/>
  <c r="AG235" i="13"/>
  <c r="AF235" i="13" s="1"/>
  <c r="E232" i="17" s="1"/>
  <c r="AI234" i="13"/>
  <c r="AG234" i="13"/>
  <c r="AF234" i="13" s="1"/>
  <c r="E231" i="17" s="1"/>
  <c r="AI233" i="13"/>
  <c r="AG233" i="13"/>
  <c r="AF233" i="13" s="1"/>
  <c r="E230" i="17" s="1"/>
  <c r="AI232" i="13"/>
  <c r="AG232" i="13"/>
  <c r="AF232" i="13" s="1"/>
  <c r="E229" i="17" s="1"/>
  <c r="AI231" i="13"/>
  <c r="AG231" i="13"/>
  <c r="AF231" i="13" s="1"/>
  <c r="E228" i="17" s="1"/>
  <c r="AI230" i="13"/>
  <c r="AG230" i="13"/>
  <c r="AF230" i="13" s="1"/>
  <c r="E227" i="17" s="1"/>
  <c r="AI229" i="13"/>
  <c r="AG229" i="13"/>
  <c r="AF229" i="13" s="1"/>
  <c r="E226" i="17" s="1"/>
  <c r="AI228" i="13"/>
  <c r="AG228" i="13"/>
  <c r="AF228" i="13" s="1"/>
  <c r="E225" i="17" s="1"/>
  <c r="AI227" i="13"/>
  <c r="AG227" i="13"/>
  <c r="AF227" i="13" s="1"/>
  <c r="E224" i="17" s="1"/>
  <c r="AI226" i="13"/>
  <c r="AG226" i="13"/>
  <c r="AF226" i="13" s="1"/>
  <c r="E223" i="17" s="1"/>
  <c r="AI225" i="13"/>
  <c r="AG225" i="13"/>
  <c r="AF225" i="13"/>
  <c r="E222" i="17" s="1"/>
  <c r="AI224" i="13"/>
  <c r="AG224" i="13"/>
  <c r="AF224" i="13" s="1"/>
  <c r="E221" i="17" s="1"/>
  <c r="AI223" i="13"/>
  <c r="AG223" i="13"/>
  <c r="AF223" i="13"/>
  <c r="E220" i="17" s="1"/>
  <c r="AI222" i="13"/>
  <c r="AG222" i="13"/>
  <c r="AF222" i="13"/>
  <c r="E219" i="17" s="1"/>
  <c r="AI221" i="13"/>
  <c r="AG221" i="13"/>
  <c r="AF221" i="13" s="1"/>
  <c r="E218" i="17" s="1"/>
  <c r="AI220" i="13"/>
  <c r="AG220" i="13"/>
  <c r="AF220" i="13"/>
  <c r="E217" i="17" s="1"/>
  <c r="AI219" i="13"/>
  <c r="AG219" i="13"/>
  <c r="AF219" i="13"/>
  <c r="E216" i="17" s="1"/>
  <c r="AI218" i="13"/>
  <c r="AG218" i="13"/>
  <c r="AF218" i="13"/>
  <c r="E215" i="17" s="1"/>
  <c r="AI217" i="13"/>
  <c r="AG217" i="13"/>
  <c r="AF217" i="13" s="1"/>
  <c r="E214" i="17" s="1"/>
  <c r="AI216" i="13"/>
  <c r="AG216" i="13"/>
  <c r="AF216" i="13" s="1"/>
  <c r="E213" i="17" s="1"/>
  <c r="AI215" i="13"/>
  <c r="AG215" i="13"/>
  <c r="AF215" i="13" s="1"/>
  <c r="E212" i="17" s="1"/>
  <c r="AI214" i="13"/>
  <c r="AG214" i="13"/>
  <c r="AF214" i="13" s="1"/>
  <c r="E211" i="17" s="1"/>
  <c r="AI213" i="13"/>
  <c r="AG213" i="13"/>
  <c r="AF213" i="13" s="1"/>
  <c r="E210" i="17" s="1"/>
  <c r="AI212" i="13"/>
  <c r="AG212" i="13"/>
  <c r="AF212" i="13" s="1"/>
  <c r="E209" i="17" s="1"/>
  <c r="AI211" i="13"/>
  <c r="AG211" i="13"/>
  <c r="AF211" i="13" s="1"/>
  <c r="E208" i="17" s="1"/>
  <c r="AI210" i="13"/>
  <c r="AG210" i="13"/>
  <c r="AF210" i="13" s="1"/>
  <c r="E207" i="17" s="1"/>
  <c r="AI209" i="13"/>
  <c r="AG209" i="13"/>
  <c r="AF209" i="13" s="1"/>
  <c r="E206" i="17" s="1"/>
  <c r="AI208" i="13"/>
  <c r="AG208" i="13"/>
  <c r="AF208" i="13" s="1"/>
  <c r="E205" i="17" s="1"/>
  <c r="AI207" i="13"/>
  <c r="AG207" i="13"/>
  <c r="AF207" i="13" s="1"/>
  <c r="E204" i="17" s="1"/>
  <c r="AI206" i="13"/>
  <c r="AG206" i="13"/>
  <c r="AF206" i="13" s="1"/>
  <c r="E203" i="17" s="1"/>
  <c r="AI205" i="13"/>
  <c r="AG205" i="13"/>
  <c r="AF205" i="13" s="1"/>
  <c r="E202" i="17" s="1"/>
  <c r="AI204" i="13"/>
  <c r="AG204" i="13"/>
  <c r="AF204" i="13" s="1"/>
  <c r="E201" i="17" s="1"/>
  <c r="AI203" i="13"/>
  <c r="AG203" i="13"/>
  <c r="AF203" i="13" s="1"/>
  <c r="E200" i="17" s="1"/>
  <c r="AI202" i="13"/>
  <c r="AG202" i="13"/>
  <c r="AF202" i="13" s="1"/>
  <c r="E199" i="17" s="1"/>
  <c r="AI201" i="13"/>
  <c r="AG201" i="13"/>
  <c r="AF201" i="13"/>
  <c r="E198" i="17" s="1"/>
  <c r="AI200" i="13"/>
  <c r="AG200" i="13"/>
  <c r="AF200" i="13"/>
  <c r="E197" i="17" s="1"/>
  <c r="AI199" i="13"/>
  <c r="AG199" i="13"/>
  <c r="AF199" i="13"/>
  <c r="E196" i="17" s="1"/>
  <c r="AI198" i="13"/>
  <c r="AG198" i="13"/>
  <c r="AF198" i="13" s="1"/>
  <c r="E195" i="17" s="1"/>
  <c r="AI197" i="13"/>
  <c r="AG197" i="13"/>
  <c r="AF197" i="13"/>
  <c r="E194" i="17" s="1"/>
  <c r="AI196" i="13"/>
  <c r="AG196" i="13"/>
  <c r="AF196" i="13"/>
  <c r="E193" i="17" s="1"/>
  <c r="AI195" i="13"/>
  <c r="AG195" i="13"/>
  <c r="AF195" i="13" s="1"/>
  <c r="E192" i="17" s="1"/>
  <c r="AI194" i="13"/>
  <c r="AG194" i="13"/>
  <c r="AF194" i="13" s="1"/>
  <c r="E191" i="17" s="1"/>
  <c r="AI193" i="13"/>
  <c r="AG193" i="13"/>
  <c r="AF193" i="13"/>
  <c r="E190" i="17" s="1"/>
  <c r="AI192" i="13"/>
  <c r="AG192" i="13"/>
  <c r="AF192" i="13" s="1"/>
  <c r="E189" i="17" s="1"/>
  <c r="AI191" i="13"/>
  <c r="AG191" i="13"/>
  <c r="AF191" i="13"/>
  <c r="E188" i="17" s="1"/>
  <c r="AI190" i="13"/>
  <c r="AG190" i="13"/>
  <c r="AF190" i="13"/>
  <c r="E187" i="17" s="1"/>
  <c r="AI189" i="13"/>
  <c r="AG189" i="13"/>
  <c r="AF189" i="13" s="1"/>
  <c r="E186" i="17" s="1"/>
  <c r="AI188" i="13"/>
  <c r="AG188" i="13"/>
  <c r="AF188" i="13" s="1"/>
  <c r="E185" i="17" s="1"/>
  <c r="AI187" i="13"/>
  <c r="AG187" i="13"/>
  <c r="AF187" i="13" s="1"/>
  <c r="E184" i="17" s="1"/>
  <c r="AI186" i="13"/>
  <c r="AG186" i="13"/>
  <c r="AF186" i="13" s="1"/>
  <c r="E183" i="17" s="1"/>
  <c r="AI185" i="13"/>
  <c r="AG185" i="13"/>
  <c r="AF185" i="13" s="1"/>
  <c r="E182" i="17" s="1"/>
  <c r="AI184" i="13"/>
  <c r="AG184" i="13"/>
  <c r="AF184" i="13"/>
  <c r="E181" i="17" s="1"/>
  <c r="AI183" i="13"/>
  <c r="AG183" i="13"/>
  <c r="AF183" i="13" s="1"/>
  <c r="E180" i="17" s="1"/>
  <c r="AI182" i="13"/>
  <c r="AG182" i="13"/>
  <c r="AF182" i="13" s="1"/>
  <c r="E179" i="17" s="1"/>
  <c r="AI181" i="13"/>
  <c r="AG181" i="13"/>
  <c r="AF181" i="13"/>
  <c r="E178" i="17" s="1"/>
  <c r="AI180" i="13"/>
  <c r="AG180" i="13"/>
  <c r="AF180" i="13" s="1"/>
  <c r="E177" i="17" s="1"/>
  <c r="AI179" i="13"/>
  <c r="AG179" i="13"/>
  <c r="AF179" i="13" s="1"/>
  <c r="E176" i="17" s="1"/>
  <c r="AI178" i="13"/>
  <c r="AG178" i="13"/>
  <c r="AF178" i="13" s="1"/>
  <c r="E175" i="17" s="1"/>
  <c r="AI177" i="13"/>
  <c r="AG177" i="13"/>
  <c r="AF177" i="13" s="1"/>
  <c r="E174" i="17" s="1"/>
  <c r="AI176" i="13"/>
  <c r="AG176" i="13"/>
  <c r="AF176" i="13" s="1"/>
  <c r="E173" i="17" s="1"/>
  <c r="AI175" i="13"/>
  <c r="AG175" i="13"/>
  <c r="AF175" i="13"/>
  <c r="E172" i="17" s="1"/>
  <c r="AI174" i="13"/>
  <c r="AG174" i="13"/>
  <c r="AF174" i="13" s="1"/>
  <c r="E171" i="17" s="1"/>
  <c r="AI173" i="13"/>
  <c r="AG173" i="13"/>
  <c r="AF173" i="13" s="1"/>
  <c r="E170" i="17" s="1"/>
  <c r="AI172" i="13"/>
  <c r="AG172" i="13"/>
  <c r="AF172" i="13"/>
  <c r="E169" i="17" s="1"/>
  <c r="AI171" i="13"/>
  <c r="AG171" i="13"/>
  <c r="AF171" i="13"/>
  <c r="E168" i="17" s="1"/>
  <c r="AI170" i="13"/>
  <c r="AG170" i="13"/>
  <c r="AF170" i="13" s="1"/>
  <c r="E167" i="17" s="1"/>
  <c r="AI169" i="13"/>
  <c r="AG169" i="13"/>
  <c r="AF169" i="13"/>
  <c r="E166" i="17" s="1"/>
  <c r="AI168" i="13"/>
  <c r="AG168" i="13"/>
  <c r="AF168" i="13"/>
  <c r="E165" i="17" s="1"/>
  <c r="AI167" i="13"/>
  <c r="AG167" i="13"/>
  <c r="AF167" i="13"/>
  <c r="E164" i="17" s="1"/>
  <c r="AI166" i="13"/>
  <c r="AG166" i="13"/>
  <c r="AF166" i="13" s="1"/>
  <c r="E163" i="17" s="1"/>
  <c r="AI165" i="13"/>
  <c r="AG165" i="13"/>
  <c r="AF165" i="13"/>
  <c r="E162" i="17" s="1"/>
  <c r="AI164" i="13"/>
  <c r="AG164" i="13"/>
  <c r="AF164" i="13"/>
  <c r="E161" i="17" s="1"/>
  <c r="AI163" i="13"/>
  <c r="AG163" i="13"/>
  <c r="AF163" i="13" s="1"/>
  <c r="E160" i="17" s="1"/>
  <c r="AI162" i="13"/>
  <c r="AG162" i="13"/>
  <c r="AF162" i="13" s="1"/>
  <c r="E159" i="17" s="1"/>
  <c r="AI161" i="13"/>
  <c r="AG161" i="13"/>
  <c r="AF161" i="13"/>
  <c r="E158" i="17" s="1"/>
  <c r="AI160" i="13"/>
  <c r="AG160" i="13"/>
  <c r="AF160" i="13" s="1"/>
  <c r="E157" i="17" s="1"/>
  <c r="AI159" i="13"/>
  <c r="AG159" i="13"/>
  <c r="AF159" i="13"/>
  <c r="E156" i="17" s="1"/>
  <c r="AI158" i="13"/>
  <c r="AG158" i="13"/>
  <c r="AF158" i="13"/>
  <c r="E155" i="17" s="1"/>
  <c r="AI157" i="13"/>
  <c r="AG157" i="13"/>
  <c r="AF157" i="13" s="1"/>
  <c r="E154" i="17" s="1"/>
  <c r="AI156" i="13"/>
  <c r="AG156" i="13"/>
  <c r="AF156" i="13" s="1"/>
  <c r="E153" i="17" s="1"/>
  <c r="AI155" i="13"/>
  <c r="AG155" i="13"/>
  <c r="AF155" i="13" s="1"/>
  <c r="E152" i="17" s="1"/>
  <c r="AI154" i="13"/>
  <c r="AG154" i="13"/>
  <c r="AF154" i="13" s="1"/>
  <c r="E151" i="17" s="1"/>
  <c r="AI153" i="13"/>
  <c r="AG153" i="13"/>
  <c r="AF153" i="13" s="1"/>
  <c r="E150" i="17" s="1"/>
  <c r="AI152" i="13"/>
  <c r="AG152" i="13"/>
  <c r="AF152" i="13" s="1"/>
  <c r="E149" i="17" s="1"/>
  <c r="AI151" i="13"/>
  <c r="AG151" i="13"/>
  <c r="AF151" i="13" s="1"/>
  <c r="E148" i="17" s="1"/>
  <c r="AI150" i="13"/>
  <c r="AG150" i="13"/>
  <c r="AF150" i="13" s="1"/>
  <c r="E147" i="17" s="1"/>
  <c r="AI149" i="13"/>
  <c r="AG149" i="13"/>
  <c r="AF149" i="13" s="1"/>
  <c r="E146" i="17" s="1"/>
  <c r="AI148" i="13"/>
  <c r="AG148" i="13"/>
  <c r="AF148" i="13" s="1"/>
  <c r="E145" i="17" s="1"/>
  <c r="AI147" i="13"/>
  <c r="AG147" i="13"/>
  <c r="AF147" i="13"/>
  <c r="E144" i="17" s="1"/>
  <c r="AI146" i="13"/>
  <c r="AG146" i="13"/>
  <c r="AF146" i="13" s="1"/>
  <c r="E143" i="17" s="1"/>
  <c r="AI145" i="13"/>
  <c r="AG145" i="13"/>
  <c r="AF145" i="13" s="1"/>
  <c r="E142" i="17" s="1"/>
  <c r="AI144" i="13"/>
  <c r="AG144" i="13"/>
  <c r="AF144" i="13" s="1"/>
  <c r="E141" i="17" s="1"/>
  <c r="AI143" i="13"/>
  <c r="AG143" i="13"/>
  <c r="AF143" i="13" s="1"/>
  <c r="E140" i="17" s="1"/>
  <c r="AI142" i="13"/>
  <c r="AG142" i="13"/>
  <c r="AF142" i="13" s="1"/>
  <c r="E139" i="17" s="1"/>
  <c r="AI141" i="13"/>
  <c r="AG141" i="13"/>
  <c r="AF141" i="13"/>
  <c r="E138" i="17" s="1"/>
  <c r="AI140" i="13"/>
  <c r="AG140" i="13"/>
  <c r="AF140" i="13"/>
  <c r="E137" i="17" s="1"/>
  <c r="AI139" i="13"/>
  <c r="AG139" i="13"/>
  <c r="AF139" i="13"/>
  <c r="E136" i="17" s="1"/>
  <c r="AI138" i="13"/>
  <c r="AG138" i="13"/>
  <c r="AF138" i="13"/>
  <c r="E135" i="17" s="1"/>
  <c r="AI137" i="13"/>
  <c r="AG137" i="13"/>
  <c r="AF137" i="13" s="1"/>
  <c r="E134" i="17" s="1"/>
  <c r="AI136" i="13"/>
  <c r="AG136" i="13"/>
  <c r="AF136" i="13" s="1"/>
  <c r="E133" i="17" s="1"/>
  <c r="AI135" i="13"/>
  <c r="AG135" i="13"/>
  <c r="AF135" i="13"/>
  <c r="E132" i="17" s="1"/>
  <c r="AI134" i="13"/>
  <c r="AG134" i="13"/>
  <c r="AF134" i="13" s="1"/>
  <c r="E131" i="17" s="1"/>
  <c r="AI133" i="13"/>
  <c r="AG133" i="13"/>
  <c r="AF133" i="13" s="1"/>
  <c r="E130" i="17" s="1"/>
  <c r="AI132" i="13"/>
  <c r="AG132" i="13"/>
  <c r="AF132" i="13" s="1"/>
  <c r="E129" i="17" s="1"/>
  <c r="AI131" i="13"/>
  <c r="AG131" i="13"/>
  <c r="AF131" i="13"/>
  <c r="E128" i="17" s="1"/>
  <c r="AI130" i="13"/>
  <c r="AG130" i="13"/>
  <c r="AF130" i="13" s="1"/>
  <c r="E127" i="17" s="1"/>
  <c r="AI129" i="13"/>
  <c r="AG129" i="13"/>
  <c r="AF129" i="13" s="1"/>
  <c r="E126" i="17" s="1"/>
  <c r="AI128" i="13"/>
  <c r="AG128" i="13"/>
  <c r="AF128" i="13" s="1"/>
  <c r="E125" i="17" s="1"/>
  <c r="AI127" i="13"/>
  <c r="AG127" i="13"/>
  <c r="AF127" i="13" s="1"/>
  <c r="E124" i="17" s="1"/>
  <c r="AI126" i="13"/>
  <c r="AG126" i="13"/>
  <c r="AF126" i="13" s="1"/>
  <c r="E123" i="17" s="1"/>
  <c r="AI125" i="13"/>
  <c r="AG125" i="13"/>
  <c r="AF125" i="13" s="1"/>
  <c r="E122" i="17" s="1"/>
  <c r="AI124" i="13"/>
  <c r="AG124" i="13"/>
  <c r="AF124" i="13"/>
  <c r="E121" i="17" s="1"/>
  <c r="AI123" i="13"/>
  <c r="AG123" i="13"/>
  <c r="AF123" i="13" s="1"/>
  <c r="E120" i="17" s="1"/>
  <c r="AI122" i="13"/>
  <c r="AG122" i="13"/>
  <c r="AF122" i="13"/>
  <c r="E119" i="17" s="1"/>
  <c r="AI121" i="13"/>
  <c r="AG121" i="13"/>
  <c r="AF121" i="13"/>
  <c r="E118" i="17" s="1"/>
  <c r="AI120" i="13"/>
  <c r="AG120" i="13"/>
  <c r="AF120" i="13"/>
  <c r="E117" i="17" s="1"/>
  <c r="AI119" i="13"/>
  <c r="AG119" i="13"/>
  <c r="AF119" i="13" s="1"/>
  <c r="E116" i="17" s="1"/>
  <c r="AI118" i="13"/>
  <c r="AG118" i="13"/>
  <c r="AF118" i="13" s="1"/>
  <c r="E115" i="17" s="1"/>
  <c r="AI117" i="13"/>
  <c r="AG117" i="13"/>
  <c r="AF117" i="13" s="1"/>
  <c r="E114" i="17" s="1"/>
  <c r="AI116" i="13"/>
  <c r="AG116" i="13"/>
  <c r="AF116" i="13" s="1"/>
  <c r="E113" i="17" s="1"/>
  <c r="AI115" i="13"/>
  <c r="AG115" i="13"/>
  <c r="AF115" i="13" s="1"/>
  <c r="E112" i="17" s="1"/>
  <c r="AI114" i="13"/>
  <c r="AG114" i="13"/>
  <c r="AF114" i="13" s="1"/>
  <c r="E111" i="17" s="1"/>
  <c r="AI113" i="13"/>
  <c r="AG113" i="13"/>
  <c r="AF113" i="13"/>
  <c r="E110" i="17" s="1"/>
  <c r="AI112" i="13"/>
  <c r="AG112" i="13"/>
  <c r="AF112" i="13"/>
  <c r="E109" i="17" s="1"/>
  <c r="AI111" i="13"/>
  <c r="AG111" i="13"/>
  <c r="AF111" i="13"/>
  <c r="E108" i="17" s="1"/>
  <c r="AI110" i="13"/>
  <c r="AG110" i="13"/>
  <c r="AF110" i="13" s="1"/>
  <c r="E107" i="17" s="1"/>
  <c r="AI109" i="13"/>
  <c r="AG109" i="13"/>
  <c r="AF109" i="13" s="1"/>
  <c r="E106" i="17" s="1"/>
  <c r="AI108" i="13"/>
  <c r="AG108" i="13"/>
  <c r="AF108" i="13" s="1"/>
  <c r="E105" i="17" s="1"/>
  <c r="AI107" i="13"/>
  <c r="AG107" i="13"/>
  <c r="AF107" i="13" s="1"/>
  <c r="E104" i="17" s="1"/>
  <c r="AI106" i="13"/>
  <c r="AG106" i="13"/>
  <c r="AF106" i="13" s="1"/>
  <c r="E103" i="17" s="1"/>
  <c r="AI105" i="13"/>
  <c r="AG105" i="13"/>
  <c r="AF105" i="13"/>
  <c r="E102" i="17" s="1"/>
  <c r="AI104" i="13"/>
  <c r="AG104" i="13"/>
  <c r="AF104" i="13" s="1"/>
  <c r="E101" i="17" s="1"/>
  <c r="AI103" i="13"/>
  <c r="AG103" i="13"/>
  <c r="AF103" i="13" s="1"/>
  <c r="E100" i="17" s="1"/>
  <c r="AI102" i="13"/>
  <c r="AG102" i="13"/>
  <c r="AF102" i="13"/>
  <c r="E99" i="17" s="1"/>
  <c r="AI101" i="13"/>
  <c r="AG101" i="13"/>
  <c r="AF101" i="13"/>
  <c r="E98" i="17" s="1"/>
  <c r="AI100" i="13"/>
  <c r="AG100" i="13"/>
  <c r="AF100" i="13" s="1"/>
  <c r="E97" i="17" s="1"/>
  <c r="AI99" i="13"/>
  <c r="AG99" i="13"/>
  <c r="AF99" i="13"/>
  <c r="E96" i="17" s="1"/>
  <c r="AI98" i="13"/>
  <c r="AG98" i="13"/>
  <c r="AF98" i="13"/>
  <c r="E95" i="17" s="1"/>
  <c r="AI97" i="13"/>
  <c r="AG97" i="13"/>
  <c r="AF97" i="13"/>
  <c r="E94" i="17" s="1"/>
  <c r="AI96" i="13"/>
  <c r="AG96" i="13"/>
  <c r="AF96" i="13" s="1"/>
  <c r="E93" i="17" s="1"/>
  <c r="AI95" i="13"/>
  <c r="AG95" i="13"/>
  <c r="AF95" i="13" s="1"/>
  <c r="E92" i="17" s="1"/>
  <c r="AI94" i="13"/>
  <c r="AG94" i="13"/>
  <c r="AF94" i="13" s="1"/>
  <c r="E91" i="17" s="1"/>
  <c r="AI93" i="13"/>
  <c r="AG93" i="13"/>
  <c r="AF93" i="13" s="1"/>
  <c r="E90" i="17" s="1"/>
  <c r="AI92" i="13"/>
  <c r="AG92" i="13"/>
  <c r="AF92" i="13" s="1"/>
  <c r="E89" i="17" s="1"/>
  <c r="AI91" i="13"/>
  <c r="AG91" i="13"/>
  <c r="AF91" i="13" s="1"/>
  <c r="E88" i="17" s="1"/>
  <c r="AI90" i="13"/>
  <c r="AG90" i="13"/>
  <c r="AF90" i="13" s="1"/>
  <c r="E87" i="17" s="1"/>
  <c r="AI89" i="13"/>
  <c r="AG89" i="13"/>
  <c r="AF89" i="13"/>
  <c r="E86" i="17" s="1"/>
  <c r="AI88" i="13"/>
  <c r="AG88" i="13"/>
  <c r="AF88" i="13"/>
  <c r="E85" i="17" s="1"/>
  <c r="AI87" i="13"/>
  <c r="AG87" i="13"/>
  <c r="AF87" i="13"/>
  <c r="E84" i="17" s="1"/>
  <c r="AI86" i="13"/>
  <c r="AG86" i="13"/>
  <c r="AF86" i="13"/>
  <c r="E83" i="17" s="1"/>
  <c r="AI85" i="13"/>
  <c r="AG85" i="13"/>
  <c r="AF85" i="13" s="1"/>
  <c r="E82" i="17" s="1"/>
  <c r="AI84" i="13"/>
  <c r="AG84" i="13"/>
  <c r="AF84" i="13" s="1"/>
  <c r="E81" i="17" s="1"/>
  <c r="AI83" i="13"/>
  <c r="AG83" i="13"/>
  <c r="AF83" i="13"/>
  <c r="E80" i="17" s="1"/>
  <c r="AI82" i="13"/>
  <c r="AG82" i="13"/>
  <c r="AF82" i="13" s="1"/>
  <c r="E79" i="17" s="1"/>
  <c r="AI81" i="13"/>
  <c r="AG81" i="13"/>
  <c r="AF81" i="13"/>
  <c r="E78" i="17" s="1"/>
  <c r="AI80" i="13"/>
  <c r="AG80" i="13"/>
  <c r="AF80" i="13" s="1"/>
  <c r="E77" i="17" s="1"/>
  <c r="AI79" i="13"/>
  <c r="AG79" i="13"/>
  <c r="AF79" i="13" s="1"/>
  <c r="E76" i="17" s="1"/>
  <c r="AI78" i="13"/>
  <c r="AG78" i="13"/>
  <c r="AF78" i="13" s="1"/>
  <c r="E75" i="17" s="1"/>
  <c r="AI77" i="13"/>
  <c r="AG77" i="13"/>
  <c r="AF77" i="13"/>
  <c r="E74" i="17" s="1"/>
  <c r="AI76" i="13"/>
  <c r="AG76" i="13"/>
  <c r="AF76" i="13" s="1"/>
  <c r="E73" i="17" s="1"/>
  <c r="AI75" i="13"/>
  <c r="AG75" i="13"/>
  <c r="AF75" i="13" s="1"/>
  <c r="E72" i="17" s="1"/>
  <c r="AI74" i="13"/>
  <c r="AG74" i="13"/>
  <c r="AF74" i="13"/>
  <c r="E71" i="17" s="1"/>
  <c r="AI73" i="13"/>
  <c r="AG73" i="13"/>
  <c r="AF73" i="13"/>
  <c r="E70" i="17" s="1"/>
  <c r="AI72" i="13"/>
  <c r="AG72" i="13"/>
  <c r="AF72" i="13"/>
  <c r="E69" i="17" s="1"/>
  <c r="AI71" i="13"/>
  <c r="AG71" i="13"/>
  <c r="AF71" i="13" s="1"/>
  <c r="E68" i="17" s="1"/>
  <c r="AI70" i="13"/>
  <c r="AG70" i="13"/>
  <c r="AF70" i="13" s="1"/>
  <c r="E67" i="17" s="1"/>
  <c r="AI69" i="13"/>
  <c r="AG69" i="13"/>
  <c r="AF69" i="13" s="1"/>
  <c r="E66" i="17" s="1"/>
  <c r="AI68" i="13"/>
  <c r="AG68" i="13"/>
  <c r="AF68" i="13" s="1"/>
  <c r="E65" i="17" s="1"/>
  <c r="AI67" i="13"/>
  <c r="AG67" i="13"/>
  <c r="AF67" i="13" s="1"/>
  <c r="E64" i="17" s="1"/>
  <c r="AI66" i="13"/>
  <c r="AG66" i="13"/>
  <c r="AF66" i="13" s="1"/>
  <c r="E63" i="17" s="1"/>
  <c r="AI65" i="13"/>
  <c r="AG65" i="13"/>
  <c r="AF65" i="13"/>
  <c r="E62" i="17" s="1"/>
  <c r="AI64" i="13"/>
  <c r="AG64" i="13"/>
  <c r="AF64" i="13" s="1"/>
  <c r="E61" i="17" s="1"/>
  <c r="AI63" i="13"/>
  <c r="AG63" i="13"/>
  <c r="AF63" i="13"/>
  <c r="E60" i="17" s="1"/>
  <c r="AI62" i="13"/>
  <c r="AG62" i="13"/>
  <c r="AF62" i="13"/>
  <c r="E59" i="17" s="1"/>
  <c r="AI61" i="13"/>
  <c r="AG61" i="13"/>
  <c r="AF61" i="13"/>
  <c r="E58" i="17" s="1"/>
  <c r="AI60" i="13"/>
  <c r="AG60" i="13"/>
  <c r="AF60" i="13" s="1"/>
  <c r="E57" i="17" s="1"/>
  <c r="AI59" i="13"/>
  <c r="AG59" i="13"/>
  <c r="AF59" i="13"/>
  <c r="E56" i="17" s="1"/>
  <c r="AI58" i="13"/>
  <c r="AG58" i="13"/>
  <c r="AF58" i="13"/>
  <c r="E55" i="17" s="1"/>
  <c r="AI57" i="13"/>
  <c r="AG57" i="13"/>
  <c r="AF57" i="13"/>
  <c r="E54" i="17" s="1"/>
  <c r="AI56" i="13"/>
  <c r="AG56" i="13"/>
  <c r="AF56" i="13" s="1"/>
  <c r="E53" i="17" s="1"/>
  <c r="AI55" i="13"/>
  <c r="AG55" i="13"/>
  <c r="AF55" i="13" s="1"/>
  <c r="E52" i="17" s="1"/>
  <c r="AI54" i="13"/>
  <c r="AG54" i="13"/>
  <c r="AF54" i="13" s="1"/>
  <c r="E51" i="17" s="1"/>
  <c r="AI53" i="13"/>
  <c r="AG53" i="13"/>
  <c r="AF53" i="13" s="1"/>
  <c r="E50" i="17" s="1"/>
  <c r="AI52" i="13"/>
  <c r="AG52" i="13"/>
  <c r="AF52" i="13" s="1"/>
  <c r="E49" i="17" s="1"/>
  <c r="AI51" i="13"/>
  <c r="AG51" i="13"/>
  <c r="AF51" i="13" s="1"/>
  <c r="E48" i="17" s="1"/>
  <c r="AI50" i="13"/>
  <c r="AG50" i="13"/>
  <c r="AF50" i="13" s="1"/>
  <c r="E47" i="17" s="1"/>
  <c r="AI49" i="13"/>
  <c r="AG49" i="13"/>
  <c r="AF49" i="13"/>
  <c r="E46" i="17" s="1"/>
  <c r="AI48" i="13"/>
  <c r="AG48" i="13"/>
  <c r="AF48" i="13"/>
  <c r="E45" i="17" s="1"/>
  <c r="AI47" i="13"/>
  <c r="AG47" i="13"/>
  <c r="AF47" i="13"/>
  <c r="E44" i="17" s="1"/>
  <c r="AI46" i="13"/>
  <c r="AG46" i="13"/>
  <c r="AF46" i="13" s="1"/>
  <c r="E43" i="17" s="1"/>
  <c r="AI45" i="13"/>
  <c r="AG45" i="13"/>
  <c r="AF45" i="13" s="1"/>
  <c r="E42" i="17" s="1"/>
  <c r="AI44" i="13"/>
  <c r="AG44" i="13"/>
  <c r="AF44" i="13" s="1"/>
  <c r="E41" i="17" s="1"/>
  <c r="AI43" i="13"/>
  <c r="AG43" i="13"/>
  <c r="AF43" i="13" s="1"/>
  <c r="E40" i="17" s="1"/>
  <c r="AI42" i="13"/>
  <c r="AG42" i="13"/>
  <c r="AF42" i="13" s="1"/>
  <c r="E39" i="17" s="1"/>
  <c r="AI41" i="13"/>
  <c r="AG41" i="13"/>
  <c r="AF41" i="13"/>
  <c r="E38" i="17" s="1"/>
  <c r="AI40" i="13"/>
  <c r="AG40" i="13"/>
  <c r="AF40" i="13" s="1"/>
  <c r="E37" i="17" s="1"/>
  <c r="AI39" i="13"/>
  <c r="AG39" i="13"/>
  <c r="AF39" i="13" s="1"/>
  <c r="E36" i="17" s="1"/>
  <c r="AI38" i="13"/>
  <c r="AG38" i="13"/>
  <c r="AF38" i="13"/>
  <c r="E35" i="17" s="1"/>
  <c r="AI37" i="13"/>
  <c r="AG37" i="13"/>
  <c r="AF37" i="13"/>
  <c r="E34" i="17" s="1"/>
  <c r="AI36" i="13"/>
  <c r="AG36" i="13"/>
  <c r="AF36" i="13" s="1"/>
  <c r="E33" i="17" s="1"/>
  <c r="AI35" i="13"/>
  <c r="AG35" i="13"/>
  <c r="AF35" i="13"/>
  <c r="E32" i="17" s="1"/>
  <c r="AI34" i="13"/>
  <c r="AG34" i="13"/>
  <c r="AF34" i="13"/>
  <c r="E31" i="17" s="1"/>
  <c r="AI33" i="13"/>
  <c r="AG33" i="13"/>
  <c r="AF33" i="13"/>
  <c r="E30" i="17" s="1"/>
  <c r="AI32" i="13"/>
  <c r="AG32" i="13"/>
  <c r="AF32" i="13" s="1"/>
  <c r="E29" i="17" s="1"/>
  <c r="AI31" i="13"/>
  <c r="AG31" i="13"/>
  <c r="AF31" i="13" s="1"/>
  <c r="E28" i="17" s="1"/>
  <c r="AI30" i="13"/>
  <c r="AG30" i="13"/>
  <c r="AF30" i="13" s="1"/>
  <c r="E27" i="17" s="1"/>
  <c r="AI29" i="13"/>
  <c r="AG29" i="13"/>
  <c r="AF29" i="13" s="1"/>
  <c r="E26" i="17" s="1"/>
  <c r="AI28" i="13"/>
  <c r="AG28" i="13"/>
  <c r="AF28" i="13" s="1"/>
  <c r="E25" i="17" s="1"/>
  <c r="AI27" i="13"/>
  <c r="AG27" i="13"/>
  <c r="AF27" i="13" s="1"/>
  <c r="E24" i="17" s="1"/>
  <c r="AI26" i="13"/>
  <c r="AG26" i="13"/>
  <c r="AF26" i="13" s="1"/>
  <c r="E23" i="17" s="1"/>
  <c r="AI25" i="13"/>
  <c r="AG25" i="13"/>
  <c r="AF25" i="13" s="1"/>
  <c r="E22" i="17" s="1"/>
  <c r="AI24" i="13"/>
  <c r="AG24" i="13"/>
  <c r="AF24" i="13"/>
  <c r="E21" i="17" s="1"/>
  <c r="AI23" i="13"/>
  <c r="AG23" i="13"/>
  <c r="AF23" i="13"/>
  <c r="E20" i="17" s="1"/>
  <c r="AI22" i="13"/>
  <c r="AG22" i="13"/>
  <c r="AF22" i="13"/>
  <c r="E19" i="17" s="1"/>
  <c r="AI21" i="13"/>
  <c r="AG21" i="13"/>
  <c r="AF21" i="13" s="1"/>
  <c r="E18" i="17" s="1"/>
  <c r="AI20" i="13"/>
  <c r="AG20" i="13"/>
  <c r="AF20" i="13" s="1"/>
  <c r="E17" i="17" s="1"/>
  <c r="AI19" i="13"/>
  <c r="AG19" i="13"/>
  <c r="AF19" i="13" s="1"/>
  <c r="E16" i="17" s="1"/>
  <c r="AI18" i="13"/>
  <c r="AG18" i="13"/>
  <c r="AF18" i="13" s="1"/>
  <c r="E15" i="17" s="1"/>
  <c r="AI17" i="13"/>
  <c r="AG17" i="13"/>
  <c r="AF17" i="13" s="1"/>
  <c r="E14" i="17" s="1"/>
  <c r="AI16" i="13"/>
  <c r="AG16" i="13"/>
  <c r="AF16" i="13"/>
  <c r="E13" i="17" s="1"/>
  <c r="AI15" i="13"/>
  <c r="AG15" i="13"/>
  <c r="AF15" i="13"/>
  <c r="E12" i="17" s="1"/>
  <c r="AI14" i="13"/>
  <c r="AG14" i="13"/>
  <c r="AF14" i="13"/>
  <c r="E11" i="17" s="1"/>
  <c r="AI13" i="13"/>
  <c r="AG13" i="13"/>
  <c r="AF13" i="13" s="1"/>
  <c r="E10" i="17" s="1"/>
  <c r="AI12" i="13"/>
  <c r="AG12" i="13"/>
  <c r="AF12" i="13" s="1"/>
  <c r="E9" i="17" s="1"/>
  <c r="AI11" i="13"/>
  <c r="AG11" i="13"/>
  <c r="AF11" i="13" s="1"/>
  <c r="E8" i="17" s="1"/>
  <c r="AI10" i="13"/>
  <c r="AG10" i="13"/>
  <c r="AF10" i="13" s="1"/>
  <c r="E7" i="17" s="1"/>
  <c r="AI9" i="13"/>
  <c r="AG9" i="13"/>
  <c r="AF9" i="13" s="1"/>
  <c r="E6" i="17" s="1"/>
  <c r="B2" i="20"/>
  <c r="B1" i="20"/>
  <c r="B8" i="20"/>
  <c r="H60" i="7" l="1"/>
  <c r="A63" i="7"/>
  <c r="E22" i="21"/>
  <c r="E20" i="21"/>
  <c r="E18" i="21"/>
  <c r="E17" i="21"/>
  <c r="E16" i="21"/>
  <c r="E14" i="21"/>
  <c r="E13" i="21"/>
  <c r="A1" i="19"/>
  <c r="A1" i="18"/>
  <c r="A1" i="17"/>
  <c r="A2" i="19"/>
  <c r="A2" i="18"/>
  <c r="A2" i="17"/>
  <c r="G500" i="19"/>
  <c r="F500" i="19"/>
  <c r="D500" i="19"/>
  <c r="C500" i="19"/>
  <c r="B500" i="19"/>
  <c r="A500" i="19"/>
  <c r="G499" i="19"/>
  <c r="F499" i="19"/>
  <c r="D499" i="19"/>
  <c r="C499" i="19"/>
  <c r="B499" i="19"/>
  <c r="A499" i="19"/>
  <c r="G498" i="19"/>
  <c r="F498" i="19"/>
  <c r="D498" i="19"/>
  <c r="C498" i="19"/>
  <c r="B498" i="19"/>
  <c r="A498" i="19"/>
  <c r="D497" i="19"/>
  <c r="C497" i="19"/>
  <c r="B497" i="19"/>
  <c r="A497" i="19"/>
  <c r="D496" i="19"/>
  <c r="C496" i="19"/>
  <c r="B496" i="19"/>
  <c r="A496" i="19"/>
  <c r="D495" i="19"/>
  <c r="C495" i="19"/>
  <c r="B495" i="19"/>
  <c r="A495" i="19"/>
  <c r="D494" i="19"/>
  <c r="C494" i="19"/>
  <c r="B494" i="19"/>
  <c r="A494" i="19"/>
  <c r="D493" i="19"/>
  <c r="C493" i="19"/>
  <c r="B493" i="19"/>
  <c r="A493" i="19"/>
  <c r="D492" i="19"/>
  <c r="C492" i="19"/>
  <c r="B492" i="19"/>
  <c r="A492" i="19"/>
  <c r="D491" i="19"/>
  <c r="C491" i="19"/>
  <c r="B491" i="19"/>
  <c r="A491" i="19"/>
  <c r="D490" i="19"/>
  <c r="C490" i="19"/>
  <c r="B490" i="19"/>
  <c r="A490" i="19"/>
  <c r="D489" i="19"/>
  <c r="C489" i="19"/>
  <c r="B489" i="19"/>
  <c r="A489" i="19"/>
  <c r="D488" i="19"/>
  <c r="C488" i="19"/>
  <c r="B488" i="19"/>
  <c r="A488" i="19"/>
  <c r="D487" i="19"/>
  <c r="C487" i="19"/>
  <c r="B487" i="19"/>
  <c r="A487" i="19"/>
  <c r="D486" i="19"/>
  <c r="C486" i="19"/>
  <c r="B486" i="19"/>
  <c r="A486" i="19"/>
  <c r="D485" i="19"/>
  <c r="C485" i="19"/>
  <c r="B485" i="19"/>
  <c r="A485" i="19"/>
  <c r="D484" i="19"/>
  <c r="C484" i="19"/>
  <c r="B484" i="19"/>
  <c r="A484" i="19"/>
  <c r="D483" i="19"/>
  <c r="C483" i="19"/>
  <c r="B483" i="19"/>
  <c r="A483" i="19"/>
  <c r="D482" i="19"/>
  <c r="C482" i="19"/>
  <c r="B482" i="19"/>
  <c r="A482" i="19"/>
  <c r="D481" i="19"/>
  <c r="C481" i="19"/>
  <c r="B481" i="19"/>
  <c r="A481" i="19"/>
  <c r="D480" i="19"/>
  <c r="C480" i="19"/>
  <c r="B480" i="19"/>
  <c r="A480" i="19"/>
  <c r="D479" i="19"/>
  <c r="C479" i="19"/>
  <c r="B479" i="19"/>
  <c r="A479" i="19"/>
  <c r="D478" i="19"/>
  <c r="C478" i="19"/>
  <c r="B478" i="19"/>
  <c r="A478" i="19"/>
  <c r="D477" i="19"/>
  <c r="C477" i="19"/>
  <c r="B477" i="19"/>
  <c r="A477" i="19"/>
  <c r="D476" i="19"/>
  <c r="C476" i="19"/>
  <c r="B476" i="19"/>
  <c r="A476" i="19"/>
  <c r="D475" i="19"/>
  <c r="C475" i="19"/>
  <c r="B475" i="19"/>
  <c r="A475" i="19"/>
  <c r="D474" i="19"/>
  <c r="C474" i="19"/>
  <c r="B474" i="19"/>
  <c r="A474" i="19"/>
  <c r="D473" i="19"/>
  <c r="C473" i="19"/>
  <c r="B473" i="19"/>
  <c r="A473" i="19"/>
  <c r="D472" i="19"/>
  <c r="C472" i="19"/>
  <c r="B472" i="19"/>
  <c r="A472" i="19"/>
  <c r="D471" i="19"/>
  <c r="C471" i="19"/>
  <c r="B471" i="19"/>
  <c r="A471" i="19"/>
  <c r="D470" i="19"/>
  <c r="C470" i="19"/>
  <c r="B470" i="19"/>
  <c r="A470" i="19"/>
  <c r="D469" i="19"/>
  <c r="C469" i="19"/>
  <c r="B469" i="19"/>
  <c r="A469" i="19"/>
  <c r="D468" i="19"/>
  <c r="C468" i="19"/>
  <c r="B468" i="19"/>
  <c r="A468" i="19"/>
  <c r="D467" i="19"/>
  <c r="C467" i="19"/>
  <c r="B467" i="19"/>
  <c r="A467" i="19"/>
  <c r="D466" i="19"/>
  <c r="C466" i="19"/>
  <c r="B466" i="19"/>
  <c r="A466" i="19"/>
  <c r="D465" i="19"/>
  <c r="C465" i="19"/>
  <c r="B465" i="19"/>
  <c r="A465" i="19"/>
  <c r="D464" i="19"/>
  <c r="C464" i="19"/>
  <c r="B464" i="19"/>
  <c r="A464" i="19"/>
  <c r="D463" i="19"/>
  <c r="C463" i="19"/>
  <c r="B463" i="19"/>
  <c r="A463" i="19"/>
  <c r="D462" i="19"/>
  <c r="C462" i="19"/>
  <c r="B462" i="19"/>
  <c r="A462" i="19"/>
  <c r="D461" i="19"/>
  <c r="C461" i="19"/>
  <c r="B461" i="19"/>
  <c r="A461" i="19"/>
  <c r="D460" i="19"/>
  <c r="C460" i="19"/>
  <c r="B460" i="19"/>
  <c r="A460" i="19"/>
  <c r="D459" i="19"/>
  <c r="C459" i="19"/>
  <c r="B459" i="19"/>
  <c r="A459" i="19"/>
  <c r="D458" i="19"/>
  <c r="C458" i="19"/>
  <c r="B458" i="19"/>
  <c r="A458" i="19"/>
  <c r="D457" i="19"/>
  <c r="C457" i="19"/>
  <c r="B457" i="19"/>
  <c r="A457" i="19"/>
  <c r="D456" i="19"/>
  <c r="C456" i="19"/>
  <c r="B456" i="19"/>
  <c r="A456" i="19"/>
  <c r="D455" i="19"/>
  <c r="C455" i="19"/>
  <c r="B455" i="19"/>
  <c r="A455" i="19"/>
  <c r="D454" i="19"/>
  <c r="C454" i="19"/>
  <c r="B454" i="19"/>
  <c r="A454" i="19"/>
  <c r="D453" i="19"/>
  <c r="C453" i="19"/>
  <c r="B453" i="19"/>
  <c r="A453" i="19"/>
  <c r="D452" i="19"/>
  <c r="C452" i="19"/>
  <c r="B452" i="19"/>
  <c r="A452" i="19"/>
  <c r="D451" i="19"/>
  <c r="C451" i="19"/>
  <c r="B451" i="19"/>
  <c r="A451" i="19"/>
  <c r="D450" i="19"/>
  <c r="C450" i="19"/>
  <c r="B450" i="19"/>
  <c r="A450" i="19"/>
  <c r="D449" i="19"/>
  <c r="C449" i="19"/>
  <c r="B449" i="19"/>
  <c r="A449" i="19"/>
  <c r="D448" i="19"/>
  <c r="C448" i="19"/>
  <c r="B448" i="19"/>
  <c r="A448" i="19"/>
  <c r="D447" i="19"/>
  <c r="C447" i="19"/>
  <c r="B447" i="19"/>
  <c r="A447" i="19"/>
  <c r="D446" i="19"/>
  <c r="C446" i="19"/>
  <c r="B446" i="19"/>
  <c r="A446" i="19"/>
  <c r="D445" i="19"/>
  <c r="C445" i="19"/>
  <c r="B445" i="19"/>
  <c r="A445" i="19"/>
  <c r="D444" i="19"/>
  <c r="C444" i="19"/>
  <c r="B444" i="19"/>
  <c r="A444" i="19"/>
  <c r="D443" i="19"/>
  <c r="C443" i="19"/>
  <c r="B443" i="19"/>
  <c r="A443" i="19"/>
  <c r="D442" i="19"/>
  <c r="C442" i="19"/>
  <c r="B442" i="19"/>
  <c r="A442" i="19"/>
  <c r="D441" i="19"/>
  <c r="C441" i="19"/>
  <c r="B441" i="19"/>
  <c r="A441" i="19"/>
  <c r="D440" i="19"/>
  <c r="C440" i="19"/>
  <c r="B440" i="19"/>
  <c r="A440" i="19"/>
  <c r="D439" i="19"/>
  <c r="C439" i="19"/>
  <c r="B439" i="19"/>
  <c r="A439" i="19"/>
  <c r="D438" i="19"/>
  <c r="C438" i="19"/>
  <c r="B438" i="19"/>
  <c r="A438" i="19"/>
  <c r="D437" i="19"/>
  <c r="C437" i="19"/>
  <c r="B437" i="19"/>
  <c r="A437" i="19"/>
  <c r="D436" i="19"/>
  <c r="C436" i="19"/>
  <c r="B436" i="19"/>
  <c r="A436" i="19"/>
  <c r="D435" i="19"/>
  <c r="C435" i="19"/>
  <c r="B435" i="19"/>
  <c r="A435" i="19"/>
  <c r="D434" i="19"/>
  <c r="C434" i="19"/>
  <c r="B434" i="19"/>
  <c r="A434" i="19"/>
  <c r="D433" i="19"/>
  <c r="C433" i="19"/>
  <c r="B433" i="19"/>
  <c r="A433" i="19"/>
  <c r="D432" i="19"/>
  <c r="C432" i="19"/>
  <c r="B432" i="19"/>
  <c r="A432" i="19"/>
  <c r="D431" i="19"/>
  <c r="C431" i="19"/>
  <c r="B431" i="19"/>
  <c r="A431" i="19"/>
  <c r="D430" i="19"/>
  <c r="C430" i="19"/>
  <c r="B430" i="19"/>
  <c r="A430" i="19"/>
  <c r="D429" i="19"/>
  <c r="C429" i="19"/>
  <c r="B429" i="19"/>
  <c r="A429" i="19"/>
  <c r="D428" i="19"/>
  <c r="C428" i="19"/>
  <c r="B428" i="19"/>
  <c r="A428" i="19"/>
  <c r="D427" i="19"/>
  <c r="C427" i="19"/>
  <c r="B427" i="19"/>
  <c r="A427" i="19"/>
  <c r="D426" i="19"/>
  <c r="C426" i="19"/>
  <c r="B426" i="19"/>
  <c r="A426" i="19"/>
  <c r="D425" i="19"/>
  <c r="C425" i="19"/>
  <c r="B425" i="19"/>
  <c r="A425" i="19"/>
  <c r="D424" i="19"/>
  <c r="C424" i="19"/>
  <c r="B424" i="19"/>
  <c r="A424" i="19"/>
  <c r="D423" i="19"/>
  <c r="C423" i="19"/>
  <c r="B423" i="19"/>
  <c r="A423" i="19"/>
  <c r="D422" i="19"/>
  <c r="C422" i="19"/>
  <c r="B422" i="19"/>
  <c r="A422" i="19"/>
  <c r="D421" i="19"/>
  <c r="C421" i="19"/>
  <c r="B421" i="19"/>
  <c r="A421" i="19"/>
  <c r="D420" i="19"/>
  <c r="C420" i="19"/>
  <c r="B420" i="19"/>
  <c r="A420" i="19"/>
  <c r="D419" i="19"/>
  <c r="C419" i="19"/>
  <c r="B419" i="19"/>
  <c r="A419" i="19"/>
  <c r="D418" i="19"/>
  <c r="C418" i="19"/>
  <c r="B418" i="19"/>
  <c r="A418" i="19"/>
  <c r="D417" i="19"/>
  <c r="C417" i="19"/>
  <c r="B417" i="19"/>
  <c r="A417" i="19"/>
  <c r="D416" i="19"/>
  <c r="C416" i="19"/>
  <c r="B416" i="19"/>
  <c r="A416" i="19"/>
  <c r="D415" i="19"/>
  <c r="C415" i="19"/>
  <c r="B415" i="19"/>
  <c r="A415" i="19"/>
  <c r="D414" i="19"/>
  <c r="C414" i="19"/>
  <c r="B414" i="19"/>
  <c r="A414" i="19"/>
  <c r="D413" i="19"/>
  <c r="C413" i="19"/>
  <c r="B413" i="19"/>
  <c r="A413" i="19"/>
  <c r="D412" i="19"/>
  <c r="C412" i="19"/>
  <c r="B412" i="19"/>
  <c r="A412" i="19"/>
  <c r="D411" i="19"/>
  <c r="C411" i="19"/>
  <c r="B411" i="19"/>
  <c r="A411" i="19"/>
  <c r="D410" i="19"/>
  <c r="C410" i="19"/>
  <c r="B410" i="19"/>
  <c r="A410" i="19"/>
  <c r="D409" i="19"/>
  <c r="C409" i="19"/>
  <c r="B409" i="19"/>
  <c r="A409" i="19"/>
  <c r="D408" i="19"/>
  <c r="C408" i="19"/>
  <c r="B408" i="19"/>
  <c r="A408" i="19"/>
  <c r="D407" i="19"/>
  <c r="C407" i="19"/>
  <c r="B407" i="19"/>
  <c r="A407" i="19"/>
  <c r="D406" i="19"/>
  <c r="C406" i="19"/>
  <c r="B406" i="19"/>
  <c r="A406" i="19"/>
  <c r="D405" i="19"/>
  <c r="C405" i="19"/>
  <c r="B405" i="19"/>
  <c r="A405" i="19"/>
  <c r="D404" i="19"/>
  <c r="C404" i="19"/>
  <c r="B404" i="19"/>
  <c r="A404" i="19"/>
  <c r="D403" i="19"/>
  <c r="C403" i="19"/>
  <c r="B403" i="19"/>
  <c r="A403" i="19"/>
  <c r="D402" i="19"/>
  <c r="C402" i="19"/>
  <c r="B402" i="19"/>
  <c r="A402" i="19"/>
  <c r="D401" i="19"/>
  <c r="C401" i="19"/>
  <c r="B401" i="19"/>
  <c r="A401" i="19"/>
  <c r="D400" i="19"/>
  <c r="C400" i="19"/>
  <c r="B400" i="19"/>
  <c r="A400" i="19"/>
  <c r="D399" i="19"/>
  <c r="C399" i="19"/>
  <c r="B399" i="19"/>
  <c r="A399" i="19"/>
  <c r="D398" i="19"/>
  <c r="C398" i="19"/>
  <c r="B398" i="19"/>
  <c r="A398" i="19"/>
  <c r="D397" i="19"/>
  <c r="C397" i="19"/>
  <c r="B397" i="19"/>
  <c r="A397" i="19"/>
  <c r="D396" i="19"/>
  <c r="C396" i="19"/>
  <c r="B396" i="19"/>
  <c r="A396" i="19"/>
  <c r="D395" i="19"/>
  <c r="C395" i="19"/>
  <c r="B395" i="19"/>
  <c r="A395" i="19"/>
  <c r="D394" i="19"/>
  <c r="C394" i="19"/>
  <c r="B394" i="19"/>
  <c r="A394" i="19"/>
  <c r="D393" i="19"/>
  <c r="C393" i="19"/>
  <c r="B393" i="19"/>
  <c r="A393" i="19"/>
  <c r="D392" i="19"/>
  <c r="C392" i="19"/>
  <c r="B392" i="19"/>
  <c r="A392" i="19"/>
  <c r="D391" i="19"/>
  <c r="C391" i="19"/>
  <c r="B391" i="19"/>
  <c r="A391" i="19"/>
  <c r="D390" i="19"/>
  <c r="C390" i="19"/>
  <c r="B390" i="19"/>
  <c r="A390" i="19"/>
  <c r="D389" i="19"/>
  <c r="C389" i="19"/>
  <c r="B389" i="19"/>
  <c r="A389" i="19"/>
  <c r="D388" i="19"/>
  <c r="C388" i="19"/>
  <c r="B388" i="19"/>
  <c r="A388" i="19"/>
  <c r="D387" i="19"/>
  <c r="C387" i="19"/>
  <c r="B387" i="19"/>
  <c r="A387" i="19"/>
  <c r="D386" i="19"/>
  <c r="C386" i="19"/>
  <c r="B386" i="19"/>
  <c r="A386" i="19"/>
  <c r="D385" i="19"/>
  <c r="C385" i="19"/>
  <c r="B385" i="19"/>
  <c r="A385" i="19"/>
  <c r="D384" i="19"/>
  <c r="C384" i="19"/>
  <c r="B384" i="19"/>
  <c r="A384" i="19"/>
  <c r="D383" i="19"/>
  <c r="C383" i="19"/>
  <c r="B383" i="19"/>
  <c r="A383" i="19"/>
  <c r="D382" i="19"/>
  <c r="C382" i="19"/>
  <c r="B382" i="19"/>
  <c r="A382" i="19"/>
  <c r="D381" i="19"/>
  <c r="C381" i="19"/>
  <c r="B381" i="19"/>
  <c r="A381" i="19"/>
  <c r="D380" i="19"/>
  <c r="C380" i="19"/>
  <c r="B380" i="19"/>
  <c r="A380" i="19"/>
  <c r="D379" i="19"/>
  <c r="C379" i="19"/>
  <c r="B379" i="19"/>
  <c r="A379" i="19"/>
  <c r="D378" i="19"/>
  <c r="C378" i="19"/>
  <c r="B378" i="19"/>
  <c r="A378" i="19"/>
  <c r="D377" i="19"/>
  <c r="C377" i="19"/>
  <c r="B377" i="19"/>
  <c r="A377" i="19"/>
  <c r="D376" i="19"/>
  <c r="C376" i="19"/>
  <c r="B376" i="19"/>
  <c r="A376" i="19"/>
  <c r="D375" i="19"/>
  <c r="C375" i="19"/>
  <c r="B375" i="19"/>
  <c r="A375" i="19"/>
  <c r="D374" i="19"/>
  <c r="C374" i="19"/>
  <c r="B374" i="19"/>
  <c r="A374" i="19"/>
  <c r="D373" i="19"/>
  <c r="C373" i="19"/>
  <c r="B373" i="19"/>
  <c r="A373" i="19"/>
  <c r="D372" i="19"/>
  <c r="C372" i="19"/>
  <c r="B372" i="19"/>
  <c r="A372" i="19"/>
  <c r="D371" i="19"/>
  <c r="C371" i="19"/>
  <c r="B371" i="19"/>
  <c r="A371" i="19"/>
  <c r="D370" i="19"/>
  <c r="C370" i="19"/>
  <c r="B370" i="19"/>
  <c r="A370" i="19"/>
  <c r="D369" i="19"/>
  <c r="C369" i="19"/>
  <c r="B369" i="19"/>
  <c r="A369" i="19"/>
  <c r="D368" i="19"/>
  <c r="C368" i="19"/>
  <c r="B368" i="19"/>
  <c r="A368" i="19"/>
  <c r="D367" i="19"/>
  <c r="C367" i="19"/>
  <c r="B367" i="19"/>
  <c r="A367" i="19"/>
  <c r="D366" i="19"/>
  <c r="C366" i="19"/>
  <c r="B366" i="19"/>
  <c r="A366" i="19"/>
  <c r="D365" i="19"/>
  <c r="C365" i="19"/>
  <c r="B365" i="19"/>
  <c r="A365" i="19"/>
  <c r="D364" i="19"/>
  <c r="C364" i="19"/>
  <c r="B364" i="19"/>
  <c r="A364" i="19"/>
  <c r="D363" i="19"/>
  <c r="C363" i="19"/>
  <c r="B363" i="19"/>
  <c r="A363" i="19"/>
  <c r="D362" i="19"/>
  <c r="C362" i="19"/>
  <c r="B362" i="19"/>
  <c r="A362" i="19"/>
  <c r="D361" i="19"/>
  <c r="C361" i="19"/>
  <c r="B361" i="19"/>
  <c r="A361" i="19"/>
  <c r="D360" i="19"/>
  <c r="C360" i="19"/>
  <c r="B360" i="19"/>
  <c r="A360" i="19"/>
  <c r="D359" i="19"/>
  <c r="C359" i="19"/>
  <c r="B359" i="19"/>
  <c r="A359" i="19"/>
  <c r="D358" i="19"/>
  <c r="C358" i="19"/>
  <c r="B358" i="19"/>
  <c r="A358" i="19"/>
  <c r="D357" i="19"/>
  <c r="C357" i="19"/>
  <c r="B357" i="19"/>
  <c r="A357" i="19"/>
  <c r="D356" i="19"/>
  <c r="C356" i="19"/>
  <c r="B356" i="19"/>
  <c r="A356" i="19"/>
  <c r="D355" i="19"/>
  <c r="C355" i="19"/>
  <c r="B355" i="19"/>
  <c r="A355" i="19"/>
  <c r="D354" i="19"/>
  <c r="C354" i="19"/>
  <c r="B354" i="19"/>
  <c r="A354" i="19"/>
  <c r="D353" i="19"/>
  <c r="C353" i="19"/>
  <c r="B353" i="19"/>
  <c r="A353" i="19"/>
  <c r="D352" i="19"/>
  <c r="C352" i="19"/>
  <c r="B352" i="19"/>
  <c r="A352" i="19"/>
  <c r="D351" i="19"/>
  <c r="C351" i="19"/>
  <c r="B351" i="19"/>
  <c r="A351" i="19"/>
  <c r="D350" i="19"/>
  <c r="C350" i="19"/>
  <c r="B350" i="19"/>
  <c r="A350" i="19"/>
  <c r="D349" i="19"/>
  <c r="C349" i="19"/>
  <c r="B349" i="19"/>
  <c r="A349" i="19"/>
  <c r="D348" i="19"/>
  <c r="C348" i="19"/>
  <c r="B348" i="19"/>
  <c r="A348" i="19"/>
  <c r="D347" i="19"/>
  <c r="C347" i="19"/>
  <c r="B347" i="19"/>
  <c r="A347" i="19"/>
  <c r="D346" i="19"/>
  <c r="C346" i="19"/>
  <c r="B346" i="19"/>
  <c r="A346" i="19"/>
  <c r="D345" i="19"/>
  <c r="C345" i="19"/>
  <c r="B345" i="19"/>
  <c r="A345" i="19"/>
  <c r="D344" i="19"/>
  <c r="C344" i="19"/>
  <c r="B344" i="19"/>
  <c r="A344" i="19"/>
  <c r="D343" i="19"/>
  <c r="C343" i="19"/>
  <c r="B343" i="19"/>
  <c r="A343" i="19"/>
  <c r="D342" i="19"/>
  <c r="C342" i="19"/>
  <c r="B342" i="19"/>
  <c r="A342" i="19"/>
  <c r="D341" i="19"/>
  <c r="C341" i="19"/>
  <c r="B341" i="19"/>
  <c r="A341" i="19"/>
  <c r="D340" i="19"/>
  <c r="C340" i="19"/>
  <c r="B340" i="19"/>
  <c r="A340" i="19"/>
  <c r="D339" i="19"/>
  <c r="C339" i="19"/>
  <c r="B339" i="19"/>
  <c r="A339" i="19"/>
  <c r="D338" i="19"/>
  <c r="C338" i="19"/>
  <c r="B338" i="19"/>
  <c r="A338" i="19"/>
  <c r="D337" i="19"/>
  <c r="C337" i="19"/>
  <c r="B337" i="19"/>
  <c r="A337" i="19"/>
  <c r="D336" i="19"/>
  <c r="C336" i="19"/>
  <c r="B336" i="19"/>
  <c r="A336" i="19"/>
  <c r="D335" i="19"/>
  <c r="C335" i="19"/>
  <c r="B335" i="19"/>
  <c r="A335" i="19"/>
  <c r="D334" i="19"/>
  <c r="C334" i="19"/>
  <c r="B334" i="19"/>
  <c r="A334" i="19"/>
  <c r="D333" i="19"/>
  <c r="C333" i="19"/>
  <c r="B333" i="19"/>
  <c r="A333" i="19"/>
  <c r="D332" i="19"/>
  <c r="C332" i="19"/>
  <c r="B332" i="19"/>
  <c r="A332" i="19"/>
  <c r="D331" i="19"/>
  <c r="C331" i="19"/>
  <c r="B331" i="19"/>
  <c r="A331" i="19"/>
  <c r="D330" i="19"/>
  <c r="C330" i="19"/>
  <c r="B330" i="19"/>
  <c r="A330" i="19"/>
  <c r="D329" i="19"/>
  <c r="C329" i="19"/>
  <c r="B329" i="19"/>
  <c r="A329" i="19"/>
  <c r="D328" i="19"/>
  <c r="C328" i="19"/>
  <c r="B328" i="19"/>
  <c r="A328" i="19"/>
  <c r="D327" i="19"/>
  <c r="C327" i="19"/>
  <c r="B327" i="19"/>
  <c r="A327" i="19"/>
  <c r="D326" i="19"/>
  <c r="C326" i="19"/>
  <c r="B326" i="19"/>
  <c r="A326" i="19"/>
  <c r="D325" i="19"/>
  <c r="C325" i="19"/>
  <c r="B325" i="19"/>
  <c r="A325" i="19"/>
  <c r="D324" i="19"/>
  <c r="C324" i="19"/>
  <c r="B324" i="19"/>
  <c r="A324" i="19"/>
  <c r="D323" i="19"/>
  <c r="C323" i="19"/>
  <c r="B323" i="19"/>
  <c r="A323" i="19"/>
  <c r="D322" i="19"/>
  <c r="C322" i="19"/>
  <c r="B322" i="19"/>
  <c r="A322" i="19"/>
  <c r="D321" i="19"/>
  <c r="C321" i="19"/>
  <c r="B321" i="19"/>
  <c r="A321" i="19"/>
  <c r="D320" i="19"/>
  <c r="C320" i="19"/>
  <c r="B320" i="19"/>
  <c r="A320" i="19"/>
  <c r="D319" i="19"/>
  <c r="C319" i="19"/>
  <c r="B319" i="19"/>
  <c r="A319" i="19"/>
  <c r="D318" i="19"/>
  <c r="C318" i="19"/>
  <c r="B318" i="19"/>
  <c r="A318" i="19"/>
  <c r="D317" i="19"/>
  <c r="C317" i="19"/>
  <c r="B317" i="19"/>
  <c r="A317" i="19"/>
  <c r="D316" i="19"/>
  <c r="C316" i="19"/>
  <c r="B316" i="19"/>
  <c r="A316" i="19"/>
  <c r="D315" i="19"/>
  <c r="C315" i="19"/>
  <c r="B315" i="19"/>
  <c r="A315" i="19"/>
  <c r="D314" i="19"/>
  <c r="C314" i="19"/>
  <c r="B314" i="19"/>
  <c r="A314" i="19"/>
  <c r="D313" i="19"/>
  <c r="C313" i="19"/>
  <c r="B313" i="19"/>
  <c r="A313" i="19"/>
  <c r="D312" i="19"/>
  <c r="C312" i="19"/>
  <c r="B312" i="19"/>
  <c r="A312" i="19"/>
  <c r="D311" i="19"/>
  <c r="C311" i="19"/>
  <c r="B311" i="19"/>
  <c r="A311" i="19"/>
  <c r="D310" i="19"/>
  <c r="C310" i="19"/>
  <c r="B310" i="19"/>
  <c r="A310" i="19"/>
  <c r="D309" i="19"/>
  <c r="C309" i="19"/>
  <c r="B309" i="19"/>
  <c r="A309" i="19"/>
  <c r="D308" i="19"/>
  <c r="C308" i="19"/>
  <c r="B308" i="19"/>
  <c r="A308" i="19"/>
  <c r="D307" i="19"/>
  <c r="C307" i="19"/>
  <c r="B307" i="19"/>
  <c r="A307" i="19"/>
  <c r="D306" i="19"/>
  <c r="C306" i="19"/>
  <c r="B306" i="19"/>
  <c r="A306" i="19"/>
  <c r="D305" i="19"/>
  <c r="C305" i="19"/>
  <c r="B305" i="19"/>
  <c r="A305" i="19"/>
  <c r="D304" i="19"/>
  <c r="C304" i="19"/>
  <c r="B304" i="19"/>
  <c r="A304" i="19"/>
  <c r="D303" i="19"/>
  <c r="C303" i="19"/>
  <c r="B303" i="19"/>
  <c r="A303" i="19"/>
  <c r="D302" i="19"/>
  <c r="C302" i="19"/>
  <c r="B302" i="19"/>
  <c r="A302" i="19"/>
  <c r="D301" i="19"/>
  <c r="C301" i="19"/>
  <c r="B301" i="19"/>
  <c r="A301" i="19"/>
  <c r="D300" i="19"/>
  <c r="C300" i="19"/>
  <c r="B300" i="19"/>
  <c r="A300" i="19"/>
  <c r="D299" i="19"/>
  <c r="C299" i="19"/>
  <c r="B299" i="19"/>
  <c r="A299" i="19"/>
  <c r="D298" i="19"/>
  <c r="C298" i="19"/>
  <c r="B298" i="19"/>
  <c r="A298" i="19"/>
  <c r="D297" i="19"/>
  <c r="C297" i="19"/>
  <c r="B297" i="19"/>
  <c r="A297" i="19"/>
  <c r="D296" i="19"/>
  <c r="C296" i="19"/>
  <c r="B296" i="19"/>
  <c r="A296" i="19"/>
  <c r="D295" i="19"/>
  <c r="C295" i="19"/>
  <c r="B295" i="19"/>
  <c r="A295" i="19"/>
  <c r="D294" i="19"/>
  <c r="C294" i="19"/>
  <c r="B294" i="19"/>
  <c r="A294" i="19"/>
  <c r="D293" i="19"/>
  <c r="C293" i="19"/>
  <c r="B293" i="19"/>
  <c r="A293" i="19"/>
  <c r="D292" i="19"/>
  <c r="C292" i="19"/>
  <c r="B292" i="19"/>
  <c r="A292" i="19"/>
  <c r="D291" i="19"/>
  <c r="C291" i="19"/>
  <c r="B291" i="19"/>
  <c r="A291" i="19"/>
  <c r="D290" i="19"/>
  <c r="C290" i="19"/>
  <c r="B290" i="19"/>
  <c r="A290" i="19"/>
  <c r="D289" i="19"/>
  <c r="C289" i="19"/>
  <c r="B289" i="19"/>
  <c r="A289" i="19"/>
  <c r="D288" i="19"/>
  <c r="C288" i="19"/>
  <c r="B288" i="19"/>
  <c r="A288" i="19"/>
  <c r="D287" i="19"/>
  <c r="C287" i="19"/>
  <c r="B287" i="19"/>
  <c r="A287" i="19"/>
  <c r="D286" i="19"/>
  <c r="C286" i="19"/>
  <c r="B286" i="19"/>
  <c r="A286" i="19"/>
  <c r="D285" i="19"/>
  <c r="C285" i="19"/>
  <c r="B285" i="19"/>
  <c r="A285" i="19"/>
  <c r="D284" i="19"/>
  <c r="C284" i="19"/>
  <c r="B284" i="19"/>
  <c r="A284" i="19"/>
  <c r="D283" i="19"/>
  <c r="C283" i="19"/>
  <c r="B283" i="19"/>
  <c r="A283" i="19"/>
  <c r="D282" i="19"/>
  <c r="C282" i="19"/>
  <c r="B282" i="19"/>
  <c r="A282" i="19"/>
  <c r="D281" i="19"/>
  <c r="C281" i="19"/>
  <c r="B281" i="19"/>
  <c r="A281" i="19"/>
  <c r="D280" i="19"/>
  <c r="C280" i="19"/>
  <c r="B280" i="19"/>
  <c r="A280" i="19"/>
  <c r="D279" i="19"/>
  <c r="C279" i="19"/>
  <c r="B279" i="19"/>
  <c r="A279" i="19"/>
  <c r="D278" i="19"/>
  <c r="C278" i="19"/>
  <c r="B278" i="19"/>
  <c r="A278" i="19"/>
  <c r="D277" i="19"/>
  <c r="C277" i="19"/>
  <c r="B277" i="19"/>
  <c r="A277" i="19"/>
  <c r="D276" i="19"/>
  <c r="C276" i="19"/>
  <c r="B276" i="19"/>
  <c r="A276" i="19"/>
  <c r="D275" i="19"/>
  <c r="C275" i="19"/>
  <c r="B275" i="19"/>
  <c r="A275" i="19"/>
  <c r="D274" i="19"/>
  <c r="C274" i="19"/>
  <c r="B274" i="19"/>
  <c r="A274" i="19"/>
  <c r="D273" i="19"/>
  <c r="C273" i="19"/>
  <c r="B273" i="19"/>
  <c r="A273" i="19"/>
  <c r="D272" i="19"/>
  <c r="C272" i="19"/>
  <c r="B272" i="19"/>
  <c r="A272" i="19"/>
  <c r="D271" i="19"/>
  <c r="C271" i="19"/>
  <c r="B271" i="19"/>
  <c r="A271" i="19"/>
  <c r="D270" i="19"/>
  <c r="C270" i="19"/>
  <c r="B270" i="19"/>
  <c r="A270" i="19"/>
  <c r="D269" i="19"/>
  <c r="C269" i="19"/>
  <c r="B269" i="19"/>
  <c r="A269" i="19"/>
  <c r="D268" i="19"/>
  <c r="C268" i="19"/>
  <c r="B268" i="19"/>
  <c r="A268" i="19"/>
  <c r="D267" i="19"/>
  <c r="C267" i="19"/>
  <c r="B267" i="19"/>
  <c r="A267" i="19"/>
  <c r="D266" i="19"/>
  <c r="C266" i="19"/>
  <c r="B266" i="19"/>
  <c r="A266" i="19"/>
  <c r="D265" i="19"/>
  <c r="C265" i="19"/>
  <c r="B265" i="19"/>
  <c r="A265" i="19"/>
  <c r="D264" i="19"/>
  <c r="C264" i="19"/>
  <c r="B264" i="19"/>
  <c r="A264" i="19"/>
  <c r="D263" i="19"/>
  <c r="C263" i="19"/>
  <c r="B263" i="19"/>
  <c r="A263" i="19"/>
  <c r="D262" i="19"/>
  <c r="C262" i="19"/>
  <c r="B262" i="19"/>
  <c r="A262" i="19"/>
  <c r="D261" i="19"/>
  <c r="C261" i="19"/>
  <c r="B261" i="19"/>
  <c r="A261" i="19"/>
  <c r="D260" i="19"/>
  <c r="C260" i="19"/>
  <c r="B260" i="19"/>
  <c r="A260" i="19"/>
  <c r="D259" i="19"/>
  <c r="C259" i="19"/>
  <c r="B259" i="19"/>
  <c r="A259" i="19"/>
  <c r="D258" i="19"/>
  <c r="C258" i="19"/>
  <c r="B258" i="19"/>
  <c r="A258" i="19"/>
  <c r="D257" i="19"/>
  <c r="C257" i="19"/>
  <c r="B257" i="19"/>
  <c r="A257" i="19"/>
  <c r="D256" i="19"/>
  <c r="C256" i="19"/>
  <c r="B256" i="19"/>
  <c r="A256" i="19"/>
  <c r="D255" i="19"/>
  <c r="C255" i="19"/>
  <c r="B255" i="19"/>
  <c r="A255" i="19"/>
  <c r="D254" i="19"/>
  <c r="C254" i="19"/>
  <c r="B254" i="19"/>
  <c r="A254" i="19"/>
  <c r="D253" i="19"/>
  <c r="C253" i="19"/>
  <c r="B253" i="19"/>
  <c r="A253" i="19"/>
  <c r="D252" i="19"/>
  <c r="C252" i="19"/>
  <c r="B252" i="19"/>
  <c r="A252" i="19"/>
  <c r="D251" i="19"/>
  <c r="C251" i="19"/>
  <c r="B251" i="19"/>
  <c r="A251" i="19"/>
  <c r="D250" i="19"/>
  <c r="C250" i="19"/>
  <c r="B250" i="19"/>
  <c r="A250" i="19"/>
  <c r="D249" i="19"/>
  <c r="C249" i="19"/>
  <c r="B249" i="19"/>
  <c r="A249" i="19"/>
  <c r="D248" i="19"/>
  <c r="C248" i="19"/>
  <c r="B248" i="19"/>
  <c r="A248" i="19"/>
  <c r="D247" i="19"/>
  <c r="C247" i="19"/>
  <c r="B247" i="19"/>
  <c r="A247" i="19"/>
  <c r="D246" i="19"/>
  <c r="C246" i="19"/>
  <c r="B246" i="19"/>
  <c r="A246" i="19"/>
  <c r="D245" i="19"/>
  <c r="C245" i="19"/>
  <c r="B245" i="19"/>
  <c r="A245" i="19"/>
  <c r="D244" i="19"/>
  <c r="C244" i="19"/>
  <c r="B244" i="19"/>
  <c r="A244" i="19"/>
  <c r="D243" i="19"/>
  <c r="C243" i="19"/>
  <c r="B243" i="19"/>
  <c r="A243" i="19"/>
  <c r="D242" i="19"/>
  <c r="C242" i="19"/>
  <c r="B242" i="19"/>
  <c r="A242" i="19"/>
  <c r="D241" i="19"/>
  <c r="C241" i="19"/>
  <c r="B241" i="19"/>
  <c r="A241" i="19"/>
  <c r="D240" i="19"/>
  <c r="C240" i="19"/>
  <c r="B240" i="19"/>
  <c r="A240" i="19"/>
  <c r="D239" i="19"/>
  <c r="C239" i="19"/>
  <c r="B239" i="19"/>
  <c r="A239" i="19"/>
  <c r="D238" i="19"/>
  <c r="C238" i="19"/>
  <c r="B238" i="19"/>
  <c r="A238" i="19"/>
  <c r="D237" i="19"/>
  <c r="C237" i="19"/>
  <c r="B237" i="19"/>
  <c r="A237" i="19"/>
  <c r="D236" i="19"/>
  <c r="C236" i="19"/>
  <c r="B236" i="19"/>
  <c r="A236" i="19"/>
  <c r="D235" i="19"/>
  <c r="C235" i="19"/>
  <c r="B235" i="19"/>
  <c r="A235" i="19"/>
  <c r="D234" i="19"/>
  <c r="C234" i="19"/>
  <c r="B234" i="19"/>
  <c r="A234" i="19"/>
  <c r="D233" i="19"/>
  <c r="C233" i="19"/>
  <c r="B233" i="19"/>
  <c r="A233" i="19"/>
  <c r="D232" i="19"/>
  <c r="C232" i="19"/>
  <c r="B232" i="19"/>
  <c r="A232" i="19"/>
  <c r="D231" i="19"/>
  <c r="C231" i="19"/>
  <c r="B231" i="19"/>
  <c r="A231" i="19"/>
  <c r="D230" i="19"/>
  <c r="C230" i="19"/>
  <c r="B230" i="19"/>
  <c r="A230" i="19"/>
  <c r="D229" i="19"/>
  <c r="C229" i="19"/>
  <c r="B229" i="19"/>
  <c r="A229" i="19"/>
  <c r="D228" i="19"/>
  <c r="C228" i="19"/>
  <c r="B228" i="19"/>
  <c r="A228" i="19"/>
  <c r="D227" i="19"/>
  <c r="C227" i="19"/>
  <c r="B227" i="19"/>
  <c r="A227" i="19"/>
  <c r="D226" i="19"/>
  <c r="C226" i="19"/>
  <c r="B226" i="19"/>
  <c r="A226" i="19"/>
  <c r="D225" i="19"/>
  <c r="C225" i="19"/>
  <c r="B225" i="19"/>
  <c r="A225" i="19"/>
  <c r="D224" i="19"/>
  <c r="C224" i="19"/>
  <c r="B224" i="19"/>
  <c r="A224" i="19"/>
  <c r="D223" i="19"/>
  <c r="C223" i="19"/>
  <c r="B223" i="19"/>
  <c r="A223" i="19"/>
  <c r="D222" i="19"/>
  <c r="C222" i="19"/>
  <c r="B222" i="19"/>
  <c r="A222" i="19"/>
  <c r="D221" i="19"/>
  <c r="C221" i="19"/>
  <c r="B221" i="19"/>
  <c r="A221" i="19"/>
  <c r="D220" i="19"/>
  <c r="C220" i="19"/>
  <c r="B220" i="19"/>
  <c r="A220" i="19"/>
  <c r="D219" i="19"/>
  <c r="C219" i="19"/>
  <c r="B219" i="19"/>
  <c r="A219" i="19"/>
  <c r="D218" i="19"/>
  <c r="C218" i="19"/>
  <c r="B218" i="19"/>
  <c r="A218" i="19"/>
  <c r="D217" i="19"/>
  <c r="C217" i="19"/>
  <c r="B217" i="19"/>
  <c r="A217" i="19"/>
  <c r="D216" i="19"/>
  <c r="C216" i="19"/>
  <c r="B216" i="19"/>
  <c r="A216" i="19"/>
  <c r="D215" i="19"/>
  <c r="C215" i="19"/>
  <c r="B215" i="19"/>
  <c r="A215" i="19"/>
  <c r="D214" i="19"/>
  <c r="C214" i="19"/>
  <c r="B214" i="19"/>
  <c r="A214" i="19"/>
  <c r="D213" i="19"/>
  <c r="C213" i="19"/>
  <c r="B213" i="19"/>
  <c r="A213" i="19"/>
  <c r="D212" i="19"/>
  <c r="C212" i="19"/>
  <c r="B212" i="19"/>
  <c r="A212" i="19"/>
  <c r="D211" i="19"/>
  <c r="C211" i="19"/>
  <c r="B211" i="19"/>
  <c r="A211" i="19"/>
  <c r="D210" i="19"/>
  <c r="C210" i="19"/>
  <c r="B210" i="19"/>
  <c r="A210" i="19"/>
  <c r="D209" i="19"/>
  <c r="C209" i="19"/>
  <c r="B209" i="19"/>
  <c r="A209" i="19"/>
  <c r="D208" i="19"/>
  <c r="C208" i="19"/>
  <c r="B208" i="19"/>
  <c r="A208" i="19"/>
  <c r="D207" i="19"/>
  <c r="C207" i="19"/>
  <c r="B207" i="19"/>
  <c r="A207" i="19"/>
  <c r="D206" i="19"/>
  <c r="C206" i="19"/>
  <c r="B206" i="19"/>
  <c r="A206" i="19"/>
  <c r="D205" i="19"/>
  <c r="C205" i="19"/>
  <c r="B205" i="19"/>
  <c r="A205" i="19"/>
  <c r="D204" i="19"/>
  <c r="C204" i="19"/>
  <c r="B204" i="19"/>
  <c r="A204" i="19"/>
  <c r="D203" i="19"/>
  <c r="C203" i="19"/>
  <c r="B203" i="19"/>
  <c r="A203" i="19"/>
  <c r="D202" i="19"/>
  <c r="C202" i="19"/>
  <c r="B202" i="19"/>
  <c r="A202" i="19"/>
  <c r="D201" i="19"/>
  <c r="C201" i="19"/>
  <c r="B201" i="19"/>
  <c r="A201" i="19"/>
  <c r="D200" i="19"/>
  <c r="C200" i="19"/>
  <c r="B200" i="19"/>
  <c r="A200" i="19"/>
  <c r="D199" i="19"/>
  <c r="C199" i="19"/>
  <c r="B199" i="19"/>
  <c r="A199" i="19"/>
  <c r="D198" i="19"/>
  <c r="C198" i="19"/>
  <c r="B198" i="19"/>
  <c r="A198" i="19"/>
  <c r="D197" i="19"/>
  <c r="C197" i="19"/>
  <c r="B197" i="19"/>
  <c r="A197" i="19"/>
  <c r="D196" i="19"/>
  <c r="C196" i="19"/>
  <c r="B196" i="19"/>
  <c r="A196" i="19"/>
  <c r="D195" i="19"/>
  <c r="C195" i="19"/>
  <c r="B195" i="19"/>
  <c r="A195" i="19"/>
  <c r="D194" i="19"/>
  <c r="C194" i="19"/>
  <c r="B194" i="19"/>
  <c r="A194" i="19"/>
  <c r="D193" i="19"/>
  <c r="C193" i="19"/>
  <c r="B193" i="19"/>
  <c r="A193" i="19"/>
  <c r="D192" i="19"/>
  <c r="C192" i="19"/>
  <c r="B192" i="19"/>
  <c r="A192" i="19"/>
  <c r="D191" i="19"/>
  <c r="C191" i="19"/>
  <c r="B191" i="19"/>
  <c r="A191" i="19"/>
  <c r="D190" i="19"/>
  <c r="C190" i="19"/>
  <c r="B190" i="19"/>
  <c r="A190" i="19"/>
  <c r="D189" i="19"/>
  <c r="C189" i="19"/>
  <c r="B189" i="19"/>
  <c r="A189" i="19"/>
  <c r="D188" i="19"/>
  <c r="C188" i="19"/>
  <c r="B188" i="19"/>
  <c r="A188" i="19"/>
  <c r="D187" i="19"/>
  <c r="C187" i="19"/>
  <c r="B187" i="19"/>
  <c r="A187" i="19"/>
  <c r="D186" i="19"/>
  <c r="C186" i="19"/>
  <c r="B186" i="19"/>
  <c r="A186" i="19"/>
  <c r="D185" i="19"/>
  <c r="C185" i="19"/>
  <c r="B185" i="19"/>
  <c r="A185" i="19"/>
  <c r="D184" i="19"/>
  <c r="C184" i="19"/>
  <c r="B184" i="19"/>
  <c r="A184" i="19"/>
  <c r="D183" i="19"/>
  <c r="C183" i="19"/>
  <c r="B183" i="19"/>
  <c r="A183" i="19"/>
  <c r="D182" i="19"/>
  <c r="C182" i="19"/>
  <c r="B182" i="19"/>
  <c r="A182" i="19"/>
  <c r="D181" i="19"/>
  <c r="C181" i="19"/>
  <c r="B181" i="19"/>
  <c r="A181" i="19"/>
  <c r="D180" i="19"/>
  <c r="C180" i="19"/>
  <c r="B180" i="19"/>
  <c r="A180" i="19"/>
  <c r="D179" i="19"/>
  <c r="C179" i="19"/>
  <c r="B179" i="19"/>
  <c r="A179" i="19"/>
  <c r="D178" i="19"/>
  <c r="C178" i="19"/>
  <c r="B178" i="19"/>
  <c r="A178" i="19"/>
  <c r="D177" i="19"/>
  <c r="C177" i="19"/>
  <c r="B177" i="19"/>
  <c r="A177" i="19"/>
  <c r="D176" i="19"/>
  <c r="C176" i="19"/>
  <c r="B176" i="19"/>
  <c r="A176" i="19"/>
  <c r="D175" i="19"/>
  <c r="C175" i="19"/>
  <c r="B175" i="19"/>
  <c r="A175" i="19"/>
  <c r="D174" i="19"/>
  <c r="C174" i="19"/>
  <c r="B174" i="19"/>
  <c r="A174" i="19"/>
  <c r="D173" i="19"/>
  <c r="C173" i="19"/>
  <c r="B173" i="19"/>
  <c r="A173" i="19"/>
  <c r="D172" i="19"/>
  <c r="C172" i="19"/>
  <c r="B172" i="19"/>
  <c r="A172" i="19"/>
  <c r="D171" i="19"/>
  <c r="C171" i="19"/>
  <c r="B171" i="19"/>
  <c r="A171" i="19"/>
  <c r="D170" i="19"/>
  <c r="C170" i="19"/>
  <c r="B170" i="19"/>
  <c r="A170" i="19"/>
  <c r="D169" i="19"/>
  <c r="C169" i="19"/>
  <c r="B169" i="19"/>
  <c r="A169" i="19"/>
  <c r="D168" i="19"/>
  <c r="C168" i="19"/>
  <c r="B168" i="19"/>
  <c r="A168" i="19"/>
  <c r="D167" i="19"/>
  <c r="C167" i="19"/>
  <c r="B167" i="19"/>
  <c r="A167" i="19"/>
  <c r="D166" i="19"/>
  <c r="C166" i="19"/>
  <c r="B166" i="19"/>
  <c r="A166" i="19"/>
  <c r="D165" i="19"/>
  <c r="C165" i="19"/>
  <c r="B165" i="19"/>
  <c r="A165" i="19"/>
  <c r="D164" i="19"/>
  <c r="C164" i="19"/>
  <c r="B164" i="19"/>
  <c r="A164" i="19"/>
  <c r="D163" i="19"/>
  <c r="C163" i="19"/>
  <c r="B163" i="19"/>
  <c r="A163" i="19"/>
  <c r="D162" i="19"/>
  <c r="C162" i="19"/>
  <c r="B162" i="19"/>
  <c r="A162" i="19"/>
  <c r="D161" i="19"/>
  <c r="C161" i="19"/>
  <c r="B161" i="19"/>
  <c r="A161" i="19"/>
  <c r="D160" i="19"/>
  <c r="C160" i="19"/>
  <c r="B160" i="19"/>
  <c r="A160" i="19"/>
  <c r="D159" i="19"/>
  <c r="C159" i="19"/>
  <c r="B159" i="19"/>
  <c r="A159" i="19"/>
  <c r="D158" i="19"/>
  <c r="C158" i="19"/>
  <c r="B158" i="19"/>
  <c r="A158" i="19"/>
  <c r="D157" i="19"/>
  <c r="C157" i="19"/>
  <c r="B157" i="19"/>
  <c r="A157" i="19"/>
  <c r="D156" i="19"/>
  <c r="C156" i="19"/>
  <c r="B156" i="19"/>
  <c r="A156" i="19"/>
  <c r="D155" i="19"/>
  <c r="C155" i="19"/>
  <c r="B155" i="19"/>
  <c r="A155" i="19"/>
  <c r="D154" i="19"/>
  <c r="C154" i="19"/>
  <c r="B154" i="19"/>
  <c r="A154" i="19"/>
  <c r="D153" i="19"/>
  <c r="C153" i="19"/>
  <c r="B153" i="19"/>
  <c r="A153" i="19"/>
  <c r="D152" i="19"/>
  <c r="C152" i="19"/>
  <c r="B152" i="19"/>
  <c r="A152" i="19"/>
  <c r="D151" i="19"/>
  <c r="C151" i="19"/>
  <c r="B151" i="19"/>
  <c r="A151" i="19"/>
  <c r="D150" i="19"/>
  <c r="C150" i="19"/>
  <c r="B150" i="19"/>
  <c r="A150" i="19"/>
  <c r="D149" i="19"/>
  <c r="C149" i="19"/>
  <c r="B149" i="19"/>
  <c r="A149" i="19"/>
  <c r="D148" i="19"/>
  <c r="C148" i="19"/>
  <c r="B148" i="19"/>
  <c r="A148" i="19"/>
  <c r="D147" i="19"/>
  <c r="C147" i="19"/>
  <c r="B147" i="19"/>
  <c r="A147" i="19"/>
  <c r="D146" i="19"/>
  <c r="C146" i="19"/>
  <c r="B146" i="19"/>
  <c r="A146" i="19"/>
  <c r="D145" i="19"/>
  <c r="C145" i="19"/>
  <c r="B145" i="19"/>
  <c r="A145" i="19"/>
  <c r="D144" i="19"/>
  <c r="C144" i="19"/>
  <c r="B144" i="19"/>
  <c r="A144" i="19"/>
  <c r="D143" i="19"/>
  <c r="C143" i="19"/>
  <c r="B143" i="19"/>
  <c r="A143" i="19"/>
  <c r="D142" i="19"/>
  <c r="C142" i="19"/>
  <c r="B142" i="19"/>
  <c r="A142" i="19"/>
  <c r="D141" i="19"/>
  <c r="C141" i="19"/>
  <c r="B141" i="19"/>
  <c r="A141" i="19"/>
  <c r="D140" i="19"/>
  <c r="C140" i="19"/>
  <c r="B140" i="19"/>
  <c r="A140" i="19"/>
  <c r="D139" i="19"/>
  <c r="C139" i="19"/>
  <c r="B139" i="19"/>
  <c r="A139" i="19"/>
  <c r="D138" i="19"/>
  <c r="C138" i="19"/>
  <c r="B138" i="19"/>
  <c r="A138" i="19"/>
  <c r="D137" i="19"/>
  <c r="C137" i="19"/>
  <c r="B137" i="19"/>
  <c r="A137" i="19"/>
  <c r="D136" i="19"/>
  <c r="C136" i="19"/>
  <c r="B136" i="19"/>
  <c r="A136" i="19"/>
  <c r="D135" i="19"/>
  <c r="C135" i="19"/>
  <c r="B135" i="19"/>
  <c r="A135" i="19"/>
  <c r="D134" i="19"/>
  <c r="C134" i="19"/>
  <c r="B134" i="19"/>
  <c r="A134" i="19"/>
  <c r="D133" i="19"/>
  <c r="C133" i="19"/>
  <c r="B133" i="19"/>
  <c r="A133" i="19"/>
  <c r="D132" i="19"/>
  <c r="C132" i="19"/>
  <c r="B132" i="19"/>
  <c r="A132" i="19"/>
  <c r="D131" i="19"/>
  <c r="C131" i="19"/>
  <c r="B131" i="19"/>
  <c r="A131" i="19"/>
  <c r="D130" i="19"/>
  <c r="C130" i="19"/>
  <c r="B130" i="19"/>
  <c r="A130" i="19"/>
  <c r="D129" i="19"/>
  <c r="C129" i="19"/>
  <c r="B129" i="19"/>
  <c r="A129" i="19"/>
  <c r="D128" i="19"/>
  <c r="C128" i="19"/>
  <c r="B128" i="19"/>
  <c r="A128" i="19"/>
  <c r="D127" i="19"/>
  <c r="C127" i="19"/>
  <c r="B127" i="19"/>
  <c r="A127" i="19"/>
  <c r="D126" i="19"/>
  <c r="C126" i="19"/>
  <c r="B126" i="19"/>
  <c r="A126" i="19"/>
  <c r="D125" i="19"/>
  <c r="C125" i="19"/>
  <c r="B125" i="19"/>
  <c r="A125" i="19"/>
  <c r="D124" i="19"/>
  <c r="C124" i="19"/>
  <c r="B124" i="19"/>
  <c r="A124" i="19"/>
  <c r="D123" i="19"/>
  <c r="C123" i="19"/>
  <c r="B123" i="19"/>
  <c r="A123" i="19"/>
  <c r="D122" i="19"/>
  <c r="C122" i="19"/>
  <c r="B122" i="19"/>
  <c r="A122" i="19"/>
  <c r="D121" i="19"/>
  <c r="C121" i="19"/>
  <c r="B121" i="19"/>
  <c r="A121" i="19"/>
  <c r="D120" i="19"/>
  <c r="C120" i="19"/>
  <c r="B120" i="19"/>
  <c r="A120" i="19"/>
  <c r="D119" i="19"/>
  <c r="C119" i="19"/>
  <c r="B119" i="19"/>
  <c r="A119" i="19"/>
  <c r="D118" i="19"/>
  <c r="C118" i="19"/>
  <c r="B118" i="19"/>
  <c r="A118" i="19"/>
  <c r="D117" i="19"/>
  <c r="C117" i="19"/>
  <c r="B117" i="19"/>
  <c r="A117" i="19"/>
  <c r="D116" i="19"/>
  <c r="C116" i="19"/>
  <c r="B116" i="19"/>
  <c r="A116" i="19"/>
  <c r="D115" i="19"/>
  <c r="C115" i="19"/>
  <c r="B115" i="19"/>
  <c r="A115" i="19"/>
  <c r="D114" i="19"/>
  <c r="C114" i="19"/>
  <c r="B114" i="19"/>
  <c r="A114" i="19"/>
  <c r="D113" i="19"/>
  <c r="C113" i="19"/>
  <c r="B113" i="19"/>
  <c r="A113" i="19"/>
  <c r="D112" i="19"/>
  <c r="C112" i="19"/>
  <c r="B112" i="19"/>
  <c r="A112" i="19"/>
  <c r="D111" i="19"/>
  <c r="C111" i="19"/>
  <c r="B111" i="19"/>
  <c r="A111" i="19"/>
  <c r="D110" i="19"/>
  <c r="C110" i="19"/>
  <c r="B110" i="19"/>
  <c r="A110" i="19"/>
  <c r="D109" i="19"/>
  <c r="C109" i="19"/>
  <c r="B109" i="19"/>
  <c r="A109" i="19"/>
  <c r="D108" i="19"/>
  <c r="C108" i="19"/>
  <c r="B108" i="19"/>
  <c r="A108" i="19"/>
  <c r="D107" i="19"/>
  <c r="C107" i="19"/>
  <c r="B107" i="19"/>
  <c r="A107" i="19"/>
  <c r="D106" i="19"/>
  <c r="C106" i="19"/>
  <c r="B106" i="19"/>
  <c r="A106" i="19"/>
  <c r="D105" i="19"/>
  <c r="C105" i="19"/>
  <c r="B105" i="19"/>
  <c r="A105" i="19"/>
  <c r="D104" i="19"/>
  <c r="C104" i="19"/>
  <c r="B104" i="19"/>
  <c r="A104" i="19"/>
  <c r="D103" i="19"/>
  <c r="C103" i="19"/>
  <c r="B103" i="19"/>
  <c r="A103" i="19"/>
  <c r="D102" i="19"/>
  <c r="C102" i="19"/>
  <c r="B102" i="19"/>
  <c r="A102" i="19"/>
  <c r="D101" i="19"/>
  <c r="C101" i="19"/>
  <c r="B101" i="19"/>
  <c r="A101" i="19"/>
  <c r="D100" i="19"/>
  <c r="C100" i="19"/>
  <c r="B100" i="19"/>
  <c r="A100" i="19"/>
  <c r="D99" i="19"/>
  <c r="C99" i="19"/>
  <c r="B99" i="19"/>
  <c r="A99" i="19"/>
  <c r="D98" i="19"/>
  <c r="C98" i="19"/>
  <c r="B98" i="19"/>
  <c r="A98" i="19"/>
  <c r="D97" i="19"/>
  <c r="C97" i="19"/>
  <c r="B97" i="19"/>
  <c r="A97" i="19"/>
  <c r="D96" i="19"/>
  <c r="C96" i="19"/>
  <c r="B96" i="19"/>
  <c r="A96" i="19"/>
  <c r="D95" i="19"/>
  <c r="C95" i="19"/>
  <c r="B95" i="19"/>
  <c r="A95" i="19"/>
  <c r="D94" i="19"/>
  <c r="C94" i="19"/>
  <c r="B94" i="19"/>
  <c r="A94" i="19"/>
  <c r="D93" i="19"/>
  <c r="C93" i="19"/>
  <c r="B93" i="19"/>
  <c r="A93" i="19"/>
  <c r="D92" i="19"/>
  <c r="C92" i="19"/>
  <c r="B92" i="19"/>
  <c r="A92" i="19"/>
  <c r="D91" i="19"/>
  <c r="C91" i="19"/>
  <c r="B91" i="19"/>
  <c r="A91" i="19"/>
  <c r="D90" i="19"/>
  <c r="C90" i="19"/>
  <c r="B90" i="19"/>
  <c r="A90" i="19"/>
  <c r="D89" i="19"/>
  <c r="C89" i="19"/>
  <c r="B89" i="19"/>
  <c r="A89" i="19"/>
  <c r="D88" i="19"/>
  <c r="C88" i="19"/>
  <c r="B88" i="19"/>
  <c r="A88" i="19"/>
  <c r="D87" i="19"/>
  <c r="C87" i="19"/>
  <c r="B87" i="19"/>
  <c r="A87" i="19"/>
  <c r="D86" i="19"/>
  <c r="C86" i="19"/>
  <c r="B86" i="19"/>
  <c r="A86" i="19"/>
  <c r="D85" i="19"/>
  <c r="C85" i="19"/>
  <c r="B85" i="19"/>
  <c r="A85" i="19"/>
  <c r="D84" i="19"/>
  <c r="C84" i="19"/>
  <c r="B84" i="19"/>
  <c r="A84" i="19"/>
  <c r="D83" i="19"/>
  <c r="C83" i="19"/>
  <c r="B83" i="19"/>
  <c r="A83" i="19"/>
  <c r="D82" i="19"/>
  <c r="C82" i="19"/>
  <c r="B82" i="19"/>
  <c r="A82" i="19"/>
  <c r="D81" i="19"/>
  <c r="C81" i="19"/>
  <c r="B81" i="19"/>
  <c r="A81" i="19"/>
  <c r="D80" i="19"/>
  <c r="C80" i="19"/>
  <c r="B80" i="19"/>
  <c r="A80" i="19"/>
  <c r="D79" i="19"/>
  <c r="C79" i="19"/>
  <c r="B79" i="19"/>
  <c r="A79" i="19"/>
  <c r="D78" i="19"/>
  <c r="C78" i="19"/>
  <c r="B78" i="19"/>
  <c r="A78" i="19"/>
  <c r="D77" i="19"/>
  <c r="C77" i="19"/>
  <c r="B77" i="19"/>
  <c r="A77" i="19"/>
  <c r="D76" i="19"/>
  <c r="C76" i="19"/>
  <c r="B76" i="19"/>
  <c r="A76" i="19"/>
  <c r="D75" i="19"/>
  <c r="C75" i="19"/>
  <c r="B75" i="19"/>
  <c r="A75" i="19"/>
  <c r="D74" i="19"/>
  <c r="C74" i="19"/>
  <c r="B74" i="19"/>
  <c r="A74" i="19"/>
  <c r="D73" i="19"/>
  <c r="C73" i="19"/>
  <c r="B73" i="19"/>
  <c r="A73" i="19"/>
  <c r="D72" i="19"/>
  <c r="C72" i="19"/>
  <c r="B72" i="19"/>
  <c r="A72" i="19"/>
  <c r="D71" i="19"/>
  <c r="C71" i="19"/>
  <c r="B71" i="19"/>
  <c r="A71" i="19"/>
  <c r="D70" i="19"/>
  <c r="C70" i="19"/>
  <c r="B70" i="19"/>
  <c r="A70" i="19"/>
  <c r="D69" i="19"/>
  <c r="C69" i="19"/>
  <c r="B69" i="19"/>
  <c r="A69" i="19"/>
  <c r="D68" i="19"/>
  <c r="C68" i="19"/>
  <c r="B68" i="19"/>
  <c r="A68" i="19"/>
  <c r="D67" i="19"/>
  <c r="C67" i="19"/>
  <c r="B67" i="19"/>
  <c r="A67" i="19"/>
  <c r="D66" i="19"/>
  <c r="C66" i="19"/>
  <c r="B66" i="19"/>
  <c r="A66" i="19"/>
  <c r="D65" i="19"/>
  <c r="C65" i="19"/>
  <c r="B65" i="19"/>
  <c r="A65" i="19"/>
  <c r="D64" i="19"/>
  <c r="C64" i="19"/>
  <c r="B64" i="19"/>
  <c r="A64" i="19"/>
  <c r="D63" i="19"/>
  <c r="C63" i="19"/>
  <c r="B63" i="19"/>
  <c r="A63" i="19"/>
  <c r="D62" i="19"/>
  <c r="C62" i="19"/>
  <c r="B62" i="19"/>
  <c r="A62" i="19"/>
  <c r="D61" i="19"/>
  <c r="C61" i="19"/>
  <c r="B61" i="19"/>
  <c r="A61" i="19"/>
  <c r="D60" i="19"/>
  <c r="C60" i="19"/>
  <c r="B60" i="19"/>
  <c r="A60" i="19"/>
  <c r="D59" i="19"/>
  <c r="C59" i="19"/>
  <c r="B59" i="19"/>
  <c r="A59" i="19"/>
  <c r="D58" i="19"/>
  <c r="C58" i="19"/>
  <c r="B58" i="19"/>
  <c r="A58" i="19"/>
  <c r="D57" i="19"/>
  <c r="C57" i="19"/>
  <c r="B57" i="19"/>
  <c r="A57" i="19"/>
  <c r="D56" i="19"/>
  <c r="C56" i="19"/>
  <c r="B56" i="19"/>
  <c r="A56" i="19"/>
  <c r="D55" i="19"/>
  <c r="C55" i="19"/>
  <c r="B55" i="19"/>
  <c r="A55" i="19"/>
  <c r="D54" i="19"/>
  <c r="C54" i="19"/>
  <c r="B54" i="19"/>
  <c r="A54" i="19"/>
  <c r="D53" i="19"/>
  <c r="C53" i="19"/>
  <c r="B53" i="19"/>
  <c r="A53" i="19"/>
  <c r="D52" i="19"/>
  <c r="C52" i="19"/>
  <c r="B52" i="19"/>
  <c r="A52" i="19"/>
  <c r="D51" i="19"/>
  <c r="C51" i="19"/>
  <c r="B51" i="19"/>
  <c r="A51" i="19"/>
  <c r="D50" i="19"/>
  <c r="C50" i="19"/>
  <c r="B50" i="19"/>
  <c r="A50" i="19"/>
  <c r="D49" i="19"/>
  <c r="C49" i="19"/>
  <c r="B49" i="19"/>
  <c r="A49" i="19"/>
  <c r="D48" i="19"/>
  <c r="C48" i="19"/>
  <c r="B48" i="19"/>
  <c r="A48" i="19"/>
  <c r="D47" i="19"/>
  <c r="C47" i="19"/>
  <c r="B47" i="19"/>
  <c r="A47" i="19"/>
  <c r="D46" i="19"/>
  <c r="C46" i="19"/>
  <c r="B46" i="19"/>
  <c r="A46" i="19"/>
  <c r="D45" i="19"/>
  <c r="C45" i="19"/>
  <c r="B45" i="19"/>
  <c r="A45" i="19"/>
  <c r="D44" i="19"/>
  <c r="C44" i="19"/>
  <c r="B44" i="19"/>
  <c r="A44" i="19"/>
  <c r="D43" i="19"/>
  <c r="C43" i="19"/>
  <c r="B43" i="19"/>
  <c r="A43" i="19"/>
  <c r="D42" i="19"/>
  <c r="C42" i="19"/>
  <c r="B42" i="19"/>
  <c r="A42" i="19"/>
  <c r="D41" i="19"/>
  <c r="C41" i="19"/>
  <c r="B41" i="19"/>
  <c r="A41" i="19"/>
  <c r="D40" i="19"/>
  <c r="C40" i="19"/>
  <c r="B40" i="19"/>
  <c r="A40" i="19"/>
  <c r="D39" i="19"/>
  <c r="C39" i="19"/>
  <c r="B39" i="19"/>
  <c r="A39" i="19"/>
  <c r="D38" i="19"/>
  <c r="C38" i="19"/>
  <c r="B38" i="19"/>
  <c r="A38" i="19"/>
  <c r="D37" i="19"/>
  <c r="C37" i="19"/>
  <c r="B37" i="19"/>
  <c r="A37" i="19"/>
  <c r="D36" i="19"/>
  <c r="C36" i="19"/>
  <c r="B36" i="19"/>
  <c r="A36" i="19"/>
  <c r="D35" i="19"/>
  <c r="C35" i="19"/>
  <c r="B35" i="19"/>
  <c r="A35" i="19"/>
  <c r="D34" i="19"/>
  <c r="C34" i="19"/>
  <c r="B34" i="19"/>
  <c r="A34" i="19"/>
  <c r="D33" i="19"/>
  <c r="C33" i="19"/>
  <c r="B33" i="19"/>
  <c r="A33" i="19"/>
  <c r="D32" i="19"/>
  <c r="C32" i="19"/>
  <c r="B32" i="19"/>
  <c r="A32" i="19"/>
  <c r="D31" i="19"/>
  <c r="C31" i="19"/>
  <c r="B31" i="19"/>
  <c r="A31" i="19"/>
  <c r="D30" i="19"/>
  <c r="C30" i="19"/>
  <c r="B30" i="19"/>
  <c r="A30" i="19"/>
  <c r="D29" i="19"/>
  <c r="C29" i="19"/>
  <c r="B29" i="19"/>
  <c r="A29" i="19"/>
  <c r="D28" i="19"/>
  <c r="C28" i="19"/>
  <c r="B28" i="19"/>
  <c r="A28" i="19"/>
  <c r="D27" i="19"/>
  <c r="C27" i="19"/>
  <c r="B27" i="19"/>
  <c r="A27" i="19"/>
  <c r="D26" i="19"/>
  <c r="C26" i="19"/>
  <c r="B26" i="19"/>
  <c r="A26" i="19"/>
  <c r="D25" i="19"/>
  <c r="C25" i="19"/>
  <c r="B25" i="19"/>
  <c r="A25" i="19"/>
  <c r="D24" i="19"/>
  <c r="C24" i="19"/>
  <c r="B24" i="19"/>
  <c r="A24" i="19"/>
  <c r="D23" i="19"/>
  <c r="C23" i="19"/>
  <c r="B23" i="19"/>
  <c r="A23" i="19"/>
  <c r="D22" i="19"/>
  <c r="C22" i="19"/>
  <c r="B22" i="19"/>
  <c r="A22" i="19"/>
  <c r="D21" i="19"/>
  <c r="C21" i="19"/>
  <c r="B21" i="19"/>
  <c r="A21" i="19"/>
  <c r="D20" i="19"/>
  <c r="C20" i="19"/>
  <c r="B20" i="19"/>
  <c r="A20" i="19"/>
  <c r="D19" i="19"/>
  <c r="C19" i="19"/>
  <c r="B19" i="19"/>
  <c r="A19" i="19"/>
  <c r="D18" i="19"/>
  <c r="C18" i="19"/>
  <c r="B18" i="19"/>
  <c r="A18" i="19"/>
  <c r="D17" i="19"/>
  <c r="C17" i="19"/>
  <c r="B17" i="19"/>
  <c r="A17" i="19"/>
  <c r="D16" i="19"/>
  <c r="C16" i="19"/>
  <c r="B16" i="19"/>
  <c r="A16" i="19"/>
  <c r="D15" i="19"/>
  <c r="C15" i="19"/>
  <c r="B15" i="19"/>
  <c r="A15" i="19"/>
  <c r="D14" i="19"/>
  <c r="C14" i="19"/>
  <c r="B14" i="19"/>
  <c r="A14" i="19"/>
  <c r="D13" i="19"/>
  <c r="C13" i="19"/>
  <c r="B13" i="19"/>
  <c r="A13" i="19"/>
  <c r="D12" i="19"/>
  <c r="C12" i="19"/>
  <c r="B12" i="19"/>
  <c r="A12" i="19"/>
  <c r="D11" i="19"/>
  <c r="C11" i="19"/>
  <c r="B11" i="19"/>
  <c r="A11" i="19"/>
  <c r="D10" i="19"/>
  <c r="C10" i="19"/>
  <c r="B10" i="19"/>
  <c r="A10" i="19"/>
  <c r="D9" i="19"/>
  <c r="C9" i="19"/>
  <c r="B9" i="19"/>
  <c r="A9" i="19"/>
  <c r="D8" i="19"/>
  <c r="C8" i="19"/>
  <c r="B8" i="19"/>
  <c r="A8" i="19"/>
  <c r="D7" i="19"/>
  <c r="C7" i="19"/>
  <c r="B7" i="19"/>
  <c r="A7" i="19"/>
  <c r="D6" i="19"/>
  <c r="C6" i="19"/>
  <c r="B6" i="19"/>
  <c r="A6" i="19"/>
  <c r="G500" i="18"/>
  <c r="F500" i="18"/>
  <c r="D500" i="18"/>
  <c r="C500" i="18"/>
  <c r="B500" i="18"/>
  <c r="A500" i="18"/>
  <c r="G499" i="18"/>
  <c r="F499" i="18"/>
  <c r="D499" i="18"/>
  <c r="C499" i="18"/>
  <c r="B499" i="18"/>
  <c r="A499" i="18"/>
  <c r="G498" i="18"/>
  <c r="F498" i="18"/>
  <c r="D498" i="18"/>
  <c r="C498" i="18"/>
  <c r="B498" i="18"/>
  <c r="A498" i="18"/>
  <c r="D497" i="18"/>
  <c r="C497" i="18"/>
  <c r="B497" i="18"/>
  <c r="A497" i="18"/>
  <c r="D496" i="18"/>
  <c r="C496" i="18"/>
  <c r="B496" i="18"/>
  <c r="A496" i="18"/>
  <c r="D495" i="18"/>
  <c r="C495" i="18"/>
  <c r="B495" i="18"/>
  <c r="A495" i="18"/>
  <c r="D494" i="18"/>
  <c r="C494" i="18"/>
  <c r="B494" i="18"/>
  <c r="A494" i="18"/>
  <c r="D493" i="18"/>
  <c r="C493" i="18"/>
  <c r="B493" i="18"/>
  <c r="A493" i="18"/>
  <c r="D492" i="18"/>
  <c r="C492" i="18"/>
  <c r="B492" i="18"/>
  <c r="A492" i="18"/>
  <c r="D491" i="18"/>
  <c r="C491" i="18"/>
  <c r="B491" i="18"/>
  <c r="A491" i="18"/>
  <c r="D490" i="18"/>
  <c r="C490" i="18"/>
  <c r="B490" i="18"/>
  <c r="A490" i="18"/>
  <c r="D489" i="18"/>
  <c r="C489" i="18"/>
  <c r="B489" i="18"/>
  <c r="A489" i="18"/>
  <c r="D488" i="18"/>
  <c r="C488" i="18"/>
  <c r="B488" i="18"/>
  <c r="A488" i="18"/>
  <c r="D487" i="18"/>
  <c r="C487" i="18"/>
  <c r="B487" i="18"/>
  <c r="A487" i="18"/>
  <c r="D486" i="18"/>
  <c r="C486" i="18"/>
  <c r="B486" i="18"/>
  <c r="A486" i="18"/>
  <c r="D485" i="18"/>
  <c r="C485" i="18"/>
  <c r="B485" i="18"/>
  <c r="A485" i="18"/>
  <c r="D484" i="18"/>
  <c r="C484" i="18"/>
  <c r="B484" i="18"/>
  <c r="A484" i="18"/>
  <c r="D483" i="18"/>
  <c r="C483" i="18"/>
  <c r="B483" i="18"/>
  <c r="A483" i="18"/>
  <c r="D482" i="18"/>
  <c r="C482" i="18"/>
  <c r="B482" i="18"/>
  <c r="A482" i="18"/>
  <c r="D481" i="18"/>
  <c r="C481" i="18"/>
  <c r="B481" i="18"/>
  <c r="A481" i="18"/>
  <c r="D480" i="18"/>
  <c r="C480" i="18"/>
  <c r="B480" i="18"/>
  <c r="A480" i="18"/>
  <c r="D479" i="18"/>
  <c r="C479" i="18"/>
  <c r="B479" i="18"/>
  <c r="A479" i="18"/>
  <c r="D478" i="18"/>
  <c r="C478" i="18"/>
  <c r="B478" i="18"/>
  <c r="A478" i="18"/>
  <c r="D477" i="18"/>
  <c r="C477" i="18"/>
  <c r="B477" i="18"/>
  <c r="A477" i="18"/>
  <c r="D476" i="18"/>
  <c r="C476" i="18"/>
  <c r="B476" i="18"/>
  <c r="A476" i="18"/>
  <c r="D475" i="18"/>
  <c r="C475" i="18"/>
  <c r="B475" i="18"/>
  <c r="A475" i="18"/>
  <c r="D474" i="18"/>
  <c r="C474" i="18"/>
  <c r="B474" i="18"/>
  <c r="A474" i="18"/>
  <c r="D473" i="18"/>
  <c r="C473" i="18"/>
  <c r="B473" i="18"/>
  <c r="A473" i="18"/>
  <c r="D472" i="18"/>
  <c r="C472" i="18"/>
  <c r="B472" i="18"/>
  <c r="A472" i="18"/>
  <c r="D471" i="18"/>
  <c r="C471" i="18"/>
  <c r="B471" i="18"/>
  <c r="A471" i="18"/>
  <c r="D470" i="18"/>
  <c r="C470" i="18"/>
  <c r="B470" i="18"/>
  <c r="A470" i="18"/>
  <c r="D469" i="18"/>
  <c r="C469" i="18"/>
  <c r="B469" i="18"/>
  <c r="A469" i="18"/>
  <c r="D468" i="18"/>
  <c r="C468" i="18"/>
  <c r="B468" i="18"/>
  <c r="A468" i="18"/>
  <c r="D467" i="18"/>
  <c r="C467" i="18"/>
  <c r="B467" i="18"/>
  <c r="A467" i="18"/>
  <c r="D466" i="18"/>
  <c r="C466" i="18"/>
  <c r="B466" i="18"/>
  <c r="A466" i="18"/>
  <c r="D465" i="18"/>
  <c r="C465" i="18"/>
  <c r="B465" i="18"/>
  <c r="A465" i="18"/>
  <c r="D464" i="18"/>
  <c r="C464" i="18"/>
  <c r="B464" i="18"/>
  <c r="A464" i="18"/>
  <c r="D463" i="18"/>
  <c r="C463" i="18"/>
  <c r="B463" i="18"/>
  <c r="A463" i="18"/>
  <c r="D462" i="18"/>
  <c r="C462" i="18"/>
  <c r="B462" i="18"/>
  <c r="A462" i="18"/>
  <c r="D461" i="18"/>
  <c r="C461" i="18"/>
  <c r="B461" i="18"/>
  <c r="A461" i="18"/>
  <c r="D460" i="18"/>
  <c r="C460" i="18"/>
  <c r="B460" i="18"/>
  <c r="A460" i="18"/>
  <c r="D459" i="18"/>
  <c r="C459" i="18"/>
  <c r="B459" i="18"/>
  <c r="A459" i="18"/>
  <c r="D458" i="18"/>
  <c r="C458" i="18"/>
  <c r="B458" i="18"/>
  <c r="A458" i="18"/>
  <c r="D457" i="18"/>
  <c r="C457" i="18"/>
  <c r="B457" i="18"/>
  <c r="A457" i="18"/>
  <c r="D456" i="18"/>
  <c r="C456" i="18"/>
  <c r="B456" i="18"/>
  <c r="A456" i="18"/>
  <c r="D455" i="18"/>
  <c r="C455" i="18"/>
  <c r="B455" i="18"/>
  <c r="A455" i="18"/>
  <c r="D454" i="18"/>
  <c r="C454" i="18"/>
  <c r="B454" i="18"/>
  <c r="A454" i="18"/>
  <c r="D453" i="18"/>
  <c r="C453" i="18"/>
  <c r="B453" i="18"/>
  <c r="A453" i="18"/>
  <c r="D452" i="18"/>
  <c r="C452" i="18"/>
  <c r="B452" i="18"/>
  <c r="A452" i="18"/>
  <c r="D451" i="18"/>
  <c r="C451" i="18"/>
  <c r="B451" i="18"/>
  <c r="A451" i="18"/>
  <c r="D450" i="18"/>
  <c r="C450" i="18"/>
  <c r="B450" i="18"/>
  <c r="A450" i="18"/>
  <c r="D449" i="18"/>
  <c r="C449" i="18"/>
  <c r="B449" i="18"/>
  <c r="A449" i="18"/>
  <c r="D448" i="18"/>
  <c r="C448" i="18"/>
  <c r="B448" i="18"/>
  <c r="A448" i="18"/>
  <c r="D447" i="18"/>
  <c r="C447" i="18"/>
  <c r="B447" i="18"/>
  <c r="A447" i="18"/>
  <c r="D446" i="18"/>
  <c r="C446" i="18"/>
  <c r="B446" i="18"/>
  <c r="A446" i="18"/>
  <c r="D445" i="18"/>
  <c r="C445" i="18"/>
  <c r="B445" i="18"/>
  <c r="A445" i="18"/>
  <c r="D444" i="18"/>
  <c r="C444" i="18"/>
  <c r="B444" i="18"/>
  <c r="A444" i="18"/>
  <c r="D443" i="18"/>
  <c r="C443" i="18"/>
  <c r="B443" i="18"/>
  <c r="A443" i="18"/>
  <c r="D442" i="18"/>
  <c r="C442" i="18"/>
  <c r="B442" i="18"/>
  <c r="A442" i="18"/>
  <c r="D441" i="18"/>
  <c r="C441" i="18"/>
  <c r="B441" i="18"/>
  <c r="A441" i="18"/>
  <c r="D440" i="18"/>
  <c r="C440" i="18"/>
  <c r="B440" i="18"/>
  <c r="A440" i="18"/>
  <c r="D439" i="18"/>
  <c r="C439" i="18"/>
  <c r="B439" i="18"/>
  <c r="A439" i="18"/>
  <c r="D438" i="18"/>
  <c r="C438" i="18"/>
  <c r="B438" i="18"/>
  <c r="A438" i="18"/>
  <c r="D437" i="18"/>
  <c r="C437" i="18"/>
  <c r="B437" i="18"/>
  <c r="A437" i="18"/>
  <c r="D436" i="18"/>
  <c r="C436" i="18"/>
  <c r="B436" i="18"/>
  <c r="A436" i="18"/>
  <c r="D435" i="18"/>
  <c r="C435" i="18"/>
  <c r="B435" i="18"/>
  <c r="A435" i="18"/>
  <c r="D434" i="18"/>
  <c r="C434" i="18"/>
  <c r="B434" i="18"/>
  <c r="A434" i="18"/>
  <c r="D433" i="18"/>
  <c r="C433" i="18"/>
  <c r="B433" i="18"/>
  <c r="A433" i="18"/>
  <c r="D432" i="18"/>
  <c r="C432" i="18"/>
  <c r="B432" i="18"/>
  <c r="A432" i="18"/>
  <c r="D431" i="18"/>
  <c r="C431" i="18"/>
  <c r="B431" i="18"/>
  <c r="A431" i="18"/>
  <c r="D430" i="18"/>
  <c r="C430" i="18"/>
  <c r="B430" i="18"/>
  <c r="A430" i="18"/>
  <c r="D429" i="18"/>
  <c r="C429" i="18"/>
  <c r="B429" i="18"/>
  <c r="A429" i="18"/>
  <c r="D428" i="18"/>
  <c r="C428" i="18"/>
  <c r="B428" i="18"/>
  <c r="A428" i="18"/>
  <c r="D427" i="18"/>
  <c r="C427" i="18"/>
  <c r="B427" i="18"/>
  <c r="A427" i="18"/>
  <c r="D426" i="18"/>
  <c r="C426" i="18"/>
  <c r="B426" i="18"/>
  <c r="A426" i="18"/>
  <c r="D425" i="18"/>
  <c r="C425" i="18"/>
  <c r="B425" i="18"/>
  <c r="A425" i="18"/>
  <c r="D424" i="18"/>
  <c r="C424" i="18"/>
  <c r="B424" i="18"/>
  <c r="A424" i="18"/>
  <c r="D423" i="18"/>
  <c r="C423" i="18"/>
  <c r="B423" i="18"/>
  <c r="A423" i="18"/>
  <c r="D422" i="18"/>
  <c r="C422" i="18"/>
  <c r="B422" i="18"/>
  <c r="A422" i="18"/>
  <c r="D421" i="18"/>
  <c r="C421" i="18"/>
  <c r="B421" i="18"/>
  <c r="A421" i="18"/>
  <c r="D420" i="18"/>
  <c r="C420" i="18"/>
  <c r="B420" i="18"/>
  <c r="A420" i="18"/>
  <c r="D419" i="18"/>
  <c r="C419" i="18"/>
  <c r="B419" i="18"/>
  <c r="A419" i="18"/>
  <c r="D418" i="18"/>
  <c r="C418" i="18"/>
  <c r="B418" i="18"/>
  <c r="A418" i="18"/>
  <c r="D417" i="18"/>
  <c r="C417" i="18"/>
  <c r="B417" i="18"/>
  <c r="A417" i="18"/>
  <c r="D416" i="18"/>
  <c r="C416" i="18"/>
  <c r="B416" i="18"/>
  <c r="A416" i="18"/>
  <c r="D415" i="18"/>
  <c r="C415" i="18"/>
  <c r="B415" i="18"/>
  <c r="A415" i="18"/>
  <c r="D414" i="18"/>
  <c r="C414" i="18"/>
  <c r="B414" i="18"/>
  <c r="A414" i="18"/>
  <c r="D413" i="18"/>
  <c r="C413" i="18"/>
  <c r="B413" i="18"/>
  <c r="A413" i="18"/>
  <c r="D412" i="18"/>
  <c r="C412" i="18"/>
  <c r="B412" i="18"/>
  <c r="A412" i="18"/>
  <c r="D411" i="18"/>
  <c r="C411" i="18"/>
  <c r="B411" i="18"/>
  <c r="A411" i="18"/>
  <c r="D410" i="18"/>
  <c r="C410" i="18"/>
  <c r="B410" i="18"/>
  <c r="A410" i="18"/>
  <c r="D409" i="18"/>
  <c r="C409" i="18"/>
  <c r="B409" i="18"/>
  <c r="A409" i="18"/>
  <c r="D408" i="18"/>
  <c r="C408" i="18"/>
  <c r="B408" i="18"/>
  <c r="A408" i="18"/>
  <c r="D407" i="18"/>
  <c r="C407" i="18"/>
  <c r="B407" i="18"/>
  <c r="A407" i="18"/>
  <c r="D406" i="18"/>
  <c r="C406" i="18"/>
  <c r="B406" i="18"/>
  <c r="A406" i="18"/>
  <c r="D405" i="18"/>
  <c r="C405" i="18"/>
  <c r="B405" i="18"/>
  <c r="A405" i="18"/>
  <c r="D404" i="18"/>
  <c r="C404" i="18"/>
  <c r="B404" i="18"/>
  <c r="A404" i="18"/>
  <c r="D403" i="18"/>
  <c r="C403" i="18"/>
  <c r="B403" i="18"/>
  <c r="A403" i="18"/>
  <c r="D402" i="18"/>
  <c r="C402" i="18"/>
  <c r="B402" i="18"/>
  <c r="A402" i="18"/>
  <c r="D401" i="18"/>
  <c r="C401" i="18"/>
  <c r="B401" i="18"/>
  <c r="A401" i="18"/>
  <c r="D400" i="18"/>
  <c r="C400" i="18"/>
  <c r="B400" i="18"/>
  <c r="A400" i="18"/>
  <c r="D399" i="18"/>
  <c r="C399" i="18"/>
  <c r="B399" i="18"/>
  <c r="A399" i="18"/>
  <c r="D398" i="18"/>
  <c r="C398" i="18"/>
  <c r="B398" i="18"/>
  <c r="A398" i="18"/>
  <c r="D397" i="18"/>
  <c r="C397" i="18"/>
  <c r="B397" i="18"/>
  <c r="A397" i="18"/>
  <c r="D396" i="18"/>
  <c r="C396" i="18"/>
  <c r="B396" i="18"/>
  <c r="A396" i="18"/>
  <c r="D395" i="18"/>
  <c r="C395" i="18"/>
  <c r="B395" i="18"/>
  <c r="A395" i="18"/>
  <c r="D394" i="18"/>
  <c r="C394" i="18"/>
  <c r="B394" i="18"/>
  <c r="A394" i="18"/>
  <c r="D393" i="18"/>
  <c r="C393" i="18"/>
  <c r="B393" i="18"/>
  <c r="A393" i="18"/>
  <c r="D392" i="18"/>
  <c r="C392" i="18"/>
  <c r="B392" i="18"/>
  <c r="A392" i="18"/>
  <c r="D391" i="18"/>
  <c r="C391" i="18"/>
  <c r="B391" i="18"/>
  <c r="A391" i="18"/>
  <c r="D390" i="18"/>
  <c r="C390" i="18"/>
  <c r="B390" i="18"/>
  <c r="A390" i="18"/>
  <c r="D389" i="18"/>
  <c r="C389" i="18"/>
  <c r="B389" i="18"/>
  <c r="A389" i="18"/>
  <c r="D388" i="18"/>
  <c r="C388" i="18"/>
  <c r="B388" i="18"/>
  <c r="A388" i="18"/>
  <c r="D387" i="18"/>
  <c r="C387" i="18"/>
  <c r="B387" i="18"/>
  <c r="A387" i="18"/>
  <c r="D386" i="18"/>
  <c r="C386" i="18"/>
  <c r="B386" i="18"/>
  <c r="A386" i="18"/>
  <c r="D385" i="18"/>
  <c r="C385" i="18"/>
  <c r="B385" i="18"/>
  <c r="A385" i="18"/>
  <c r="D384" i="18"/>
  <c r="C384" i="18"/>
  <c r="B384" i="18"/>
  <c r="A384" i="18"/>
  <c r="D383" i="18"/>
  <c r="C383" i="18"/>
  <c r="B383" i="18"/>
  <c r="A383" i="18"/>
  <c r="D382" i="18"/>
  <c r="C382" i="18"/>
  <c r="B382" i="18"/>
  <c r="A382" i="18"/>
  <c r="D381" i="18"/>
  <c r="C381" i="18"/>
  <c r="B381" i="18"/>
  <c r="A381" i="18"/>
  <c r="D380" i="18"/>
  <c r="C380" i="18"/>
  <c r="B380" i="18"/>
  <c r="A380" i="18"/>
  <c r="D379" i="18"/>
  <c r="C379" i="18"/>
  <c r="B379" i="18"/>
  <c r="A379" i="18"/>
  <c r="D378" i="18"/>
  <c r="C378" i="18"/>
  <c r="B378" i="18"/>
  <c r="A378" i="18"/>
  <c r="D377" i="18"/>
  <c r="C377" i="18"/>
  <c r="B377" i="18"/>
  <c r="A377" i="18"/>
  <c r="D376" i="18"/>
  <c r="C376" i="18"/>
  <c r="B376" i="18"/>
  <c r="A376" i="18"/>
  <c r="D375" i="18"/>
  <c r="C375" i="18"/>
  <c r="B375" i="18"/>
  <c r="A375" i="18"/>
  <c r="D374" i="18"/>
  <c r="C374" i="18"/>
  <c r="B374" i="18"/>
  <c r="A374" i="18"/>
  <c r="D373" i="18"/>
  <c r="C373" i="18"/>
  <c r="B373" i="18"/>
  <c r="A373" i="18"/>
  <c r="D372" i="18"/>
  <c r="C372" i="18"/>
  <c r="B372" i="18"/>
  <c r="A372" i="18"/>
  <c r="D371" i="18"/>
  <c r="C371" i="18"/>
  <c r="B371" i="18"/>
  <c r="A371" i="18"/>
  <c r="D370" i="18"/>
  <c r="C370" i="18"/>
  <c r="B370" i="18"/>
  <c r="A370" i="18"/>
  <c r="D369" i="18"/>
  <c r="C369" i="18"/>
  <c r="B369" i="18"/>
  <c r="A369" i="18"/>
  <c r="D368" i="18"/>
  <c r="C368" i="18"/>
  <c r="B368" i="18"/>
  <c r="A368" i="18"/>
  <c r="D367" i="18"/>
  <c r="C367" i="18"/>
  <c r="B367" i="18"/>
  <c r="A367" i="18"/>
  <c r="D366" i="18"/>
  <c r="C366" i="18"/>
  <c r="B366" i="18"/>
  <c r="A366" i="18"/>
  <c r="D365" i="18"/>
  <c r="C365" i="18"/>
  <c r="B365" i="18"/>
  <c r="A365" i="18"/>
  <c r="D364" i="18"/>
  <c r="C364" i="18"/>
  <c r="B364" i="18"/>
  <c r="A364" i="18"/>
  <c r="D363" i="18"/>
  <c r="C363" i="18"/>
  <c r="B363" i="18"/>
  <c r="A363" i="18"/>
  <c r="D362" i="18"/>
  <c r="C362" i="18"/>
  <c r="B362" i="18"/>
  <c r="A362" i="18"/>
  <c r="D361" i="18"/>
  <c r="C361" i="18"/>
  <c r="B361" i="18"/>
  <c r="A361" i="18"/>
  <c r="D360" i="18"/>
  <c r="C360" i="18"/>
  <c r="B360" i="18"/>
  <c r="A360" i="18"/>
  <c r="D359" i="18"/>
  <c r="C359" i="18"/>
  <c r="B359" i="18"/>
  <c r="A359" i="18"/>
  <c r="D358" i="18"/>
  <c r="C358" i="18"/>
  <c r="B358" i="18"/>
  <c r="A358" i="18"/>
  <c r="D357" i="18"/>
  <c r="C357" i="18"/>
  <c r="B357" i="18"/>
  <c r="A357" i="18"/>
  <c r="D356" i="18"/>
  <c r="C356" i="18"/>
  <c r="B356" i="18"/>
  <c r="A356" i="18"/>
  <c r="D355" i="18"/>
  <c r="C355" i="18"/>
  <c r="B355" i="18"/>
  <c r="A355" i="18"/>
  <c r="D354" i="18"/>
  <c r="C354" i="18"/>
  <c r="B354" i="18"/>
  <c r="A354" i="18"/>
  <c r="D353" i="18"/>
  <c r="C353" i="18"/>
  <c r="B353" i="18"/>
  <c r="A353" i="18"/>
  <c r="D352" i="18"/>
  <c r="C352" i="18"/>
  <c r="B352" i="18"/>
  <c r="A352" i="18"/>
  <c r="D351" i="18"/>
  <c r="C351" i="18"/>
  <c r="B351" i="18"/>
  <c r="A351" i="18"/>
  <c r="D350" i="18"/>
  <c r="C350" i="18"/>
  <c r="B350" i="18"/>
  <c r="A350" i="18"/>
  <c r="D349" i="18"/>
  <c r="C349" i="18"/>
  <c r="B349" i="18"/>
  <c r="A349" i="18"/>
  <c r="D348" i="18"/>
  <c r="C348" i="18"/>
  <c r="B348" i="18"/>
  <c r="A348" i="18"/>
  <c r="D347" i="18"/>
  <c r="C347" i="18"/>
  <c r="B347" i="18"/>
  <c r="A347" i="18"/>
  <c r="D346" i="18"/>
  <c r="C346" i="18"/>
  <c r="B346" i="18"/>
  <c r="A346" i="18"/>
  <c r="D345" i="18"/>
  <c r="C345" i="18"/>
  <c r="B345" i="18"/>
  <c r="A345" i="18"/>
  <c r="D344" i="18"/>
  <c r="C344" i="18"/>
  <c r="B344" i="18"/>
  <c r="A344" i="18"/>
  <c r="D343" i="18"/>
  <c r="C343" i="18"/>
  <c r="B343" i="18"/>
  <c r="A343" i="18"/>
  <c r="D342" i="18"/>
  <c r="C342" i="18"/>
  <c r="B342" i="18"/>
  <c r="A342" i="18"/>
  <c r="D341" i="18"/>
  <c r="C341" i="18"/>
  <c r="B341" i="18"/>
  <c r="A341" i="18"/>
  <c r="D340" i="18"/>
  <c r="C340" i="18"/>
  <c r="B340" i="18"/>
  <c r="A340" i="18"/>
  <c r="D339" i="18"/>
  <c r="C339" i="18"/>
  <c r="B339" i="18"/>
  <c r="A339" i="18"/>
  <c r="D338" i="18"/>
  <c r="C338" i="18"/>
  <c r="B338" i="18"/>
  <c r="A338" i="18"/>
  <c r="D337" i="18"/>
  <c r="C337" i="18"/>
  <c r="B337" i="18"/>
  <c r="A337" i="18"/>
  <c r="D336" i="18"/>
  <c r="C336" i="18"/>
  <c r="B336" i="18"/>
  <c r="A336" i="18"/>
  <c r="D335" i="18"/>
  <c r="C335" i="18"/>
  <c r="B335" i="18"/>
  <c r="A335" i="18"/>
  <c r="D334" i="18"/>
  <c r="C334" i="18"/>
  <c r="B334" i="18"/>
  <c r="A334" i="18"/>
  <c r="D333" i="18"/>
  <c r="C333" i="18"/>
  <c r="B333" i="18"/>
  <c r="A333" i="18"/>
  <c r="D332" i="18"/>
  <c r="C332" i="18"/>
  <c r="B332" i="18"/>
  <c r="A332" i="18"/>
  <c r="D331" i="18"/>
  <c r="C331" i="18"/>
  <c r="B331" i="18"/>
  <c r="A331" i="18"/>
  <c r="D330" i="18"/>
  <c r="C330" i="18"/>
  <c r="B330" i="18"/>
  <c r="A330" i="18"/>
  <c r="D329" i="18"/>
  <c r="C329" i="18"/>
  <c r="B329" i="18"/>
  <c r="A329" i="18"/>
  <c r="D328" i="18"/>
  <c r="C328" i="18"/>
  <c r="B328" i="18"/>
  <c r="A328" i="18"/>
  <c r="D327" i="18"/>
  <c r="C327" i="18"/>
  <c r="B327" i="18"/>
  <c r="A327" i="18"/>
  <c r="D326" i="18"/>
  <c r="C326" i="18"/>
  <c r="B326" i="18"/>
  <c r="A326" i="18"/>
  <c r="D325" i="18"/>
  <c r="C325" i="18"/>
  <c r="B325" i="18"/>
  <c r="A325" i="18"/>
  <c r="D324" i="18"/>
  <c r="C324" i="18"/>
  <c r="B324" i="18"/>
  <c r="A324" i="18"/>
  <c r="D323" i="18"/>
  <c r="C323" i="18"/>
  <c r="B323" i="18"/>
  <c r="A323" i="18"/>
  <c r="D322" i="18"/>
  <c r="C322" i="18"/>
  <c r="B322" i="18"/>
  <c r="A322" i="18"/>
  <c r="D321" i="18"/>
  <c r="C321" i="18"/>
  <c r="B321" i="18"/>
  <c r="A321" i="18"/>
  <c r="D320" i="18"/>
  <c r="C320" i="18"/>
  <c r="B320" i="18"/>
  <c r="A320" i="18"/>
  <c r="D319" i="18"/>
  <c r="C319" i="18"/>
  <c r="B319" i="18"/>
  <c r="A319" i="18"/>
  <c r="D318" i="18"/>
  <c r="C318" i="18"/>
  <c r="B318" i="18"/>
  <c r="A318" i="18"/>
  <c r="D317" i="18"/>
  <c r="C317" i="18"/>
  <c r="B317" i="18"/>
  <c r="A317" i="18"/>
  <c r="D316" i="18"/>
  <c r="C316" i="18"/>
  <c r="B316" i="18"/>
  <c r="A316" i="18"/>
  <c r="D315" i="18"/>
  <c r="C315" i="18"/>
  <c r="B315" i="18"/>
  <c r="A315" i="18"/>
  <c r="D314" i="18"/>
  <c r="C314" i="18"/>
  <c r="B314" i="18"/>
  <c r="A314" i="18"/>
  <c r="D313" i="18"/>
  <c r="C313" i="18"/>
  <c r="B313" i="18"/>
  <c r="A313" i="18"/>
  <c r="D312" i="18"/>
  <c r="C312" i="18"/>
  <c r="B312" i="18"/>
  <c r="A312" i="18"/>
  <c r="D311" i="18"/>
  <c r="C311" i="18"/>
  <c r="B311" i="18"/>
  <c r="A311" i="18"/>
  <c r="D310" i="18"/>
  <c r="C310" i="18"/>
  <c r="B310" i="18"/>
  <c r="A310" i="18"/>
  <c r="D309" i="18"/>
  <c r="C309" i="18"/>
  <c r="B309" i="18"/>
  <c r="A309" i="18"/>
  <c r="D308" i="18"/>
  <c r="C308" i="18"/>
  <c r="B308" i="18"/>
  <c r="A308" i="18"/>
  <c r="D307" i="18"/>
  <c r="C307" i="18"/>
  <c r="B307" i="18"/>
  <c r="A307" i="18"/>
  <c r="D306" i="18"/>
  <c r="C306" i="18"/>
  <c r="B306" i="18"/>
  <c r="A306" i="18"/>
  <c r="D305" i="18"/>
  <c r="C305" i="18"/>
  <c r="B305" i="18"/>
  <c r="A305" i="18"/>
  <c r="D304" i="18"/>
  <c r="C304" i="18"/>
  <c r="B304" i="18"/>
  <c r="A304" i="18"/>
  <c r="D303" i="18"/>
  <c r="C303" i="18"/>
  <c r="B303" i="18"/>
  <c r="A303" i="18"/>
  <c r="D302" i="18"/>
  <c r="C302" i="18"/>
  <c r="B302" i="18"/>
  <c r="A302" i="18"/>
  <c r="D301" i="18"/>
  <c r="C301" i="18"/>
  <c r="B301" i="18"/>
  <c r="A301" i="18"/>
  <c r="D300" i="18"/>
  <c r="C300" i="18"/>
  <c r="B300" i="18"/>
  <c r="A300" i="18"/>
  <c r="D299" i="18"/>
  <c r="C299" i="18"/>
  <c r="B299" i="18"/>
  <c r="A299" i="18"/>
  <c r="D298" i="18"/>
  <c r="C298" i="18"/>
  <c r="B298" i="18"/>
  <c r="A298" i="18"/>
  <c r="D297" i="18"/>
  <c r="C297" i="18"/>
  <c r="B297" i="18"/>
  <c r="A297" i="18"/>
  <c r="D296" i="18"/>
  <c r="C296" i="18"/>
  <c r="B296" i="18"/>
  <c r="A296" i="18"/>
  <c r="D295" i="18"/>
  <c r="C295" i="18"/>
  <c r="B295" i="18"/>
  <c r="A295" i="18"/>
  <c r="D294" i="18"/>
  <c r="C294" i="18"/>
  <c r="B294" i="18"/>
  <c r="A294" i="18"/>
  <c r="D293" i="18"/>
  <c r="C293" i="18"/>
  <c r="B293" i="18"/>
  <c r="A293" i="18"/>
  <c r="D292" i="18"/>
  <c r="C292" i="18"/>
  <c r="B292" i="18"/>
  <c r="A292" i="18"/>
  <c r="D291" i="18"/>
  <c r="C291" i="18"/>
  <c r="B291" i="18"/>
  <c r="A291" i="18"/>
  <c r="D290" i="18"/>
  <c r="C290" i="18"/>
  <c r="B290" i="18"/>
  <c r="A290" i="18"/>
  <c r="D289" i="18"/>
  <c r="C289" i="18"/>
  <c r="B289" i="18"/>
  <c r="A289" i="18"/>
  <c r="D288" i="18"/>
  <c r="C288" i="18"/>
  <c r="B288" i="18"/>
  <c r="A288" i="18"/>
  <c r="D287" i="18"/>
  <c r="C287" i="18"/>
  <c r="B287" i="18"/>
  <c r="A287" i="18"/>
  <c r="D286" i="18"/>
  <c r="C286" i="18"/>
  <c r="B286" i="18"/>
  <c r="A286" i="18"/>
  <c r="D285" i="18"/>
  <c r="C285" i="18"/>
  <c r="B285" i="18"/>
  <c r="A285" i="18"/>
  <c r="D284" i="18"/>
  <c r="C284" i="18"/>
  <c r="B284" i="18"/>
  <c r="A284" i="18"/>
  <c r="D283" i="18"/>
  <c r="C283" i="18"/>
  <c r="B283" i="18"/>
  <c r="A283" i="18"/>
  <c r="D282" i="18"/>
  <c r="C282" i="18"/>
  <c r="B282" i="18"/>
  <c r="A282" i="18"/>
  <c r="D281" i="18"/>
  <c r="C281" i="18"/>
  <c r="B281" i="18"/>
  <c r="A281" i="18"/>
  <c r="D280" i="18"/>
  <c r="C280" i="18"/>
  <c r="B280" i="18"/>
  <c r="A280" i="18"/>
  <c r="D279" i="18"/>
  <c r="C279" i="18"/>
  <c r="B279" i="18"/>
  <c r="A279" i="18"/>
  <c r="D278" i="18"/>
  <c r="C278" i="18"/>
  <c r="B278" i="18"/>
  <c r="A278" i="18"/>
  <c r="D277" i="18"/>
  <c r="C277" i="18"/>
  <c r="B277" i="18"/>
  <c r="A277" i="18"/>
  <c r="D276" i="18"/>
  <c r="C276" i="18"/>
  <c r="B276" i="18"/>
  <c r="A276" i="18"/>
  <c r="D275" i="18"/>
  <c r="C275" i="18"/>
  <c r="B275" i="18"/>
  <c r="A275" i="18"/>
  <c r="D274" i="18"/>
  <c r="C274" i="18"/>
  <c r="B274" i="18"/>
  <c r="A274" i="18"/>
  <c r="D273" i="18"/>
  <c r="C273" i="18"/>
  <c r="B273" i="18"/>
  <c r="A273" i="18"/>
  <c r="D272" i="18"/>
  <c r="C272" i="18"/>
  <c r="B272" i="18"/>
  <c r="A272" i="18"/>
  <c r="D271" i="18"/>
  <c r="C271" i="18"/>
  <c r="B271" i="18"/>
  <c r="A271" i="18"/>
  <c r="D270" i="18"/>
  <c r="C270" i="18"/>
  <c r="B270" i="18"/>
  <c r="A270" i="18"/>
  <c r="D269" i="18"/>
  <c r="C269" i="18"/>
  <c r="B269" i="18"/>
  <c r="A269" i="18"/>
  <c r="D268" i="18"/>
  <c r="C268" i="18"/>
  <c r="B268" i="18"/>
  <c r="A268" i="18"/>
  <c r="D267" i="18"/>
  <c r="C267" i="18"/>
  <c r="B267" i="18"/>
  <c r="A267" i="18"/>
  <c r="D266" i="18"/>
  <c r="C266" i="18"/>
  <c r="B266" i="18"/>
  <c r="A266" i="18"/>
  <c r="D265" i="18"/>
  <c r="C265" i="18"/>
  <c r="B265" i="18"/>
  <c r="A265" i="18"/>
  <c r="D264" i="18"/>
  <c r="C264" i="18"/>
  <c r="B264" i="18"/>
  <c r="A264" i="18"/>
  <c r="D263" i="18"/>
  <c r="C263" i="18"/>
  <c r="B263" i="18"/>
  <c r="A263" i="18"/>
  <c r="D262" i="18"/>
  <c r="C262" i="18"/>
  <c r="B262" i="18"/>
  <c r="A262" i="18"/>
  <c r="D261" i="18"/>
  <c r="C261" i="18"/>
  <c r="B261" i="18"/>
  <c r="A261" i="18"/>
  <c r="D260" i="18"/>
  <c r="C260" i="18"/>
  <c r="B260" i="18"/>
  <c r="A260" i="18"/>
  <c r="D259" i="18"/>
  <c r="C259" i="18"/>
  <c r="B259" i="18"/>
  <c r="A259" i="18"/>
  <c r="D258" i="18"/>
  <c r="C258" i="18"/>
  <c r="B258" i="18"/>
  <c r="A258" i="18"/>
  <c r="D257" i="18"/>
  <c r="C257" i="18"/>
  <c r="B257" i="18"/>
  <c r="A257" i="18"/>
  <c r="D256" i="18"/>
  <c r="C256" i="18"/>
  <c r="B256" i="18"/>
  <c r="A256" i="18"/>
  <c r="D255" i="18"/>
  <c r="C255" i="18"/>
  <c r="B255" i="18"/>
  <c r="A255" i="18"/>
  <c r="D254" i="18"/>
  <c r="C254" i="18"/>
  <c r="B254" i="18"/>
  <c r="A254" i="18"/>
  <c r="D253" i="18"/>
  <c r="C253" i="18"/>
  <c r="B253" i="18"/>
  <c r="A253" i="18"/>
  <c r="D252" i="18"/>
  <c r="C252" i="18"/>
  <c r="B252" i="18"/>
  <c r="A252" i="18"/>
  <c r="D251" i="18"/>
  <c r="C251" i="18"/>
  <c r="B251" i="18"/>
  <c r="A251" i="18"/>
  <c r="D250" i="18"/>
  <c r="C250" i="18"/>
  <c r="B250" i="18"/>
  <c r="A250" i="18"/>
  <c r="D249" i="18"/>
  <c r="C249" i="18"/>
  <c r="B249" i="18"/>
  <c r="A249" i="18"/>
  <c r="D248" i="18"/>
  <c r="C248" i="18"/>
  <c r="B248" i="18"/>
  <c r="A248" i="18"/>
  <c r="D247" i="18"/>
  <c r="C247" i="18"/>
  <c r="B247" i="18"/>
  <c r="A247" i="18"/>
  <c r="D246" i="18"/>
  <c r="C246" i="18"/>
  <c r="B246" i="18"/>
  <c r="A246" i="18"/>
  <c r="D245" i="18"/>
  <c r="C245" i="18"/>
  <c r="B245" i="18"/>
  <c r="A245" i="18"/>
  <c r="D244" i="18"/>
  <c r="C244" i="18"/>
  <c r="B244" i="18"/>
  <c r="A244" i="18"/>
  <c r="D243" i="18"/>
  <c r="C243" i="18"/>
  <c r="B243" i="18"/>
  <c r="A243" i="18"/>
  <c r="D242" i="18"/>
  <c r="C242" i="18"/>
  <c r="B242" i="18"/>
  <c r="A242" i="18"/>
  <c r="D241" i="18"/>
  <c r="C241" i="18"/>
  <c r="B241" i="18"/>
  <c r="A241" i="18"/>
  <c r="D240" i="18"/>
  <c r="C240" i="18"/>
  <c r="B240" i="18"/>
  <c r="A240" i="18"/>
  <c r="D239" i="18"/>
  <c r="C239" i="18"/>
  <c r="B239" i="18"/>
  <c r="A239" i="18"/>
  <c r="D238" i="18"/>
  <c r="C238" i="18"/>
  <c r="B238" i="18"/>
  <c r="A238" i="18"/>
  <c r="D237" i="18"/>
  <c r="C237" i="18"/>
  <c r="B237" i="18"/>
  <c r="A237" i="18"/>
  <c r="D236" i="18"/>
  <c r="C236" i="18"/>
  <c r="B236" i="18"/>
  <c r="A236" i="18"/>
  <c r="D235" i="18"/>
  <c r="C235" i="18"/>
  <c r="B235" i="18"/>
  <c r="A235" i="18"/>
  <c r="D234" i="18"/>
  <c r="C234" i="18"/>
  <c r="B234" i="18"/>
  <c r="A234" i="18"/>
  <c r="D233" i="18"/>
  <c r="C233" i="18"/>
  <c r="B233" i="18"/>
  <c r="A233" i="18"/>
  <c r="D232" i="18"/>
  <c r="C232" i="18"/>
  <c r="B232" i="18"/>
  <c r="A232" i="18"/>
  <c r="D231" i="18"/>
  <c r="C231" i="18"/>
  <c r="B231" i="18"/>
  <c r="A231" i="18"/>
  <c r="D230" i="18"/>
  <c r="C230" i="18"/>
  <c r="B230" i="18"/>
  <c r="A230" i="18"/>
  <c r="D229" i="18"/>
  <c r="C229" i="18"/>
  <c r="B229" i="18"/>
  <c r="A229" i="18"/>
  <c r="D228" i="18"/>
  <c r="C228" i="18"/>
  <c r="B228" i="18"/>
  <c r="A228" i="18"/>
  <c r="D227" i="18"/>
  <c r="C227" i="18"/>
  <c r="B227" i="18"/>
  <c r="A227" i="18"/>
  <c r="D226" i="18"/>
  <c r="C226" i="18"/>
  <c r="B226" i="18"/>
  <c r="A226" i="18"/>
  <c r="D225" i="18"/>
  <c r="C225" i="18"/>
  <c r="B225" i="18"/>
  <c r="A225" i="18"/>
  <c r="D224" i="18"/>
  <c r="C224" i="18"/>
  <c r="B224" i="18"/>
  <c r="A224" i="18"/>
  <c r="D223" i="18"/>
  <c r="C223" i="18"/>
  <c r="B223" i="18"/>
  <c r="A223" i="18"/>
  <c r="D222" i="18"/>
  <c r="C222" i="18"/>
  <c r="B222" i="18"/>
  <c r="A222" i="18"/>
  <c r="D221" i="18"/>
  <c r="C221" i="18"/>
  <c r="B221" i="18"/>
  <c r="A221" i="18"/>
  <c r="D220" i="18"/>
  <c r="C220" i="18"/>
  <c r="B220" i="18"/>
  <c r="A220" i="18"/>
  <c r="D219" i="18"/>
  <c r="C219" i="18"/>
  <c r="B219" i="18"/>
  <c r="A219" i="18"/>
  <c r="D218" i="18"/>
  <c r="C218" i="18"/>
  <c r="B218" i="18"/>
  <c r="A218" i="18"/>
  <c r="D217" i="18"/>
  <c r="C217" i="18"/>
  <c r="B217" i="18"/>
  <c r="A217" i="18"/>
  <c r="D216" i="18"/>
  <c r="C216" i="18"/>
  <c r="B216" i="18"/>
  <c r="A216" i="18"/>
  <c r="D215" i="18"/>
  <c r="C215" i="18"/>
  <c r="B215" i="18"/>
  <c r="A215" i="18"/>
  <c r="D214" i="18"/>
  <c r="C214" i="18"/>
  <c r="B214" i="18"/>
  <c r="A214" i="18"/>
  <c r="D213" i="18"/>
  <c r="C213" i="18"/>
  <c r="B213" i="18"/>
  <c r="A213" i="18"/>
  <c r="D212" i="18"/>
  <c r="C212" i="18"/>
  <c r="B212" i="18"/>
  <c r="A212" i="18"/>
  <c r="D211" i="18"/>
  <c r="C211" i="18"/>
  <c r="B211" i="18"/>
  <c r="A211" i="18"/>
  <c r="D210" i="18"/>
  <c r="C210" i="18"/>
  <c r="B210" i="18"/>
  <c r="A210" i="18"/>
  <c r="D209" i="18"/>
  <c r="C209" i="18"/>
  <c r="B209" i="18"/>
  <c r="A209" i="18"/>
  <c r="D208" i="18"/>
  <c r="C208" i="18"/>
  <c r="B208" i="18"/>
  <c r="A208" i="18"/>
  <c r="D207" i="18"/>
  <c r="C207" i="18"/>
  <c r="B207" i="18"/>
  <c r="A207" i="18"/>
  <c r="D206" i="18"/>
  <c r="C206" i="18"/>
  <c r="B206" i="18"/>
  <c r="A206" i="18"/>
  <c r="D205" i="18"/>
  <c r="C205" i="18"/>
  <c r="B205" i="18"/>
  <c r="A205" i="18"/>
  <c r="D204" i="18"/>
  <c r="C204" i="18"/>
  <c r="B204" i="18"/>
  <c r="A204" i="18"/>
  <c r="D203" i="18"/>
  <c r="C203" i="18"/>
  <c r="B203" i="18"/>
  <c r="A203" i="18"/>
  <c r="D202" i="18"/>
  <c r="C202" i="18"/>
  <c r="B202" i="18"/>
  <c r="A202" i="18"/>
  <c r="D201" i="18"/>
  <c r="C201" i="18"/>
  <c r="B201" i="18"/>
  <c r="A201" i="18"/>
  <c r="D200" i="18"/>
  <c r="C200" i="18"/>
  <c r="B200" i="18"/>
  <c r="A200" i="18"/>
  <c r="D199" i="18"/>
  <c r="C199" i="18"/>
  <c r="B199" i="18"/>
  <c r="A199" i="18"/>
  <c r="D198" i="18"/>
  <c r="C198" i="18"/>
  <c r="B198" i="18"/>
  <c r="A198" i="18"/>
  <c r="D197" i="18"/>
  <c r="C197" i="18"/>
  <c r="B197" i="18"/>
  <c r="A197" i="18"/>
  <c r="D196" i="18"/>
  <c r="C196" i="18"/>
  <c r="B196" i="18"/>
  <c r="A196" i="18"/>
  <c r="D195" i="18"/>
  <c r="C195" i="18"/>
  <c r="B195" i="18"/>
  <c r="A195" i="18"/>
  <c r="D194" i="18"/>
  <c r="C194" i="18"/>
  <c r="B194" i="18"/>
  <c r="A194" i="18"/>
  <c r="D193" i="18"/>
  <c r="C193" i="18"/>
  <c r="B193" i="18"/>
  <c r="A193" i="18"/>
  <c r="D192" i="18"/>
  <c r="C192" i="18"/>
  <c r="B192" i="18"/>
  <c r="A192" i="18"/>
  <c r="D191" i="18"/>
  <c r="C191" i="18"/>
  <c r="B191" i="18"/>
  <c r="A191" i="18"/>
  <c r="D190" i="18"/>
  <c r="C190" i="18"/>
  <c r="B190" i="18"/>
  <c r="A190" i="18"/>
  <c r="D189" i="18"/>
  <c r="C189" i="18"/>
  <c r="B189" i="18"/>
  <c r="A189" i="18"/>
  <c r="D188" i="18"/>
  <c r="C188" i="18"/>
  <c r="B188" i="18"/>
  <c r="A188" i="18"/>
  <c r="D187" i="18"/>
  <c r="C187" i="18"/>
  <c r="B187" i="18"/>
  <c r="A187" i="18"/>
  <c r="D186" i="18"/>
  <c r="C186" i="18"/>
  <c r="B186" i="18"/>
  <c r="A186" i="18"/>
  <c r="D185" i="18"/>
  <c r="C185" i="18"/>
  <c r="B185" i="18"/>
  <c r="A185" i="18"/>
  <c r="D184" i="18"/>
  <c r="C184" i="18"/>
  <c r="B184" i="18"/>
  <c r="A184" i="18"/>
  <c r="D183" i="18"/>
  <c r="C183" i="18"/>
  <c r="B183" i="18"/>
  <c r="A183" i="18"/>
  <c r="D182" i="18"/>
  <c r="C182" i="18"/>
  <c r="B182" i="18"/>
  <c r="A182" i="18"/>
  <c r="D181" i="18"/>
  <c r="C181" i="18"/>
  <c r="B181" i="18"/>
  <c r="A181" i="18"/>
  <c r="D180" i="18"/>
  <c r="C180" i="18"/>
  <c r="B180" i="18"/>
  <c r="A180" i="18"/>
  <c r="D179" i="18"/>
  <c r="C179" i="18"/>
  <c r="B179" i="18"/>
  <c r="A179" i="18"/>
  <c r="D178" i="18"/>
  <c r="C178" i="18"/>
  <c r="B178" i="18"/>
  <c r="A178" i="18"/>
  <c r="D177" i="18"/>
  <c r="C177" i="18"/>
  <c r="B177" i="18"/>
  <c r="A177" i="18"/>
  <c r="D176" i="18"/>
  <c r="C176" i="18"/>
  <c r="B176" i="18"/>
  <c r="A176" i="18"/>
  <c r="D175" i="18"/>
  <c r="C175" i="18"/>
  <c r="B175" i="18"/>
  <c r="A175" i="18"/>
  <c r="D174" i="18"/>
  <c r="C174" i="18"/>
  <c r="B174" i="18"/>
  <c r="A174" i="18"/>
  <c r="D173" i="18"/>
  <c r="C173" i="18"/>
  <c r="B173" i="18"/>
  <c r="A173" i="18"/>
  <c r="D172" i="18"/>
  <c r="C172" i="18"/>
  <c r="B172" i="18"/>
  <c r="A172" i="18"/>
  <c r="D171" i="18"/>
  <c r="C171" i="18"/>
  <c r="B171" i="18"/>
  <c r="A171" i="18"/>
  <c r="D170" i="18"/>
  <c r="C170" i="18"/>
  <c r="B170" i="18"/>
  <c r="A170" i="18"/>
  <c r="D169" i="18"/>
  <c r="C169" i="18"/>
  <c r="B169" i="18"/>
  <c r="A169" i="18"/>
  <c r="D168" i="18"/>
  <c r="C168" i="18"/>
  <c r="B168" i="18"/>
  <c r="A168" i="18"/>
  <c r="D167" i="18"/>
  <c r="C167" i="18"/>
  <c r="B167" i="18"/>
  <c r="A167" i="18"/>
  <c r="D166" i="18"/>
  <c r="C166" i="18"/>
  <c r="B166" i="18"/>
  <c r="A166" i="18"/>
  <c r="D165" i="18"/>
  <c r="C165" i="18"/>
  <c r="B165" i="18"/>
  <c r="A165" i="18"/>
  <c r="D164" i="18"/>
  <c r="C164" i="18"/>
  <c r="B164" i="18"/>
  <c r="A164" i="18"/>
  <c r="D163" i="18"/>
  <c r="C163" i="18"/>
  <c r="B163" i="18"/>
  <c r="A163" i="18"/>
  <c r="D162" i="18"/>
  <c r="C162" i="18"/>
  <c r="B162" i="18"/>
  <c r="A162" i="18"/>
  <c r="D161" i="18"/>
  <c r="C161" i="18"/>
  <c r="B161" i="18"/>
  <c r="A161" i="18"/>
  <c r="D160" i="18"/>
  <c r="C160" i="18"/>
  <c r="B160" i="18"/>
  <c r="A160" i="18"/>
  <c r="D159" i="18"/>
  <c r="C159" i="18"/>
  <c r="B159" i="18"/>
  <c r="A159" i="18"/>
  <c r="D158" i="18"/>
  <c r="C158" i="18"/>
  <c r="B158" i="18"/>
  <c r="A158" i="18"/>
  <c r="D157" i="18"/>
  <c r="C157" i="18"/>
  <c r="B157" i="18"/>
  <c r="A157" i="18"/>
  <c r="D156" i="18"/>
  <c r="C156" i="18"/>
  <c r="B156" i="18"/>
  <c r="A156" i="18"/>
  <c r="D155" i="18"/>
  <c r="C155" i="18"/>
  <c r="B155" i="18"/>
  <c r="A155" i="18"/>
  <c r="D154" i="18"/>
  <c r="C154" i="18"/>
  <c r="B154" i="18"/>
  <c r="A154" i="18"/>
  <c r="D153" i="18"/>
  <c r="C153" i="18"/>
  <c r="B153" i="18"/>
  <c r="A153" i="18"/>
  <c r="D152" i="18"/>
  <c r="C152" i="18"/>
  <c r="B152" i="18"/>
  <c r="A152" i="18"/>
  <c r="D151" i="18"/>
  <c r="C151" i="18"/>
  <c r="B151" i="18"/>
  <c r="A151" i="18"/>
  <c r="D150" i="18"/>
  <c r="C150" i="18"/>
  <c r="B150" i="18"/>
  <c r="A150" i="18"/>
  <c r="D149" i="18"/>
  <c r="C149" i="18"/>
  <c r="B149" i="18"/>
  <c r="A149" i="18"/>
  <c r="D148" i="18"/>
  <c r="C148" i="18"/>
  <c r="B148" i="18"/>
  <c r="A148" i="18"/>
  <c r="D147" i="18"/>
  <c r="C147" i="18"/>
  <c r="B147" i="18"/>
  <c r="A147" i="18"/>
  <c r="D146" i="18"/>
  <c r="C146" i="18"/>
  <c r="B146" i="18"/>
  <c r="A146" i="18"/>
  <c r="D145" i="18"/>
  <c r="C145" i="18"/>
  <c r="B145" i="18"/>
  <c r="A145" i="18"/>
  <c r="D144" i="18"/>
  <c r="C144" i="18"/>
  <c r="B144" i="18"/>
  <c r="A144" i="18"/>
  <c r="D143" i="18"/>
  <c r="C143" i="18"/>
  <c r="B143" i="18"/>
  <c r="A143" i="18"/>
  <c r="D142" i="18"/>
  <c r="C142" i="18"/>
  <c r="B142" i="18"/>
  <c r="A142" i="18"/>
  <c r="D141" i="18"/>
  <c r="C141" i="18"/>
  <c r="B141" i="18"/>
  <c r="A141" i="18"/>
  <c r="D140" i="18"/>
  <c r="C140" i="18"/>
  <c r="B140" i="18"/>
  <c r="A140" i="18"/>
  <c r="D139" i="18"/>
  <c r="C139" i="18"/>
  <c r="B139" i="18"/>
  <c r="A139" i="18"/>
  <c r="D138" i="18"/>
  <c r="C138" i="18"/>
  <c r="B138" i="18"/>
  <c r="A138" i="18"/>
  <c r="D137" i="18"/>
  <c r="C137" i="18"/>
  <c r="B137" i="18"/>
  <c r="A137" i="18"/>
  <c r="D136" i="18"/>
  <c r="C136" i="18"/>
  <c r="B136" i="18"/>
  <c r="A136" i="18"/>
  <c r="D135" i="18"/>
  <c r="C135" i="18"/>
  <c r="B135" i="18"/>
  <c r="A135" i="18"/>
  <c r="D134" i="18"/>
  <c r="C134" i="18"/>
  <c r="B134" i="18"/>
  <c r="A134" i="18"/>
  <c r="D133" i="18"/>
  <c r="C133" i="18"/>
  <c r="B133" i="18"/>
  <c r="A133" i="18"/>
  <c r="D132" i="18"/>
  <c r="C132" i="18"/>
  <c r="B132" i="18"/>
  <c r="A132" i="18"/>
  <c r="D131" i="18"/>
  <c r="C131" i="18"/>
  <c r="B131" i="18"/>
  <c r="A131" i="18"/>
  <c r="D130" i="18"/>
  <c r="C130" i="18"/>
  <c r="B130" i="18"/>
  <c r="A130" i="18"/>
  <c r="D129" i="18"/>
  <c r="C129" i="18"/>
  <c r="B129" i="18"/>
  <c r="A129" i="18"/>
  <c r="D128" i="18"/>
  <c r="C128" i="18"/>
  <c r="B128" i="18"/>
  <c r="A128" i="18"/>
  <c r="D127" i="18"/>
  <c r="C127" i="18"/>
  <c r="B127" i="18"/>
  <c r="A127" i="18"/>
  <c r="D126" i="18"/>
  <c r="C126" i="18"/>
  <c r="B126" i="18"/>
  <c r="A126" i="18"/>
  <c r="D125" i="18"/>
  <c r="C125" i="18"/>
  <c r="B125" i="18"/>
  <c r="A125" i="18"/>
  <c r="D124" i="18"/>
  <c r="C124" i="18"/>
  <c r="B124" i="18"/>
  <c r="A124" i="18"/>
  <c r="D123" i="18"/>
  <c r="C123" i="18"/>
  <c r="B123" i="18"/>
  <c r="A123" i="18"/>
  <c r="D122" i="18"/>
  <c r="C122" i="18"/>
  <c r="B122" i="18"/>
  <c r="A122" i="18"/>
  <c r="D121" i="18"/>
  <c r="C121" i="18"/>
  <c r="B121" i="18"/>
  <c r="A121" i="18"/>
  <c r="D120" i="18"/>
  <c r="C120" i="18"/>
  <c r="B120" i="18"/>
  <c r="A120" i="18"/>
  <c r="D119" i="18"/>
  <c r="C119" i="18"/>
  <c r="B119" i="18"/>
  <c r="A119" i="18"/>
  <c r="D118" i="18"/>
  <c r="C118" i="18"/>
  <c r="B118" i="18"/>
  <c r="A118" i="18"/>
  <c r="D117" i="18"/>
  <c r="C117" i="18"/>
  <c r="B117" i="18"/>
  <c r="A117" i="18"/>
  <c r="D116" i="18"/>
  <c r="C116" i="18"/>
  <c r="B116" i="18"/>
  <c r="A116" i="18"/>
  <c r="D115" i="18"/>
  <c r="C115" i="18"/>
  <c r="B115" i="18"/>
  <c r="A115" i="18"/>
  <c r="D114" i="18"/>
  <c r="C114" i="18"/>
  <c r="B114" i="18"/>
  <c r="A114" i="18"/>
  <c r="D113" i="18"/>
  <c r="C113" i="18"/>
  <c r="B113" i="18"/>
  <c r="A113" i="18"/>
  <c r="D112" i="18"/>
  <c r="C112" i="18"/>
  <c r="B112" i="18"/>
  <c r="A112" i="18"/>
  <c r="D111" i="18"/>
  <c r="C111" i="18"/>
  <c r="B111" i="18"/>
  <c r="A111" i="18"/>
  <c r="D110" i="18"/>
  <c r="C110" i="18"/>
  <c r="B110" i="18"/>
  <c r="A110" i="18"/>
  <c r="D109" i="18"/>
  <c r="C109" i="18"/>
  <c r="B109" i="18"/>
  <c r="A109" i="18"/>
  <c r="D108" i="18"/>
  <c r="C108" i="18"/>
  <c r="B108" i="18"/>
  <c r="A108" i="18"/>
  <c r="D107" i="18"/>
  <c r="C107" i="18"/>
  <c r="B107" i="18"/>
  <c r="A107" i="18"/>
  <c r="D106" i="18"/>
  <c r="C106" i="18"/>
  <c r="B106" i="18"/>
  <c r="A106" i="18"/>
  <c r="D105" i="18"/>
  <c r="C105" i="18"/>
  <c r="B105" i="18"/>
  <c r="A105" i="18"/>
  <c r="D104" i="18"/>
  <c r="C104" i="18"/>
  <c r="B104" i="18"/>
  <c r="A104" i="18"/>
  <c r="D103" i="18"/>
  <c r="C103" i="18"/>
  <c r="B103" i="18"/>
  <c r="A103" i="18"/>
  <c r="D102" i="18"/>
  <c r="C102" i="18"/>
  <c r="B102" i="18"/>
  <c r="A102" i="18"/>
  <c r="D101" i="18"/>
  <c r="C101" i="18"/>
  <c r="B101" i="18"/>
  <c r="A101" i="18"/>
  <c r="D100" i="18"/>
  <c r="C100" i="18"/>
  <c r="B100" i="18"/>
  <c r="A100" i="18"/>
  <c r="D99" i="18"/>
  <c r="C99" i="18"/>
  <c r="B99" i="18"/>
  <c r="A99" i="18"/>
  <c r="D98" i="18"/>
  <c r="C98" i="18"/>
  <c r="B98" i="18"/>
  <c r="A98" i="18"/>
  <c r="D97" i="18"/>
  <c r="C97" i="18"/>
  <c r="B97" i="18"/>
  <c r="A97" i="18"/>
  <c r="D96" i="18"/>
  <c r="C96" i="18"/>
  <c r="B96" i="18"/>
  <c r="A96" i="18"/>
  <c r="D95" i="18"/>
  <c r="C95" i="18"/>
  <c r="B95" i="18"/>
  <c r="A95" i="18"/>
  <c r="D94" i="18"/>
  <c r="C94" i="18"/>
  <c r="B94" i="18"/>
  <c r="A94" i="18"/>
  <c r="D93" i="18"/>
  <c r="C93" i="18"/>
  <c r="B93" i="18"/>
  <c r="A93" i="18"/>
  <c r="D92" i="18"/>
  <c r="C92" i="18"/>
  <c r="B92" i="18"/>
  <c r="A92" i="18"/>
  <c r="D91" i="18"/>
  <c r="C91" i="18"/>
  <c r="B91" i="18"/>
  <c r="A91" i="18"/>
  <c r="D90" i="18"/>
  <c r="C90" i="18"/>
  <c r="B90" i="18"/>
  <c r="A90" i="18"/>
  <c r="D89" i="18"/>
  <c r="C89" i="18"/>
  <c r="B89" i="18"/>
  <c r="A89" i="18"/>
  <c r="D88" i="18"/>
  <c r="C88" i="18"/>
  <c r="B88" i="18"/>
  <c r="A88" i="18"/>
  <c r="D87" i="18"/>
  <c r="C87" i="18"/>
  <c r="B87" i="18"/>
  <c r="A87" i="18"/>
  <c r="D86" i="18"/>
  <c r="C86" i="18"/>
  <c r="B86" i="18"/>
  <c r="A86" i="18"/>
  <c r="D85" i="18"/>
  <c r="C85" i="18"/>
  <c r="B85" i="18"/>
  <c r="A85" i="18"/>
  <c r="D84" i="18"/>
  <c r="C84" i="18"/>
  <c r="B84" i="18"/>
  <c r="A84" i="18"/>
  <c r="D83" i="18"/>
  <c r="C83" i="18"/>
  <c r="B83" i="18"/>
  <c r="A83" i="18"/>
  <c r="D82" i="18"/>
  <c r="C82" i="18"/>
  <c r="B82" i="18"/>
  <c r="A82" i="18"/>
  <c r="D81" i="18"/>
  <c r="C81" i="18"/>
  <c r="B81" i="18"/>
  <c r="A81" i="18"/>
  <c r="D80" i="18"/>
  <c r="C80" i="18"/>
  <c r="B80" i="18"/>
  <c r="A80" i="18"/>
  <c r="D79" i="18"/>
  <c r="C79" i="18"/>
  <c r="B79" i="18"/>
  <c r="A79" i="18"/>
  <c r="D78" i="18"/>
  <c r="C78" i="18"/>
  <c r="B78" i="18"/>
  <c r="A78" i="18"/>
  <c r="D77" i="18"/>
  <c r="C77" i="18"/>
  <c r="B77" i="18"/>
  <c r="A77" i="18"/>
  <c r="D76" i="18"/>
  <c r="C76" i="18"/>
  <c r="B76" i="18"/>
  <c r="A76" i="18"/>
  <c r="D75" i="18"/>
  <c r="C75" i="18"/>
  <c r="B75" i="18"/>
  <c r="A75" i="18"/>
  <c r="D74" i="18"/>
  <c r="C74" i="18"/>
  <c r="B74" i="18"/>
  <c r="A74" i="18"/>
  <c r="D73" i="18"/>
  <c r="C73" i="18"/>
  <c r="B73" i="18"/>
  <c r="A73" i="18"/>
  <c r="D72" i="18"/>
  <c r="C72" i="18"/>
  <c r="B72" i="18"/>
  <c r="A72" i="18"/>
  <c r="D71" i="18"/>
  <c r="C71" i="18"/>
  <c r="B71" i="18"/>
  <c r="A71" i="18"/>
  <c r="D70" i="18"/>
  <c r="C70" i="18"/>
  <c r="B70" i="18"/>
  <c r="A70" i="18"/>
  <c r="D69" i="18"/>
  <c r="C69" i="18"/>
  <c r="B69" i="18"/>
  <c r="A69" i="18"/>
  <c r="D68" i="18"/>
  <c r="C68" i="18"/>
  <c r="B68" i="18"/>
  <c r="A68" i="18"/>
  <c r="D67" i="18"/>
  <c r="C67" i="18"/>
  <c r="B67" i="18"/>
  <c r="A67" i="18"/>
  <c r="D66" i="18"/>
  <c r="C66" i="18"/>
  <c r="B66" i="18"/>
  <c r="A66" i="18"/>
  <c r="D65" i="18"/>
  <c r="C65" i="18"/>
  <c r="B65" i="18"/>
  <c r="A65" i="18"/>
  <c r="D64" i="18"/>
  <c r="C64" i="18"/>
  <c r="B64" i="18"/>
  <c r="A64" i="18"/>
  <c r="D63" i="18"/>
  <c r="C63" i="18"/>
  <c r="B63" i="18"/>
  <c r="A63" i="18"/>
  <c r="D62" i="18"/>
  <c r="C62" i="18"/>
  <c r="B62" i="18"/>
  <c r="A62" i="18"/>
  <c r="D61" i="18"/>
  <c r="C61" i="18"/>
  <c r="B61" i="18"/>
  <c r="A61" i="18"/>
  <c r="D60" i="18"/>
  <c r="C60" i="18"/>
  <c r="B60" i="18"/>
  <c r="A60" i="18"/>
  <c r="D59" i="18"/>
  <c r="C59" i="18"/>
  <c r="B59" i="18"/>
  <c r="A59" i="18"/>
  <c r="D58" i="18"/>
  <c r="C58" i="18"/>
  <c r="B58" i="18"/>
  <c r="A58" i="18"/>
  <c r="D57" i="18"/>
  <c r="C57" i="18"/>
  <c r="B57" i="18"/>
  <c r="A57" i="18"/>
  <c r="D56" i="18"/>
  <c r="C56" i="18"/>
  <c r="B56" i="18"/>
  <c r="A56" i="18"/>
  <c r="D55" i="18"/>
  <c r="C55" i="18"/>
  <c r="B55" i="18"/>
  <c r="A55" i="18"/>
  <c r="D54" i="18"/>
  <c r="C54" i="18"/>
  <c r="B54" i="18"/>
  <c r="A54" i="18"/>
  <c r="D53" i="18"/>
  <c r="C53" i="18"/>
  <c r="B53" i="18"/>
  <c r="A53" i="18"/>
  <c r="D52" i="18"/>
  <c r="C52" i="18"/>
  <c r="B52" i="18"/>
  <c r="A52" i="18"/>
  <c r="D51" i="18"/>
  <c r="C51" i="18"/>
  <c r="B51" i="18"/>
  <c r="A51" i="18"/>
  <c r="D50" i="18"/>
  <c r="C50" i="18"/>
  <c r="B50" i="18"/>
  <c r="A50" i="18"/>
  <c r="D49" i="18"/>
  <c r="C49" i="18"/>
  <c r="B49" i="18"/>
  <c r="A49" i="18"/>
  <c r="D48" i="18"/>
  <c r="C48" i="18"/>
  <c r="B48" i="18"/>
  <c r="A48" i="18"/>
  <c r="D47" i="18"/>
  <c r="C47" i="18"/>
  <c r="B47" i="18"/>
  <c r="A47" i="18"/>
  <c r="D46" i="18"/>
  <c r="C46" i="18"/>
  <c r="B46" i="18"/>
  <c r="A46" i="18"/>
  <c r="D45" i="18"/>
  <c r="C45" i="18"/>
  <c r="B45" i="18"/>
  <c r="A45" i="18"/>
  <c r="D44" i="18"/>
  <c r="C44" i="18"/>
  <c r="B44" i="18"/>
  <c r="A44" i="18"/>
  <c r="D43" i="18"/>
  <c r="C43" i="18"/>
  <c r="B43" i="18"/>
  <c r="A43" i="18"/>
  <c r="D42" i="18"/>
  <c r="C42" i="18"/>
  <c r="B42" i="18"/>
  <c r="A42" i="18"/>
  <c r="D41" i="18"/>
  <c r="C41" i="18"/>
  <c r="B41" i="18"/>
  <c r="A41" i="18"/>
  <c r="D40" i="18"/>
  <c r="C40" i="18"/>
  <c r="B40" i="18"/>
  <c r="A40" i="18"/>
  <c r="D39" i="18"/>
  <c r="C39" i="18"/>
  <c r="B39" i="18"/>
  <c r="A39" i="18"/>
  <c r="D38" i="18"/>
  <c r="C38" i="18"/>
  <c r="B38" i="18"/>
  <c r="A38" i="18"/>
  <c r="D37" i="18"/>
  <c r="C37" i="18"/>
  <c r="B37" i="18"/>
  <c r="A37" i="18"/>
  <c r="D36" i="18"/>
  <c r="C36" i="18"/>
  <c r="B36" i="18"/>
  <c r="A36" i="18"/>
  <c r="D35" i="18"/>
  <c r="C35" i="18"/>
  <c r="B35" i="18"/>
  <c r="A35" i="18"/>
  <c r="D34" i="18"/>
  <c r="C34" i="18"/>
  <c r="B34" i="18"/>
  <c r="A34" i="18"/>
  <c r="D33" i="18"/>
  <c r="C33" i="18"/>
  <c r="B33" i="18"/>
  <c r="A33" i="18"/>
  <c r="D32" i="18"/>
  <c r="C32" i="18"/>
  <c r="B32" i="18"/>
  <c r="A32" i="18"/>
  <c r="D31" i="18"/>
  <c r="C31" i="18"/>
  <c r="B31" i="18"/>
  <c r="A31" i="18"/>
  <c r="D30" i="18"/>
  <c r="C30" i="18"/>
  <c r="B30" i="18"/>
  <c r="A30" i="18"/>
  <c r="D29" i="18"/>
  <c r="C29" i="18"/>
  <c r="B29" i="18"/>
  <c r="A29" i="18"/>
  <c r="D28" i="18"/>
  <c r="C28" i="18"/>
  <c r="B28" i="18"/>
  <c r="A28" i="18"/>
  <c r="D27" i="18"/>
  <c r="C27" i="18"/>
  <c r="B27" i="18"/>
  <c r="A27" i="18"/>
  <c r="D26" i="18"/>
  <c r="C26" i="18"/>
  <c r="B26" i="18"/>
  <c r="A26" i="18"/>
  <c r="D25" i="18"/>
  <c r="C25" i="18"/>
  <c r="B25" i="18"/>
  <c r="A25" i="18"/>
  <c r="D24" i="18"/>
  <c r="C24" i="18"/>
  <c r="B24" i="18"/>
  <c r="A24" i="18"/>
  <c r="D23" i="18"/>
  <c r="C23" i="18"/>
  <c r="B23" i="18"/>
  <c r="A23" i="18"/>
  <c r="D22" i="18"/>
  <c r="C22" i="18"/>
  <c r="B22" i="18"/>
  <c r="A22" i="18"/>
  <c r="D21" i="18"/>
  <c r="C21" i="18"/>
  <c r="B21" i="18"/>
  <c r="A21" i="18"/>
  <c r="D20" i="18"/>
  <c r="C20" i="18"/>
  <c r="B20" i="18"/>
  <c r="A20" i="18"/>
  <c r="D19" i="18"/>
  <c r="C19" i="18"/>
  <c r="B19" i="18"/>
  <c r="A19" i="18"/>
  <c r="D18" i="18"/>
  <c r="C18" i="18"/>
  <c r="B18" i="18"/>
  <c r="A18" i="18"/>
  <c r="D17" i="18"/>
  <c r="C17" i="18"/>
  <c r="B17" i="18"/>
  <c r="A17" i="18"/>
  <c r="D16" i="18"/>
  <c r="C16" i="18"/>
  <c r="B16" i="18"/>
  <c r="A16" i="18"/>
  <c r="D15" i="18"/>
  <c r="C15" i="18"/>
  <c r="B15" i="18"/>
  <c r="A15" i="18"/>
  <c r="D14" i="18"/>
  <c r="C14" i="18"/>
  <c r="B14" i="18"/>
  <c r="A14" i="18"/>
  <c r="D13" i="18"/>
  <c r="C13" i="18"/>
  <c r="B13" i="18"/>
  <c r="A13" i="18"/>
  <c r="D12" i="18"/>
  <c r="C12" i="18"/>
  <c r="B12" i="18"/>
  <c r="A12" i="18"/>
  <c r="D11" i="18"/>
  <c r="C11" i="18"/>
  <c r="B11" i="18"/>
  <c r="A11" i="18"/>
  <c r="D10" i="18"/>
  <c r="C10" i="18"/>
  <c r="B10" i="18"/>
  <c r="A10" i="18"/>
  <c r="D9" i="18"/>
  <c r="C9" i="18"/>
  <c r="B9" i="18"/>
  <c r="A9" i="18"/>
  <c r="D8" i="18"/>
  <c r="C8" i="18"/>
  <c r="B8" i="18"/>
  <c r="A8" i="18"/>
  <c r="D7" i="18"/>
  <c r="C7" i="18"/>
  <c r="B7" i="18"/>
  <c r="A7" i="18"/>
  <c r="D6" i="18"/>
  <c r="C6" i="18"/>
  <c r="B6" i="18"/>
  <c r="A6" i="18"/>
  <c r="G500" i="17"/>
  <c r="F500" i="17"/>
  <c r="D500" i="17"/>
  <c r="C500" i="17"/>
  <c r="B500" i="17"/>
  <c r="A500" i="17"/>
  <c r="G499" i="17"/>
  <c r="F499" i="17"/>
  <c r="D499" i="17"/>
  <c r="C499" i="17"/>
  <c r="B499" i="17"/>
  <c r="A499" i="17"/>
  <c r="G498" i="17"/>
  <c r="F498" i="17"/>
  <c r="D498" i="17"/>
  <c r="C498" i="17"/>
  <c r="B498" i="17"/>
  <c r="A498" i="17"/>
  <c r="D497" i="17"/>
  <c r="C497" i="17"/>
  <c r="B497" i="17"/>
  <c r="A497" i="17"/>
  <c r="D496" i="17"/>
  <c r="C496" i="17"/>
  <c r="B496" i="17"/>
  <c r="A496" i="17"/>
  <c r="D495" i="17"/>
  <c r="C495" i="17"/>
  <c r="B495" i="17"/>
  <c r="A495" i="17"/>
  <c r="D494" i="17"/>
  <c r="C494" i="17"/>
  <c r="B494" i="17"/>
  <c r="A494" i="17"/>
  <c r="D493" i="17"/>
  <c r="C493" i="17"/>
  <c r="B493" i="17"/>
  <c r="A493" i="17"/>
  <c r="D492" i="17"/>
  <c r="C492" i="17"/>
  <c r="B492" i="17"/>
  <c r="A492" i="17"/>
  <c r="D491" i="17"/>
  <c r="C491" i="17"/>
  <c r="B491" i="17"/>
  <c r="A491" i="17"/>
  <c r="D490" i="17"/>
  <c r="C490" i="17"/>
  <c r="B490" i="17"/>
  <c r="A490" i="17"/>
  <c r="D489" i="17"/>
  <c r="C489" i="17"/>
  <c r="B489" i="17"/>
  <c r="A489" i="17"/>
  <c r="D488" i="17"/>
  <c r="C488" i="17"/>
  <c r="B488" i="17"/>
  <c r="A488" i="17"/>
  <c r="D487" i="17"/>
  <c r="C487" i="17"/>
  <c r="B487" i="17"/>
  <c r="A487" i="17"/>
  <c r="D486" i="17"/>
  <c r="C486" i="17"/>
  <c r="B486" i="17"/>
  <c r="A486" i="17"/>
  <c r="D485" i="17"/>
  <c r="C485" i="17"/>
  <c r="B485" i="17"/>
  <c r="A485" i="17"/>
  <c r="D484" i="17"/>
  <c r="C484" i="17"/>
  <c r="B484" i="17"/>
  <c r="A484" i="17"/>
  <c r="D483" i="17"/>
  <c r="C483" i="17"/>
  <c r="B483" i="17"/>
  <c r="A483" i="17"/>
  <c r="D482" i="17"/>
  <c r="C482" i="17"/>
  <c r="B482" i="17"/>
  <c r="A482" i="17"/>
  <c r="D481" i="17"/>
  <c r="C481" i="17"/>
  <c r="B481" i="17"/>
  <c r="A481" i="17"/>
  <c r="D480" i="17"/>
  <c r="C480" i="17"/>
  <c r="B480" i="17"/>
  <c r="A480" i="17"/>
  <c r="D479" i="17"/>
  <c r="C479" i="17"/>
  <c r="B479" i="17"/>
  <c r="A479" i="17"/>
  <c r="D478" i="17"/>
  <c r="C478" i="17"/>
  <c r="B478" i="17"/>
  <c r="A478" i="17"/>
  <c r="D477" i="17"/>
  <c r="C477" i="17"/>
  <c r="B477" i="17"/>
  <c r="A477" i="17"/>
  <c r="D476" i="17"/>
  <c r="C476" i="17"/>
  <c r="B476" i="17"/>
  <c r="A476" i="17"/>
  <c r="D475" i="17"/>
  <c r="C475" i="17"/>
  <c r="B475" i="17"/>
  <c r="A475" i="17"/>
  <c r="D474" i="17"/>
  <c r="C474" i="17"/>
  <c r="B474" i="17"/>
  <c r="A474" i="17"/>
  <c r="D473" i="17"/>
  <c r="C473" i="17"/>
  <c r="B473" i="17"/>
  <c r="A473" i="17"/>
  <c r="D472" i="17"/>
  <c r="C472" i="17"/>
  <c r="B472" i="17"/>
  <c r="A472" i="17"/>
  <c r="D471" i="17"/>
  <c r="C471" i="17"/>
  <c r="B471" i="17"/>
  <c r="A471" i="17"/>
  <c r="D470" i="17"/>
  <c r="C470" i="17"/>
  <c r="B470" i="17"/>
  <c r="A470" i="17"/>
  <c r="D469" i="17"/>
  <c r="C469" i="17"/>
  <c r="B469" i="17"/>
  <c r="A469" i="17"/>
  <c r="D468" i="17"/>
  <c r="C468" i="17"/>
  <c r="B468" i="17"/>
  <c r="A468" i="17"/>
  <c r="D467" i="17"/>
  <c r="C467" i="17"/>
  <c r="B467" i="17"/>
  <c r="A467" i="17"/>
  <c r="D466" i="17"/>
  <c r="C466" i="17"/>
  <c r="B466" i="17"/>
  <c r="A466" i="17"/>
  <c r="D465" i="17"/>
  <c r="C465" i="17"/>
  <c r="B465" i="17"/>
  <c r="A465" i="17"/>
  <c r="D464" i="17"/>
  <c r="C464" i="17"/>
  <c r="B464" i="17"/>
  <c r="A464" i="17"/>
  <c r="D463" i="17"/>
  <c r="C463" i="17"/>
  <c r="B463" i="17"/>
  <c r="A463" i="17"/>
  <c r="D462" i="17"/>
  <c r="C462" i="17"/>
  <c r="B462" i="17"/>
  <c r="A462" i="17"/>
  <c r="D461" i="17"/>
  <c r="C461" i="17"/>
  <c r="B461" i="17"/>
  <c r="A461" i="17"/>
  <c r="D460" i="17"/>
  <c r="C460" i="17"/>
  <c r="B460" i="17"/>
  <c r="A460" i="17"/>
  <c r="D459" i="17"/>
  <c r="C459" i="17"/>
  <c r="B459" i="17"/>
  <c r="A459" i="17"/>
  <c r="D458" i="17"/>
  <c r="C458" i="17"/>
  <c r="B458" i="17"/>
  <c r="A458" i="17"/>
  <c r="D457" i="17"/>
  <c r="C457" i="17"/>
  <c r="B457" i="17"/>
  <c r="A457" i="17"/>
  <c r="D456" i="17"/>
  <c r="C456" i="17"/>
  <c r="B456" i="17"/>
  <c r="A456" i="17"/>
  <c r="D455" i="17"/>
  <c r="C455" i="17"/>
  <c r="B455" i="17"/>
  <c r="A455" i="17"/>
  <c r="D454" i="17"/>
  <c r="C454" i="17"/>
  <c r="B454" i="17"/>
  <c r="A454" i="17"/>
  <c r="D453" i="17"/>
  <c r="C453" i="17"/>
  <c r="B453" i="17"/>
  <c r="A453" i="17"/>
  <c r="D452" i="17"/>
  <c r="C452" i="17"/>
  <c r="B452" i="17"/>
  <c r="A452" i="17"/>
  <c r="D451" i="17"/>
  <c r="C451" i="17"/>
  <c r="B451" i="17"/>
  <c r="A451" i="17"/>
  <c r="D450" i="17"/>
  <c r="C450" i="17"/>
  <c r="B450" i="17"/>
  <c r="A450" i="17"/>
  <c r="D449" i="17"/>
  <c r="C449" i="17"/>
  <c r="B449" i="17"/>
  <c r="A449" i="17"/>
  <c r="D448" i="17"/>
  <c r="C448" i="17"/>
  <c r="B448" i="17"/>
  <c r="A448" i="17"/>
  <c r="D447" i="17"/>
  <c r="C447" i="17"/>
  <c r="B447" i="17"/>
  <c r="A447" i="17"/>
  <c r="D446" i="17"/>
  <c r="C446" i="17"/>
  <c r="B446" i="17"/>
  <c r="A446" i="17"/>
  <c r="D445" i="17"/>
  <c r="C445" i="17"/>
  <c r="B445" i="17"/>
  <c r="A445" i="17"/>
  <c r="D444" i="17"/>
  <c r="C444" i="17"/>
  <c r="B444" i="17"/>
  <c r="A444" i="17"/>
  <c r="D443" i="17"/>
  <c r="C443" i="17"/>
  <c r="B443" i="17"/>
  <c r="A443" i="17"/>
  <c r="D442" i="17"/>
  <c r="C442" i="17"/>
  <c r="B442" i="17"/>
  <c r="A442" i="17"/>
  <c r="D441" i="17"/>
  <c r="C441" i="17"/>
  <c r="B441" i="17"/>
  <c r="A441" i="17"/>
  <c r="D440" i="17"/>
  <c r="C440" i="17"/>
  <c r="B440" i="17"/>
  <c r="A440" i="17"/>
  <c r="D439" i="17"/>
  <c r="C439" i="17"/>
  <c r="B439" i="17"/>
  <c r="A439" i="17"/>
  <c r="D438" i="17"/>
  <c r="C438" i="17"/>
  <c r="B438" i="17"/>
  <c r="A438" i="17"/>
  <c r="D437" i="17"/>
  <c r="C437" i="17"/>
  <c r="B437" i="17"/>
  <c r="A437" i="17"/>
  <c r="D436" i="17"/>
  <c r="C436" i="17"/>
  <c r="B436" i="17"/>
  <c r="A436" i="17"/>
  <c r="D435" i="17"/>
  <c r="C435" i="17"/>
  <c r="B435" i="17"/>
  <c r="A435" i="17"/>
  <c r="D434" i="17"/>
  <c r="C434" i="17"/>
  <c r="B434" i="17"/>
  <c r="A434" i="17"/>
  <c r="D433" i="17"/>
  <c r="C433" i="17"/>
  <c r="B433" i="17"/>
  <c r="A433" i="17"/>
  <c r="D432" i="17"/>
  <c r="C432" i="17"/>
  <c r="B432" i="17"/>
  <c r="A432" i="17"/>
  <c r="D431" i="17"/>
  <c r="C431" i="17"/>
  <c r="B431" i="17"/>
  <c r="A431" i="17"/>
  <c r="D430" i="17"/>
  <c r="C430" i="17"/>
  <c r="B430" i="17"/>
  <c r="A430" i="17"/>
  <c r="D429" i="17"/>
  <c r="C429" i="17"/>
  <c r="B429" i="17"/>
  <c r="A429" i="17"/>
  <c r="D428" i="17"/>
  <c r="C428" i="17"/>
  <c r="B428" i="17"/>
  <c r="A428" i="17"/>
  <c r="D427" i="17"/>
  <c r="C427" i="17"/>
  <c r="B427" i="17"/>
  <c r="A427" i="17"/>
  <c r="D426" i="17"/>
  <c r="C426" i="17"/>
  <c r="B426" i="17"/>
  <c r="A426" i="17"/>
  <c r="D425" i="17"/>
  <c r="C425" i="17"/>
  <c r="B425" i="17"/>
  <c r="A425" i="17"/>
  <c r="D424" i="17"/>
  <c r="C424" i="17"/>
  <c r="B424" i="17"/>
  <c r="A424" i="17"/>
  <c r="D423" i="17"/>
  <c r="C423" i="17"/>
  <c r="B423" i="17"/>
  <c r="A423" i="17"/>
  <c r="D422" i="17"/>
  <c r="C422" i="17"/>
  <c r="B422" i="17"/>
  <c r="A422" i="17"/>
  <c r="D421" i="17"/>
  <c r="C421" i="17"/>
  <c r="B421" i="17"/>
  <c r="A421" i="17"/>
  <c r="D420" i="17"/>
  <c r="C420" i="17"/>
  <c r="B420" i="17"/>
  <c r="A420" i="17"/>
  <c r="D419" i="17"/>
  <c r="C419" i="17"/>
  <c r="B419" i="17"/>
  <c r="A419" i="17"/>
  <c r="D418" i="17"/>
  <c r="C418" i="17"/>
  <c r="B418" i="17"/>
  <c r="A418" i="17"/>
  <c r="D417" i="17"/>
  <c r="C417" i="17"/>
  <c r="B417" i="17"/>
  <c r="A417" i="17"/>
  <c r="D416" i="17"/>
  <c r="C416" i="17"/>
  <c r="B416" i="17"/>
  <c r="A416" i="17"/>
  <c r="D415" i="17"/>
  <c r="C415" i="17"/>
  <c r="B415" i="17"/>
  <c r="A415" i="17"/>
  <c r="D414" i="17"/>
  <c r="C414" i="17"/>
  <c r="B414" i="17"/>
  <c r="A414" i="17"/>
  <c r="D413" i="17"/>
  <c r="C413" i="17"/>
  <c r="B413" i="17"/>
  <c r="A413" i="17"/>
  <c r="D412" i="17"/>
  <c r="C412" i="17"/>
  <c r="B412" i="17"/>
  <c r="A412" i="17"/>
  <c r="D411" i="17"/>
  <c r="C411" i="17"/>
  <c r="B411" i="17"/>
  <c r="A411" i="17"/>
  <c r="D410" i="17"/>
  <c r="C410" i="17"/>
  <c r="B410" i="17"/>
  <c r="A410" i="17"/>
  <c r="D409" i="17"/>
  <c r="C409" i="17"/>
  <c r="B409" i="17"/>
  <c r="A409" i="17"/>
  <c r="D408" i="17"/>
  <c r="C408" i="17"/>
  <c r="B408" i="17"/>
  <c r="A408" i="17"/>
  <c r="D407" i="17"/>
  <c r="C407" i="17"/>
  <c r="B407" i="17"/>
  <c r="A407" i="17"/>
  <c r="D406" i="17"/>
  <c r="C406" i="17"/>
  <c r="B406" i="17"/>
  <c r="A406" i="17"/>
  <c r="D405" i="17"/>
  <c r="C405" i="17"/>
  <c r="B405" i="17"/>
  <c r="A405" i="17"/>
  <c r="D404" i="17"/>
  <c r="C404" i="17"/>
  <c r="B404" i="17"/>
  <c r="A404" i="17"/>
  <c r="D403" i="17"/>
  <c r="C403" i="17"/>
  <c r="B403" i="17"/>
  <c r="A403" i="17"/>
  <c r="D402" i="17"/>
  <c r="C402" i="17"/>
  <c r="B402" i="17"/>
  <c r="A402" i="17"/>
  <c r="D401" i="17"/>
  <c r="C401" i="17"/>
  <c r="B401" i="17"/>
  <c r="A401" i="17"/>
  <c r="D400" i="17"/>
  <c r="C400" i="17"/>
  <c r="B400" i="17"/>
  <c r="A400" i="17"/>
  <c r="D399" i="17"/>
  <c r="C399" i="17"/>
  <c r="B399" i="17"/>
  <c r="A399" i="17"/>
  <c r="D398" i="17"/>
  <c r="C398" i="17"/>
  <c r="B398" i="17"/>
  <c r="A398" i="17"/>
  <c r="D397" i="17"/>
  <c r="C397" i="17"/>
  <c r="B397" i="17"/>
  <c r="A397" i="17"/>
  <c r="D396" i="17"/>
  <c r="C396" i="17"/>
  <c r="B396" i="17"/>
  <c r="A396" i="17"/>
  <c r="D395" i="17"/>
  <c r="C395" i="17"/>
  <c r="B395" i="17"/>
  <c r="A395" i="17"/>
  <c r="D394" i="17"/>
  <c r="C394" i="17"/>
  <c r="B394" i="17"/>
  <c r="A394" i="17"/>
  <c r="D393" i="17"/>
  <c r="C393" i="17"/>
  <c r="B393" i="17"/>
  <c r="A393" i="17"/>
  <c r="D392" i="17"/>
  <c r="C392" i="17"/>
  <c r="B392" i="17"/>
  <c r="A392" i="17"/>
  <c r="D391" i="17"/>
  <c r="C391" i="17"/>
  <c r="B391" i="17"/>
  <c r="A391" i="17"/>
  <c r="D390" i="17"/>
  <c r="C390" i="17"/>
  <c r="B390" i="17"/>
  <c r="A390" i="17"/>
  <c r="D389" i="17"/>
  <c r="C389" i="17"/>
  <c r="B389" i="17"/>
  <c r="A389" i="17"/>
  <c r="D388" i="17"/>
  <c r="C388" i="17"/>
  <c r="B388" i="17"/>
  <c r="A388" i="17"/>
  <c r="D387" i="17"/>
  <c r="C387" i="17"/>
  <c r="B387" i="17"/>
  <c r="A387" i="17"/>
  <c r="D386" i="17"/>
  <c r="C386" i="17"/>
  <c r="B386" i="17"/>
  <c r="A386" i="17"/>
  <c r="D385" i="17"/>
  <c r="C385" i="17"/>
  <c r="B385" i="17"/>
  <c r="A385" i="17"/>
  <c r="D384" i="17"/>
  <c r="C384" i="17"/>
  <c r="B384" i="17"/>
  <c r="A384" i="17"/>
  <c r="D383" i="17"/>
  <c r="C383" i="17"/>
  <c r="B383" i="17"/>
  <c r="A383" i="17"/>
  <c r="D382" i="17"/>
  <c r="C382" i="17"/>
  <c r="B382" i="17"/>
  <c r="A382" i="17"/>
  <c r="D381" i="17"/>
  <c r="C381" i="17"/>
  <c r="B381" i="17"/>
  <c r="A381" i="17"/>
  <c r="D380" i="17"/>
  <c r="C380" i="17"/>
  <c r="B380" i="17"/>
  <c r="A380" i="17"/>
  <c r="D379" i="17"/>
  <c r="C379" i="17"/>
  <c r="B379" i="17"/>
  <c r="A379" i="17"/>
  <c r="D378" i="17"/>
  <c r="C378" i="17"/>
  <c r="B378" i="17"/>
  <c r="A378" i="17"/>
  <c r="D377" i="17"/>
  <c r="C377" i="17"/>
  <c r="B377" i="17"/>
  <c r="A377" i="17"/>
  <c r="D376" i="17"/>
  <c r="C376" i="17"/>
  <c r="B376" i="17"/>
  <c r="A376" i="17"/>
  <c r="D375" i="17"/>
  <c r="C375" i="17"/>
  <c r="B375" i="17"/>
  <c r="A375" i="17"/>
  <c r="D374" i="17"/>
  <c r="C374" i="17"/>
  <c r="B374" i="17"/>
  <c r="A374" i="17"/>
  <c r="D373" i="17"/>
  <c r="C373" i="17"/>
  <c r="B373" i="17"/>
  <c r="A373" i="17"/>
  <c r="D372" i="17"/>
  <c r="C372" i="17"/>
  <c r="B372" i="17"/>
  <c r="A372" i="17"/>
  <c r="D371" i="17"/>
  <c r="C371" i="17"/>
  <c r="B371" i="17"/>
  <c r="A371" i="17"/>
  <c r="D370" i="17"/>
  <c r="C370" i="17"/>
  <c r="B370" i="17"/>
  <c r="A370" i="17"/>
  <c r="D369" i="17"/>
  <c r="C369" i="17"/>
  <c r="B369" i="17"/>
  <c r="A369" i="17"/>
  <c r="D368" i="17"/>
  <c r="C368" i="17"/>
  <c r="B368" i="17"/>
  <c r="A368" i="17"/>
  <c r="D367" i="17"/>
  <c r="C367" i="17"/>
  <c r="B367" i="17"/>
  <c r="A367" i="17"/>
  <c r="D366" i="17"/>
  <c r="C366" i="17"/>
  <c r="B366" i="17"/>
  <c r="A366" i="17"/>
  <c r="D365" i="17"/>
  <c r="C365" i="17"/>
  <c r="B365" i="17"/>
  <c r="A365" i="17"/>
  <c r="D364" i="17"/>
  <c r="C364" i="17"/>
  <c r="B364" i="17"/>
  <c r="A364" i="17"/>
  <c r="D363" i="17"/>
  <c r="C363" i="17"/>
  <c r="B363" i="17"/>
  <c r="A363" i="17"/>
  <c r="D362" i="17"/>
  <c r="C362" i="17"/>
  <c r="B362" i="17"/>
  <c r="A362" i="17"/>
  <c r="D361" i="17"/>
  <c r="C361" i="17"/>
  <c r="B361" i="17"/>
  <c r="A361" i="17"/>
  <c r="D360" i="17"/>
  <c r="C360" i="17"/>
  <c r="B360" i="17"/>
  <c r="A360" i="17"/>
  <c r="D359" i="17"/>
  <c r="C359" i="17"/>
  <c r="B359" i="17"/>
  <c r="A359" i="17"/>
  <c r="D358" i="17"/>
  <c r="C358" i="17"/>
  <c r="B358" i="17"/>
  <c r="A358" i="17"/>
  <c r="D357" i="17"/>
  <c r="C357" i="17"/>
  <c r="B357" i="17"/>
  <c r="A357" i="17"/>
  <c r="D356" i="17"/>
  <c r="C356" i="17"/>
  <c r="B356" i="17"/>
  <c r="A356" i="17"/>
  <c r="D355" i="17"/>
  <c r="C355" i="17"/>
  <c r="B355" i="17"/>
  <c r="A355" i="17"/>
  <c r="D354" i="17"/>
  <c r="C354" i="17"/>
  <c r="B354" i="17"/>
  <c r="A354" i="17"/>
  <c r="D353" i="17"/>
  <c r="C353" i="17"/>
  <c r="B353" i="17"/>
  <c r="A353" i="17"/>
  <c r="D352" i="17"/>
  <c r="C352" i="17"/>
  <c r="B352" i="17"/>
  <c r="A352" i="17"/>
  <c r="D351" i="17"/>
  <c r="C351" i="17"/>
  <c r="B351" i="17"/>
  <c r="A351" i="17"/>
  <c r="D350" i="17"/>
  <c r="C350" i="17"/>
  <c r="B350" i="17"/>
  <c r="A350" i="17"/>
  <c r="D349" i="17"/>
  <c r="C349" i="17"/>
  <c r="B349" i="17"/>
  <c r="A349" i="17"/>
  <c r="D348" i="17"/>
  <c r="C348" i="17"/>
  <c r="B348" i="17"/>
  <c r="A348" i="17"/>
  <c r="D347" i="17"/>
  <c r="C347" i="17"/>
  <c r="B347" i="17"/>
  <c r="A347" i="17"/>
  <c r="D346" i="17"/>
  <c r="C346" i="17"/>
  <c r="B346" i="17"/>
  <c r="A346" i="17"/>
  <c r="D345" i="17"/>
  <c r="C345" i="17"/>
  <c r="B345" i="17"/>
  <c r="A345" i="17"/>
  <c r="D344" i="17"/>
  <c r="C344" i="17"/>
  <c r="B344" i="17"/>
  <c r="A344" i="17"/>
  <c r="D343" i="17"/>
  <c r="C343" i="17"/>
  <c r="B343" i="17"/>
  <c r="A343" i="17"/>
  <c r="D342" i="17"/>
  <c r="C342" i="17"/>
  <c r="B342" i="17"/>
  <c r="A342" i="17"/>
  <c r="D341" i="17"/>
  <c r="C341" i="17"/>
  <c r="B341" i="17"/>
  <c r="A341" i="17"/>
  <c r="D340" i="17"/>
  <c r="C340" i="17"/>
  <c r="B340" i="17"/>
  <c r="A340" i="17"/>
  <c r="D339" i="17"/>
  <c r="C339" i="17"/>
  <c r="B339" i="17"/>
  <c r="A339" i="17"/>
  <c r="D338" i="17"/>
  <c r="C338" i="17"/>
  <c r="B338" i="17"/>
  <c r="A338" i="17"/>
  <c r="D337" i="17"/>
  <c r="C337" i="17"/>
  <c r="B337" i="17"/>
  <c r="A337" i="17"/>
  <c r="D336" i="17"/>
  <c r="C336" i="17"/>
  <c r="B336" i="17"/>
  <c r="A336" i="17"/>
  <c r="D335" i="17"/>
  <c r="C335" i="17"/>
  <c r="B335" i="17"/>
  <c r="A335" i="17"/>
  <c r="D334" i="17"/>
  <c r="C334" i="17"/>
  <c r="B334" i="17"/>
  <c r="A334" i="17"/>
  <c r="D333" i="17"/>
  <c r="C333" i="17"/>
  <c r="B333" i="17"/>
  <c r="A333" i="17"/>
  <c r="D332" i="17"/>
  <c r="C332" i="17"/>
  <c r="B332" i="17"/>
  <c r="A332" i="17"/>
  <c r="D331" i="17"/>
  <c r="C331" i="17"/>
  <c r="B331" i="17"/>
  <c r="A331" i="17"/>
  <c r="D330" i="17"/>
  <c r="C330" i="17"/>
  <c r="B330" i="17"/>
  <c r="A330" i="17"/>
  <c r="D329" i="17"/>
  <c r="C329" i="17"/>
  <c r="B329" i="17"/>
  <c r="A329" i="17"/>
  <c r="D328" i="17"/>
  <c r="C328" i="17"/>
  <c r="B328" i="17"/>
  <c r="A328" i="17"/>
  <c r="D327" i="17"/>
  <c r="C327" i="17"/>
  <c r="B327" i="17"/>
  <c r="A327" i="17"/>
  <c r="D326" i="17"/>
  <c r="C326" i="17"/>
  <c r="B326" i="17"/>
  <c r="A326" i="17"/>
  <c r="D325" i="17"/>
  <c r="C325" i="17"/>
  <c r="B325" i="17"/>
  <c r="A325" i="17"/>
  <c r="D324" i="17"/>
  <c r="C324" i="17"/>
  <c r="B324" i="17"/>
  <c r="A324" i="17"/>
  <c r="D323" i="17"/>
  <c r="C323" i="17"/>
  <c r="B323" i="17"/>
  <c r="A323" i="17"/>
  <c r="D322" i="17"/>
  <c r="C322" i="17"/>
  <c r="B322" i="17"/>
  <c r="A322" i="17"/>
  <c r="D321" i="17"/>
  <c r="C321" i="17"/>
  <c r="B321" i="17"/>
  <c r="A321" i="17"/>
  <c r="D320" i="17"/>
  <c r="C320" i="17"/>
  <c r="B320" i="17"/>
  <c r="A320" i="17"/>
  <c r="D319" i="17"/>
  <c r="C319" i="17"/>
  <c r="B319" i="17"/>
  <c r="A319" i="17"/>
  <c r="D318" i="17"/>
  <c r="C318" i="17"/>
  <c r="B318" i="17"/>
  <c r="A318" i="17"/>
  <c r="D317" i="17"/>
  <c r="C317" i="17"/>
  <c r="B317" i="17"/>
  <c r="A317" i="17"/>
  <c r="D316" i="17"/>
  <c r="C316" i="17"/>
  <c r="B316" i="17"/>
  <c r="A316" i="17"/>
  <c r="D315" i="17"/>
  <c r="C315" i="17"/>
  <c r="B315" i="17"/>
  <c r="A315" i="17"/>
  <c r="D314" i="17"/>
  <c r="C314" i="17"/>
  <c r="B314" i="17"/>
  <c r="A314" i="17"/>
  <c r="D313" i="17"/>
  <c r="C313" i="17"/>
  <c r="B313" i="17"/>
  <c r="A313" i="17"/>
  <c r="D312" i="17"/>
  <c r="C312" i="17"/>
  <c r="B312" i="17"/>
  <c r="A312" i="17"/>
  <c r="D311" i="17"/>
  <c r="C311" i="17"/>
  <c r="B311" i="17"/>
  <c r="A311" i="17"/>
  <c r="D310" i="17"/>
  <c r="C310" i="17"/>
  <c r="B310" i="17"/>
  <c r="A310" i="17"/>
  <c r="D309" i="17"/>
  <c r="C309" i="17"/>
  <c r="B309" i="17"/>
  <c r="A309" i="17"/>
  <c r="D308" i="17"/>
  <c r="C308" i="17"/>
  <c r="B308" i="17"/>
  <c r="A308" i="17"/>
  <c r="D307" i="17"/>
  <c r="C307" i="17"/>
  <c r="B307" i="17"/>
  <c r="A307" i="17"/>
  <c r="D306" i="17"/>
  <c r="C306" i="17"/>
  <c r="B306" i="17"/>
  <c r="A306" i="17"/>
  <c r="D305" i="17"/>
  <c r="C305" i="17"/>
  <c r="B305" i="17"/>
  <c r="A305" i="17"/>
  <c r="D304" i="17"/>
  <c r="C304" i="17"/>
  <c r="B304" i="17"/>
  <c r="A304" i="17"/>
  <c r="D303" i="17"/>
  <c r="C303" i="17"/>
  <c r="B303" i="17"/>
  <c r="A303" i="17"/>
  <c r="D302" i="17"/>
  <c r="C302" i="17"/>
  <c r="B302" i="17"/>
  <c r="A302" i="17"/>
  <c r="D301" i="17"/>
  <c r="C301" i="17"/>
  <c r="B301" i="17"/>
  <c r="A301" i="17"/>
  <c r="D300" i="17"/>
  <c r="C300" i="17"/>
  <c r="B300" i="17"/>
  <c r="A300" i="17"/>
  <c r="D299" i="17"/>
  <c r="C299" i="17"/>
  <c r="B299" i="17"/>
  <c r="A299" i="17"/>
  <c r="D298" i="17"/>
  <c r="C298" i="17"/>
  <c r="B298" i="17"/>
  <c r="A298" i="17"/>
  <c r="D297" i="17"/>
  <c r="C297" i="17"/>
  <c r="B297" i="17"/>
  <c r="A297" i="17"/>
  <c r="D296" i="17"/>
  <c r="C296" i="17"/>
  <c r="B296" i="17"/>
  <c r="A296" i="17"/>
  <c r="D295" i="17"/>
  <c r="C295" i="17"/>
  <c r="B295" i="17"/>
  <c r="A295" i="17"/>
  <c r="D294" i="17"/>
  <c r="C294" i="17"/>
  <c r="B294" i="17"/>
  <c r="A294" i="17"/>
  <c r="D293" i="17"/>
  <c r="C293" i="17"/>
  <c r="B293" i="17"/>
  <c r="A293" i="17"/>
  <c r="D292" i="17"/>
  <c r="C292" i="17"/>
  <c r="B292" i="17"/>
  <c r="A292" i="17"/>
  <c r="D291" i="17"/>
  <c r="C291" i="17"/>
  <c r="B291" i="17"/>
  <c r="A291" i="17"/>
  <c r="D290" i="17"/>
  <c r="C290" i="17"/>
  <c r="B290" i="17"/>
  <c r="A290" i="17"/>
  <c r="D289" i="17"/>
  <c r="C289" i="17"/>
  <c r="B289" i="17"/>
  <c r="A289" i="17"/>
  <c r="D288" i="17"/>
  <c r="C288" i="17"/>
  <c r="B288" i="17"/>
  <c r="A288" i="17"/>
  <c r="D287" i="17"/>
  <c r="C287" i="17"/>
  <c r="B287" i="17"/>
  <c r="A287" i="17"/>
  <c r="D286" i="17"/>
  <c r="C286" i="17"/>
  <c r="B286" i="17"/>
  <c r="A286" i="17"/>
  <c r="D285" i="17"/>
  <c r="C285" i="17"/>
  <c r="B285" i="17"/>
  <c r="A285" i="17"/>
  <c r="D284" i="17"/>
  <c r="C284" i="17"/>
  <c r="B284" i="17"/>
  <c r="A284" i="17"/>
  <c r="D283" i="17"/>
  <c r="C283" i="17"/>
  <c r="B283" i="17"/>
  <c r="A283" i="17"/>
  <c r="D282" i="17"/>
  <c r="C282" i="17"/>
  <c r="B282" i="17"/>
  <c r="A282" i="17"/>
  <c r="D281" i="17"/>
  <c r="C281" i="17"/>
  <c r="B281" i="17"/>
  <c r="A281" i="17"/>
  <c r="D280" i="17"/>
  <c r="C280" i="17"/>
  <c r="B280" i="17"/>
  <c r="A280" i="17"/>
  <c r="D279" i="17"/>
  <c r="C279" i="17"/>
  <c r="B279" i="17"/>
  <c r="A279" i="17"/>
  <c r="D278" i="17"/>
  <c r="C278" i="17"/>
  <c r="B278" i="17"/>
  <c r="A278" i="17"/>
  <c r="D277" i="17"/>
  <c r="C277" i="17"/>
  <c r="B277" i="17"/>
  <c r="A277" i="17"/>
  <c r="D276" i="17"/>
  <c r="C276" i="17"/>
  <c r="B276" i="17"/>
  <c r="A276" i="17"/>
  <c r="D275" i="17"/>
  <c r="C275" i="17"/>
  <c r="B275" i="17"/>
  <c r="A275" i="17"/>
  <c r="D274" i="17"/>
  <c r="C274" i="17"/>
  <c r="B274" i="17"/>
  <c r="A274" i="17"/>
  <c r="D273" i="17"/>
  <c r="C273" i="17"/>
  <c r="B273" i="17"/>
  <c r="A273" i="17"/>
  <c r="D272" i="17"/>
  <c r="C272" i="17"/>
  <c r="B272" i="17"/>
  <c r="A272" i="17"/>
  <c r="D271" i="17"/>
  <c r="C271" i="17"/>
  <c r="B271" i="17"/>
  <c r="A271" i="17"/>
  <c r="D270" i="17"/>
  <c r="C270" i="17"/>
  <c r="B270" i="17"/>
  <c r="A270" i="17"/>
  <c r="D269" i="17"/>
  <c r="C269" i="17"/>
  <c r="B269" i="17"/>
  <c r="A269" i="17"/>
  <c r="D268" i="17"/>
  <c r="C268" i="17"/>
  <c r="B268" i="17"/>
  <c r="A268" i="17"/>
  <c r="D267" i="17"/>
  <c r="C267" i="17"/>
  <c r="B267" i="17"/>
  <c r="A267" i="17"/>
  <c r="D266" i="17"/>
  <c r="C266" i="17"/>
  <c r="B266" i="17"/>
  <c r="A266" i="17"/>
  <c r="D265" i="17"/>
  <c r="C265" i="17"/>
  <c r="B265" i="17"/>
  <c r="A265" i="17"/>
  <c r="D264" i="17"/>
  <c r="C264" i="17"/>
  <c r="B264" i="17"/>
  <c r="A264" i="17"/>
  <c r="D263" i="17"/>
  <c r="C263" i="17"/>
  <c r="B263" i="17"/>
  <c r="A263" i="17"/>
  <c r="D262" i="17"/>
  <c r="C262" i="17"/>
  <c r="B262" i="17"/>
  <c r="A262" i="17"/>
  <c r="D261" i="17"/>
  <c r="C261" i="17"/>
  <c r="B261" i="17"/>
  <c r="A261" i="17"/>
  <c r="D260" i="17"/>
  <c r="C260" i="17"/>
  <c r="B260" i="17"/>
  <c r="A260" i="17"/>
  <c r="D259" i="17"/>
  <c r="C259" i="17"/>
  <c r="B259" i="17"/>
  <c r="A259" i="17"/>
  <c r="D258" i="17"/>
  <c r="C258" i="17"/>
  <c r="B258" i="17"/>
  <c r="A258" i="17"/>
  <c r="D257" i="17"/>
  <c r="C257" i="17"/>
  <c r="B257" i="17"/>
  <c r="A257" i="17"/>
  <c r="D256" i="17"/>
  <c r="C256" i="17"/>
  <c r="B256" i="17"/>
  <c r="A256" i="17"/>
  <c r="D255" i="17"/>
  <c r="C255" i="17"/>
  <c r="B255" i="17"/>
  <c r="A255" i="17"/>
  <c r="D254" i="17"/>
  <c r="C254" i="17"/>
  <c r="B254" i="17"/>
  <c r="A254" i="17"/>
  <c r="D253" i="17"/>
  <c r="C253" i="17"/>
  <c r="B253" i="17"/>
  <c r="A253" i="17"/>
  <c r="D252" i="17"/>
  <c r="C252" i="17"/>
  <c r="B252" i="17"/>
  <c r="A252" i="17"/>
  <c r="D251" i="17"/>
  <c r="C251" i="17"/>
  <c r="B251" i="17"/>
  <c r="A251" i="17"/>
  <c r="D250" i="17"/>
  <c r="C250" i="17"/>
  <c r="B250" i="17"/>
  <c r="A250" i="17"/>
  <c r="D249" i="17"/>
  <c r="C249" i="17"/>
  <c r="B249" i="17"/>
  <c r="A249" i="17"/>
  <c r="D248" i="17"/>
  <c r="C248" i="17"/>
  <c r="B248" i="17"/>
  <c r="A248" i="17"/>
  <c r="D247" i="17"/>
  <c r="C247" i="17"/>
  <c r="B247" i="17"/>
  <c r="A247" i="17"/>
  <c r="D246" i="17"/>
  <c r="C246" i="17"/>
  <c r="B246" i="17"/>
  <c r="A246" i="17"/>
  <c r="D245" i="17"/>
  <c r="C245" i="17"/>
  <c r="B245" i="17"/>
  <c r="A245" i="17"/>
  <c r="D244" i="17"/>
  <c r="C244" i="17"/>
  <c r="B244" i="17"/>
  <c r="A244" i="17"/>
  <c r="D243" i="17"/>
  <c r="C243" i="17"/>
  <c r="B243" i="17"/>
  <c r="A243" i="17"/>
  <c r="D242" i="17"/>
  <c r="C242" i="17"/>
  <c r="B242" i="17"/>
  <c r="A242" i="17"/>
  <c r="D241" i="17"/>
  <c r="C241" i="17"/>
  <c r="B241" i="17"/>
  <c r="A241" i="17"/>
  <c r="D240" i="17"/>
  <c r="C240" i="17"/>
  <c r="B240" i="17"/>
  <c r="A240" i="17"/>
  <c r="D239" i="17"/>
  <c r="C239" i="17"/>
  <c r="B239" i="17"/>
  <c r="A239" i="17"/>
  <c r="D238" i="17"/>
  <c r="C238" i="17"/>
  <c r="B238" i="17"/>
  <c r="A238" i="17"/>
  <c r="D237" i="17"/>
  <c r="C237" i="17"/>
  <c r="B237" i="17"/>
  <c r="A237" i="17"/>
  <c r="D236" i="17"/>
  <c r="C236" i="17"/>
  <c r="B236" i="17"/>
  <c r="A236" i="17"/>
  <c r="D235" i="17"/>
  <c r="C235" i="17"/>
  <c r="B235" i="17"/>
  <c r="A235" i="17"/>
  <c r="D234" i="17"/>
  <c r="C234" i="17"/>
  <c r="B234" i="17"/>
  <c r="A234" i="17"/>
  <c r="D233" i="17"/>
  <c r="C233" i="17"/>
  <c r="B233" i="17"/>
  <c r="A233" i="17"/>
  <c r="D232" i="17"/>
  <c r="C232" i="17"/>
  <c r="B232" i="17"/>
  <c r="A232" i="17"/>
  <c r="D231" i="17"/>
  <c r="C231" i="17"/>
  <c r="B231" i="17"/>
  <c r="A231" i="17"/>
  <c r="D230" i="17"/>
  <c r="C230" i="17"/>
  <c r="B230" i="17"/>
  <c r="A230" i="17"/>
  <c r="D229" i="17"/>
  <c r="C229" i="17"/>
  <c r="B229" i="17"/>
  <c r="A229" i="17"/>
  <c r="D228" i="17"/>
  <c r="C228" i="17"/>
  <c r="B228" i="17"/>
  <c r="A228" i="17"/>
  <c r="D227" i="17"/>
  <c r="C227" i="17"/>
  <c r="B227" i="17"/>
  <c r="A227" i="17"/>
  <c r="D226" i="17"/>
  <c r="C226" i="17"/>
  <c r="B226" i="17"/>
  <c r="A226" i="17"/>
  <c r="D225" i="17"/>
  <c r="C225" i="17"/>
  <c r="B225" i="17"/>
  <c r="A225" i="17"/>
  <c r="D224" i="17"/>
  <c r="C224" i="17"/>
  <c r="B224" i="17"/>
  <c r="A224" i="17"/>
  <c r="D223" i="17"/>
  <c r="C223" i="17"/>
  <c r="B223" i="17"/>
  <c r="A223" i="17"/>
  <c r="D222" i="17"/>
  <c r="C222" i="17"/>
  <c r="B222" i="17"/>
  <c r="A222" i="17"/>
  <c r="D221" i="17"/>
  <c r="C221" i="17"/>
  <c r="B221" i="17"/>
  <c r="A221" i="17"/>
  <c r="D220" i="17"/>
  <c r="C220" i="17"/>
  <c r="B220" i="17"/>
  <c r="A220" i="17"/>
  <c r="D219" i="17"/>
  <c r="C219" i="17"/>
  <c r="B219" i="17"/>
  <c r="A219" i="17"/>
  <c r="D218" i="17"/>
  <c r="C218" i="17"/>
  <c r="B218" i="17"/>
  <c r="A218" i="17"/>
  <c r="D217" i="17"/>
  <c r="C217" i="17"/>
  <c r="B217" i="17"/>
  <c r="A217" i="17"/>
  <c r="D216" i="17"/>
  <c r="C216" i="17"/>
  <c r="B216" i="17"/>
  <c r="A216" i="17"/>
  <c r="D215" i="17"/>
  <c r="C215" i="17"/>
  <c r="B215" i="17"/>
  <c r="A215" i="17"/>
  <c r="D214" i="17"/>
  <c r="C214" i="17"/>
  <c r="B214" i="17"/>
  <c r="A214" i="17"/>
  <c r="D213" i="17"/>
  <c r="C213" i="17"/>
  <c r="B213" i="17"/>
  <c r="A213" i="17"/>
  <c r="D212" i="17"/>
  <c r="C212" i="17"/>
  <c r="B212" i="17"/>
  <c r="A212" i="17"/>
  <c r="D211" i="17"/>
  <c r="C211" i="17"/>
  <c r="B211" i="17"/>
  <c r="A211" i="17"/>
  <c r="D210" i="17"/>
  <c r="C210" i="17"/>
  <c r="B210" i="17"/>
  <c r="A210" i="17"/>
  <c r="D209" i="17"/>
  <c r="C209" i="17"/>
  <c r="B209" i="17"/>
  <c r="A209" i="17"/>
  <c r="D208" i="17"/>
  <c r="C208" i="17"/>
  <c r="B208" i="17"/>
  <c r="A208" i="17"/>
  <c r="D207" i="17"/>
  <c r="C207" i="17"/>
  <c r="B207" i="17"/>
  <c r="A207" i="17"/>
  <c r="D206" i="17"/>
  <c r="C206" i="17"/>
  <c r="B206" i="17"/>
  <c r="A206" i="17"/>
  <c r="D205" i="17"/>
  <c r="C205" i="17"/>
  <c r="B205" i="17"/>
  <c r="A205" i="17"/>
  <c r="D204" i="17"/>
  <c r="C204" i="17"/>
  <c r="B204" i="17"/>
  <c r="A204" i="17"/>
  <c r="D203" i="17"/>
  <c r="C203" i="17"/>
  <c r="B203" i="17"/>
  <c r="A203" i="17"/>
  <c r="D202" i="17"/>
  <c r="C202" i="17"/>
  <c r="B202" i="17"/>
  <c r="A202" i="17"/>
  <c r="D201" i="17"/>
  <c r="C201" i="17"/>
  <c r="B201" i="17"/>
  <c r="A201" i="17"/>
  <c r="D200" i="17"/>
  <c r="C200" i="17"/>
  <c r="B200" i="17"/>
  <c r="A200" i="17"/>
  <c r="D199" i="17"/>
  <c r="C199" i="17"/>
  <c r="B199" i="17"/>
  <c r="A199" i="17"/>
  <c r="D198" i="17"/>
  <c r="C198" i="17"/>
  <c r="B198" i="17"/>
  <c r="A198" i="17"/>
  <c r="D197" i="17"/>
  <c r="C197" i="17"/>
  <c r="B197" i="17"/>
  <c r="A197" i="17"/>
  <c r="D196" i="17"/>
  <c r="C196" i="17"/>
  <c r="B196" i="17"/>
  <c r="A196" i="17"/>
  <c r="D195" i="17"/>
  <c r="C195" i="17"/>
  <c r="B195" i="17"/>
  <c r="A195" i="17"/>
  <c r="D194" i="17"/>
  <c r="C194" i="17"/>
  <c r="B194" i="17"/>
  <c r="A194" i="17"/>
  <c r="D193" i="17"/>
  <c r="C193" i="17"/>
  <c r="B193" i="17"/>
  <c r="A193" i="17"/>
  <c r="D192" i="17"/>
  <c r="C192" i="17"/>
  <c r="B192" i="17"/>
  <c r="A192" i="17"/>
  <c r="D191" i="17"/>
  <c r="C191" i="17"/>
  <c r="B191" i="17"/>
  <c r="A191" i="17"/>
  <c r="D190" i="17"/>
  <c r="C190" i="17"/>
  <c r="B190" i="17"/>
  <c r="A190" i="17"/>
  <c r="D189" i="17"/>
  <c r="C189" i="17"/>
  <c r="B189" i="17"/>
  <c r="A189" i="17"/>
  <c r="D188" i="17"/>
  <c r="C188" i="17"/>
  <c r="B188" i="17"/>
  <c r="A188" i="17"/>
  <c r="D187" i="17"/>
  <c r="C187" i="17"/>
  <c r="B187" i="17"/>
  <c r="A187" i="17"/>
  <c r="D186" i="17"/>
  <c r="C186" i="17"/>
  <c r="B186" i="17"/>
  <c r="A186" i="17"/>
  <c r="D185" i="17"/>
  <c r="C185" i="17"/>
  <c r="B185" i="17"/>
  <c r="A185" i="17"/>
  <c r="D184" i="17"/>
  <c r="C184" i="17"/>
  <c r="B184" i="17"/>
  <c r="A184" i="17"/>
  <c r="D183" i="17"/>
  <c r="C183" i="17"/>
  <c r="B183" i="17"/>
  <c r="A183" i="17"/>
  <c r="D182" i="17"/>
  <c r="C182" i="17"/>
  <c r="B182" i="17"/>
  <c r="A182" i="17"/>
  <c r="D181" i="17"/>
  <c r="C181" i="17"/>
  <c r="B181" i="17"/>
  <c r="A181" i="17"/>
  <c r="D180" i="17"/>
  <c r="C180" i="17"/>
  <c r="B180" i="17"/>
  <c r="A180" i="17"/>
  <c r="D179" i="17"/>
  <c r="C179" i="17"/>
  <c r="B179" i="17"/>
  <c r="A179" i="17"/>
  <c r="D178" i="17"/>
  <c r="C178" i="17"/>
  <c r="B178" i="17"/>
  <c r="A178" i="17"/>
  <c r="D177" i="17"/>
  <c r="C177" i="17"/>
  <c r="B177" i="17"/>
  <c r="A177" i="17"/>
  <c r="D176" i="17"/>
  <c r="C176" i="17"/>
  <c r="B176" i="17"/>
  <c r="A176" i="17"/>
  <c r="D175" i="17"/>
  <c r="C175" i="17"/>
  <c r="B175" i="17"/>
  <c r="A175" i="17"/>
  <c r="D174" i="17"/>
  <c r="C174" i="17"/>
  <c r="B174" i="17"/>
  <c r="A174" i="17"/>
  <c r="D173" i="17"/>
  <c r="C173" i="17"/>
  <c r="B173" i="17"/>
  <c r="A173" i="17"/>
  <c r="D172" i="17"/>
  <c r="C172" i="17"/>
  <c r="B172" i="17"/>
  <c r="A172" i="17"/>
  <c r="D171" i="17"/>
  <c r="C171" i="17"/>
  <c r="B171" i="17"/>
  <c r="A171" i="17"/>
  <c r="D170" i="17"/>
  <c r="C170" i="17"/>
  <c r="B170" i="17"/>
  <c r="A170" i="17"/>
  <c r="D169" i="17"/>
  <c r="C169" i="17"/>
  <c r="B169" i="17"/>
  <c r="A169" i="17"/>
  <c r="D168" i="17"/>
  <c r="C168" i="17"/>
  <c r="B168" i="17"/>
  <c r="A168" i="17"/>
  <c r="D167" i="17"/>
  <c r="C167" i="17"/>
  <c r="B167" i="17"/>
  <c r="A167" i="17"/>
  <c r="D166" i="17"/>
  <c r="C166" i="17"/>
  <c r="B166" i="17"/>
  <c r="A166" i="17"/>
  <c r="D165" i="17"/>
  <c r="C165" i="17"/>
  <c r="B165" i="17"/>
  <c r="A165" i="17"/>
  <c r="D164" i="17"/>
  <c r="C164" i="17"/>
  <c r="B164" i="17"/>
  <c r="A164" i="17"/>
  <c r="D163" i="17"/>
  <c r="C163" i="17"/>
  <c r="B163" i="17"/>
  <c r="A163" i="17"/>
  <c r="D162" i="17"/>
  <c r="C162" i="17"/>
  <c r="B162" i="17"/>
  <c r="A162" i="17"/>
  <c r="D161" i="17"/>
  <c r="C161" i="17"/>
  <c r="B161" i="17"/>
  <c r="A161" i="17"/>
  <c r="D160" i="17"/>
  <c r="C160" i="17"/>
  <c r="B160" i="17"/>
  <c r="A160" i="17"/>
  <c r="D159" i="17"/>
  <c r="C159" i="17"/>
  <c r="B159" i="17"/>
  <c r="A159" i="17"/>
  <c r="D158" i="17"/>
  <c r="C158" i="17"/>
  <c r="B158" i="17"/>
  <c r="A158" i="17"/>
  <c r="D157" i="17"/>
  <c r="C157" i="17"/>
  <c r="B157" i="17"/>
  <c r="A157" i="17"/>
  <c r="D156" i="17"/>
  <c r="C156" i="17"/>
  <c r="B156" i="17"/>
  <c r="A156" i="17"/>
  <c r="D155" i="17"/>
  <c r="C155" i="17"/>
  <c r="B155" i="17"/>
  <c r="A155" i="17"/>
  <c r="D154" i="17"/>
  <c r="C154" i="17"/>
  <c r="B154" i="17"/>
  <c r="A154" i="17"/>
  <c r="D153" i="17"/>
  <c r="C153" i="17"/>
  <c r="B153" i="17"/>
  <c r="A153" i="17"/>
  <c r="D152" i="17"/>
  <c r="C152" i="17"/>
  <c r="B152" i="17"/>
  <c r="A152" i="17"/>
  <c r="D151" i="17"/>
  <c r="C151" i="17"/>
  <c r="B151" i="17"/>
  <c r="A151" i="17"/>
  <c r="D150" i="17"/>
  <c r="C150" i="17"/>
  <c r="B150" i="17"/>
  <c r="A150" i="17"/>
  <c r="D149" i="17"/>
  <c r="C149" i="17"/>
  <c r="B149" i="17"/>
  <c r="A149" i="17"/>
  <c r="D148" i="17"/>
  <c r="C148" i="17"/>
  <c r="B148" i="17"/>
  <c r="A148" i="17"/>
  <c r="D147" i="17"/>
  <c r="C147" i="17"/>
  <c r="B147" i="17"/>
  <c r="A147" i="17"/>
  <c r="D146" i="17"/>
  <c r="C146" i="17"/>
  <c r="B146" i="17"/>
  <c r="A146" i="17"/>
  <c r="D145" i="17"/>
  <c r="C145" i="17"/>
  <c r="B145" i="17"/>
  <c r="A145" i="17"/>
  <c r="D144" i="17"/>
  <c r="C144" i="17"/>
  <c r="B144" i="17"/>
  <c r="A144" i="17"/>
  <c r="D143" i="17"/>
  <c r="C143" i="17"/>
  <c r="B143" i="17"/>
  <c r="A143" i="17"/>
  <c r="D142" i="17"/>
  <c r="C142" i="17"/>
  <c r="B142" i="17"/>
  <c r="A142" i="17"/>
  <c r="D141" i="17"/>
  <c r="C141" i="17"/>
  <c r="B141" i="17"/>
  <c r="A141" i="17"/>
  <c r="D140" i="17"/>
  <c r="C140" i="17"/>
  <c r="B140" i="17"/>
  <c r="A140" i="17"/>
  <c r="D139" i="17"/>
  <c r="C139" i="17"/>
  <c r="B139" i="17"/>
  <c r="A139" i="17"/>
  <c r="D138" i="17"/>
  <c r="C138" i="17"/>
  <c r="B138" i="17"/>
  <c r="A138" i="17"/>
  <c r="D137" i="17"/>
  <c r="C137" i="17"/>
  <c r="B137" i="17"/>
  <c r="A137" i="17"/>
  <c r="D136" i="17"/>
  <c r="C136" i="17"/>
  <c r="B136" i="17"/>
  <c r="A136" i="17"/>
  <c r="D135" i="17"/>
  <c r="C135" i="17"/>
  <c r="B135" i="17"/>
  <c r="A135" i="17"/>
  <c r="D134" i="17"/>
  <c r="C134" i="17"/>
  <c r="B134" i="17"/>
  <c r="A134" i="17"/>
  <c r="D133" i="17"/>
  <c r="C133" i="17"/>
  <c r="B133" i="17"/>
  <c r="A133" i="17"/>
  <c r="D132" i="17"/>
  <c r="C132" i="17"/>
  <c r="B132" i="17"/>
  <c r="A132" i="17"/>
  <c r="D131" i="17"/>
  <c r="C131" i="17"/>
  <c r="B131" i="17"/>
  <c r="A131" i="17"/>
  <c r="D130" i="17"/>
  <c r="C130" i="17"/>
  <c r="B130" i="17"/>
  <c r="A130" i="17"/>
  <c r="D129" i="17"/>
  <c r="C129" i="17"/>
  <c r="B129" i="17"/>
  <c r="A129" i="17"/>
  <c r="D128" i="17"/>
  <c r="C128" i="17"/>
  <c r="B128" i="17"/>
  <c r="A128" i="17"/>
  <c r="D127" i="17"/>
  <c r="C127" i="17"/>
  <c r="B127" i="17"/>
  <c r="A127" i="17"/>
  <c r="D126" i="17"/>
  <c r="C126" i="17"/>
  <c r="B126" i="17"/>
  <c r="A126" i="17"/>
  <c r="D125" i="17"/>
  <c r="C125" i="17"/>
  <c r="B125" i="17"/>
  <c r="A125" i="17"/>
  <c r="D124" i="17"/>
  <c r="C124" i="17"/>
  <c r="B124" i="17"/>
  <c r="A124" i="17"/>
  <c r="D123" i="17"/>
  <c r="C123" i="17"/>
  <c r="B123" i="17"/>
  <c r="A123" i="17"/>
  <c r="D122" i="17"/>
  <c r="C122" i="17"/>
  <c r="B122" i="17"/>
  <c r="A122" i="17"/>
  <c r="D121" i="17"/>
  <c r="C121" i="17"/>
  <c r="B121" i="17"/>
  <c r="A121" i="17"/>
  <c r="D120" i="17"/>
  <c r="C120" i="17"/>
  <c r="B120" i="17"/>
  <c r="A120" i="17"/>
  <c r="D119" i="17"/>
  <c r="C119" i="17"/>
  <c r="B119" i="17"/>
  <c r="A119" i="17"/>
  <c r="D118" i="17"/>
  <c r="C118" i="17"/>
  <c r="B118" i="17"/>
  <c r="A118" i="17"/>
  <c r="D117" i="17"/>
  <c r="C117" i="17"/>
  <c r="B117" i="17"/>
  <c r="A117" i="17"/>
  <c r="D116" i="17"/>
  <c r="C116" i="17"/>
  <c r="B116" i="17"/>
  <c r="A116" i="17"/>
  <c r="D115" i="17"/>
  <c r="C115" i="17"/>
  <c r="B115" i="17"/>
  <c r="A115" i="17"/>
  <c r="D114" i="17"/>
  <c r="C114" i="17"/>
  <c r="B114" i="17"/>
  <c r="A114" i="17"/>
  <c r="D113" i="17"/>
  <c r="C113" i="17"/>
  <c r="B113" i="17"/>
  <c r="A113" i="17"/>
  <c r="D112" i="17"/>
  <c r="C112" i="17"/>
  <c r="B112" i="17"/>
  <c r="A112" i="17"/>
  <c r="D111" i="17"/>
  <c r="C111" i="17"/>
  <c r="B111" i="17"/>
  <c r="A111" i="17"/>
  <c r="D110" i="17"/>
  <c r="C110" i="17"/>
  <c r="B110" i="17"/>
  <c r="A110" i="17"/>
  <c r="D109" i="17"/>
  <c r="C109" i="17"/>
  <c r="B109" i="17"/>
  <c r="A109" i="17"/>
  <c r="D108" i="17"/>
  <c r="C108" i="17"/>
  <c r="B108" i="17"/>
  <c r="A108" i="17"/>
  <c r="D107" i="17"/>
  <c r="C107" i="17"/>
  <c r="B107" i="17"/>
  <c r="A107" i="17"/>
  <c r="D106" i="17"/>
  <c r="C106" i="17"/>
  <c r="B106" i="17"/>
  <c r="A106" i="17"/>
  <c r="D105" i="17"/>
  <c r="C105" i="17"/>
  <c r="B105" i="17"/>
  <c r="A105" i="17"/>
  <c r="D104" i="17"/>
  <c r="C104" i="17"/>
  <c r="B104" i="17"/>
  <c r="A104" i="17"/>
  <c r="D103" i="17"/>
  <c r="C103" i="17"/>
  <c r="B103" i="17"/>
  <c r="A103" i="17"/>
  <c r="D102" i="17"/>
  <c r="C102" i="17"/>
  <c r="B102" i="17"/>
  <c r="A102" i="17"/>
  <c r="D101" i="17"/>
  <c r="C101" i="17"/>
  <c r="B101" i="17"/>
  <c r="A101" i="17"/>
  <c r="D100" i="17"/>
  <c r="C100" i="17"/>
  <c r="B100" i="17"/>
  <c r="A100" i="17"/>
  <c r="D99" i="17"/>
  <c r="C99" i="17"/>
  <c r="B99" i="17"/>
  <c r="A99" i="17"/>
  <c r="D98" i="17"/>
  <c r="C98" i="17"/>
  <c r="B98" i="17"/>
  <c r="A98" i="17"/>
  <c r="D97" i="17"/>
  <c r="C97" i="17"/>
  <c r="B97" i="17"/>
  <c r="A97" i="17"/>
  <c r="D96" i="17"/>
  <c r="C96" i="17"/>
  <c r="B96" i="17"/>
  <c r="A96" i="17"/>
  <c r="D95" i="17"/>
  <c r="C95" i="17"/>
  <c r="B95" i="17"/>
  <c r="A95" i="17"/>
  <c r="D94" i="17"/>
  <c r="C94" i="17"/>
  <c r="B94" i="17"/>
  <c r="A94" i="17"/>
  <c r="D93" i="17"/>
  <c r="C93" i="17"/>
  <c r="B93" i="17"/>
  <c r="A93" i="17"/>
  <c r="D92" i="17"/>
  <c r="C92" i="17"/>
  <c r="B92" i="17"/>
  <c r="A92" i="17"/>
  <c r="D91" i="17"/>
  <c r="C91" i="17"/>
  <c r="B91" i="17"/>
  <c r="A91" i="17"/>
  <c r="D90" i="17"/>
  <c r="C90" i="17"/>
  <c r="B90" i="17"/>
  <c r="A90" i="17"/>
  <c r="D89" i="17"/>
  <c r="C89" i="17"/>
  <c r="B89" i="17"/>
  <c r="A89" i="17"/>
  <c r="D88" i="17"/>
  <c r="C88" i="17"/>
  <c r="B88" i="17"/>
  <c r="A88" i="17"/>
  <c r="D87" i="17"/>
  <c r="C87" i="17"/>
  <c r="B87" i="17"/>
  <c r="A87" i="17"/>
  <c r="D86" i="17"/>
  <c r="C86" i="17"/>
  <c r="B86" i="17"/>
  <c r="A86" i="17"/>
  <c r="D85" i="17"/>
  <c r="C85" i="17"/>
  <c r="B85" i="17"/>
  <c r="A85" i="17"/>
  <c r="D84" i="17"/>
  <c r="C84" i="17"/>
  <c r="B84" i="17"/>
  <c r="A84" i="17"/>
  <c r="D83" i="17"/>
  <c r="C83" i="17"/>
  <c r="B83" i="17"/>
  <c r="A83" i="17"/>
  <c r="D82" i="17"/>
  <c r="C82" i="17"/>
  <c r="B82" i="17"/>
  <c r="A82" i="17"/>
  <c r="D81" i="17"/>
  <c r="C81" i="17"/>
  <c r="B81" i="17"/>
  <c r="A81" i="17"/>
  <c r="D80" i="17"/>
  <c r="C80" i="17"/>
  <c r="B80" i="17"/>
  <c r="A80" i="17"/>
  <c r="D79" i="17"/>
  <c r="C79" i="17"/>
  <c r="B79" i="17"/>
  <c r="A79" i="17"/>
  <c r="D78" i="17"/>
  <c r="C78" i="17"/>
  <c r="B78" i="17"/>
  <c r="A78" i="17"/>
  <c r="D77" i="17"/>
  <c r="C77" i="17"/>
  <c r="B77" i="17"/>
  <c r="A77" i="17"/>
  <c r="D76" i="17"/>
  <c r="C76" i="17"/>
  <c r="B76" i="17"/>
  <c r="A76" i="17"/>
  <c r="D75" i="17"/>
  <c r="C75" i="17"/>
  <c r="B75" i="17"/>
  <c r="A75" i="17"/>
  <c r="D74" i="17"/>
  <c r="C74" i="17"/>
  <c r="B74" i="17"/>
  <c r="A74" i="17"/>
  <c r="D73" i="17"/>
  <c r="C73" i="17"/>
  <c r="B73" i="17"/>
  <c r="A73" i="17"/>
  <c r="D72" i="17"/>
  <c r="C72" i="17"/>
  <c r="B72" i="17"/>
  <c r="A72" i="17"/>
  <c r="D71" i="17"/>
  <c r="C71" i="17"/>
  <c r="B71" i="17"/>
  <c r="A71" i="17"/>
  <c r="D70" i="17"/>
  <c r="C70" i="17"/>
  <c r="B70" i="17"/>
  <c r="A70" i="17"/>
  <c r="D69" i="17"/>
  <c r="C69" i="17"/>
  <c r="B69" i="17"/>
  <c r="A69" i="17"/>
  <c r="D68" i="17"/>
  <c r="C68" i="17"/>
  <c r="B68" i="17"/>
  <c r="A68" i="17"/>
  <c r="D67" i="17"/>
  <c r="C67" i="17"/>
  <c r="B67" i="17"/>
  <c r="A67" i="17"/>
  <c r="D66" i="17"/>
  <c r="C66" i="17"/>
  <c r="B66" i="17"/>
  <c r="A66" i="17"/>
  <c r="D65" i="17"/>
  <c r="C65" i="17"/>
  <c r="B65" i="17"/>
  <c r="A65" i="17"/>
  <c r="D64" i="17"/>
  <c r="C64" i="17"/>
  <c r="B64" i="17"/>
  <c r="A64" i="17"/>
  <c r="D63" i="17"/>
  <c r="C63" i="17"/>
  <c r="B63" i="17"/>
  <c r="A63" i="17"/>
  <c r="D62" i="17"/>
  <c r="C62" i="17"/>
  <c r="B62" i="17"/>
  <c r="A62" i="17"/>
  <c r="D61" i="17"/>
  <c r="C61" i="17"/>
  <c r="B61" i="17"/>
  <c r="A61" i="17"/>
  <c r="D60" i="17"/>
  <c r="C60" i="17"/>
  <c r="B60" i="17"/>
  <c r="A60" i="17"/>
  <c r="D59" i="17"/>
  <c r="C59" i="17"/>
  <c r="B59" i="17"/>
  <c r="A59" i="17"/>
  <c r="D58" i="17"/>
  <c r="C58" i="17"/>
  <c r="B58" i="17"/>
  <c r="A58" i="17"/>
  <c r="D57" i="17"/>
  <c r="C57" i="17"/>
  <c r="B57" i="17"/>
  <c r="A57" i="17"/>
  <c r="D56" i="17"/>
  <c r="C56" i="17"/>
  <c r="B56" i="17"/>
  <c r="A56" i="17"/>
  <c r="D55" i="17"/>
  <c r="C55" i="17"/>
  <c r="B55" i="17"/>
  <c r="A55" i="17"/>
  <c r="D54" i="17"/>
  <c r="C54" i="17"/>
  <c r="B54" i="17"/>
  <c r="A54" i="17"/>
  <c r="D53" i="17"/>
  <c r="C53" i="17"/>
  <c r="B53" i="17"/>
  <c r="A53" i="17"/>
  <c r="D52" i="17"/>
  <c r="C52" i="17"/>
  <c r="B52" i="17"/>
  <c r="A52" i="17"/>
  <c r="D51" i="17"/>
  <c r="C51" i="17"/>
  <c r="B51" i="17"/>
  <c r="A51" i="17"/>
  <c r="D50" i="17"/>
  <c r="C50" i="17"/>
  <c r="B50" i="17"/>
  <c r="A50" i="17"/>
  <c r="D49" i="17"/>
  <c r="C49" i="17"/>
  <c r="B49" i="17"/>
  <c r="A49" i="17"/>
  <c r="D48" i="17"/>
  <c r="C48" i="17"/>
  <c r="B48" i="17"/>
  <c r="A48" i="17"/>
  <c r="D47" i="17"/>
  <c r="C47" i="17"/>
  <c r="B47" i="17"/>
  <c r="A47" i="17"/>
  <c r="D46" i="17"/>
  <c r="C46" i="17"/>
  <c r="B46" i="17"/>
  <c r="A46" i="17"/>
  <c r="D45" i="17"/>
  <c r="C45" i="17"/>
  <c r="B45" i="17"/>
  <c r="A45" i="17"/>
  <c r="D44" i="17"/>
  <c r="C44" i="17"/>
  <c r="B44" i="17"/>
  <c r="A44" i="17"/>
  <c r="D43" i="17"/>
  <c r="C43" i="17"/>
  <c r="B43" i="17"/>
  <c r="A43" i="17"/>
  <c r="D42" i="17"/>
  <c r="C42" i="17"/>
  <c r="B42" i="17"/>
  <c r="A42" i="17"/>
  <c r="D41" i="17"/>
  <c r="C41" i="17"/>
  <c r="B41" i="17"/>
  <c r="A41" i="17"/>
  <c r="D40" i="17"/>
  <c r="C40" i="17"/>
  <c r="B40" i="17"/>
  <c r="A40" i="17"/>
  <c r="D39" i="17"/>
  <c r="C39" i="17"/>
  <c r="B39" i="17"/>
  <c r="A39" i="17"/>
  <c r="D38" i="17"/>
  <c r="C38" i="17"/>
  <c r="B38" i="17"/>
  <c r="A38" i="17"/>
  <c r="D37" i="17"/>
  <c r="C37" i="17"/>
  <c r="B37" i="17"/>
  <c r="A37" i="17"/>
  <c r="D36" i="17"/>
  <c r="C36" i="17"/>
  <c r="B36" i="17"/>
  <c r="A36" i="17"/>
  <c r="D35" i="17"/>
  <c r="C35" i="17"/>
  <c r="B35" i="17"/>
  <c r="A35" i="17"/>
  <c r="D34" i="17"/>
  <c r="C34" i="17"/>
  <c r="B34" i="17"/>
  <c r="A34" i="17"/>
  <c r="D33" i="17"/>
  <c r="C33" i="17"/>
  <c r="B33" i="17"/>
  <c r="A33" i="17"/>
  <c r="D32" i="17"/>
  <c r="C32" i="17"/>
  <c r="B32" i="17"/>
  <c r="A32" i="17"/>
  <c r="D31" i="17"/>
  <c r="C31" i="17"/>
  <c r="B31" i="17"/>
  <c r="A31" i="17"/>
  <c r="D30" i="17"/>
  <c r="C30" i="17"/>
  <c r="B30" i="17"/>
  <c r="A30" i="17"/>
  <c r="D29" i="17"/>
  <c r="C29" i="17"/>
  <c r="B29" i="17"/>
  <c r="A29" i="17"/>
  <c r="D28" i="17"/>
  <c r="C28" i="17"/>
  <c r="B28" i="17"/>
  <c r="A28" i="17"/>
  <c r="D27" i="17"/>
  <c r="C27" i="17"/>
  <c r="B27" i="17"/>
  <c r="A27" i="17"/>
  <c r="D26" i="17"/>
  <c r="C26" i="17"/>
  <c r="B26" i="17"/>
  <c r="A26" i="17"/>
  <c r="D25" i="17"/>
  <c r="C25" i="17"/>
  <c r="B25" i="17"/>
  <c r="A25" i="17"/>
  <c r="D24" i="17"/>
  <c r="C24" i="17"/>
  <c r="B24" i="17"/>
  <c r="A24" i="17"/>
  <c r="D23" i="17"/>
  <c r="C23" i="17"/>
  <c r="B23" i="17"/>
  <c r="A23" i="17"/>
  <c r="D22" i="17"/>
  <c r="C22" i="17"/>
  <c r="B22" i="17"/>
  <c r="A22" i="17"/>
  <c r="D21" i="17"/>
  <c r="C21" i="17"/>
  <c r="B21" i="17"/>
  <c r="A21" i="17"/>
  <c r="D20" i="17"/>
  <c r="C20" i="17"/>
  <c r="B20" i="17"/>
  <c r="A20" i="17"/>
  <c r="D19" i="17"/>
  <c r="C19" i="17"/>
  <c r="B19" i="17"/>
  <c r="A19" i="17"/>
  <c r="D18" i="17"/>
  <c r="C18" i="17"/>
  <c r="B18" i="17"/>
  <c r="A18" i="17"/>
  <c r="D17" i="17"/>
  <c r="C17" i="17"/>
  <c r="B17" i="17"/>
  <c r="A17" i="17"/>
  <c r="D16" i="17"/>
  <c r="C16" i="17"/>
  <c r="B16" i="17"/>
  <c r="A16" i="17"/>
  <c r="D15" i="17"/>
  <c r="C15" i="17"/>
  <c r="B15" i="17"/>
  <c r="A15" i="17"/>
  <c r="D14" i="17"/>
  <c r="C14" i="17"/>
  <c r="B14" i="17"/>
  <c r="A14" i="17"/>
  <c r="D13" i="17"/>
  <c r="C13" i="17"/>
  <c r="B13" i="17"/>
  <c r="A13" i="17"/>
  <c r="D12" i="17"/>
  <c r="C12" i="17"/>
  <c r="B12" i="17"/>
  <c r="A12" i="17"/>
  <c r="D11" i="17"/>
  <c r="C11" i="17"/>
  <c r="B11" i="17"/>
  <c r="A11" i="17"/>
  <c r="D10" i="17"/>
  <c r="C10" i="17"/>
  <c r="B10" i="17"/>
  <c r="A10" i="17"/>
  <c r="D9" i="17"/>
  <c r="C9" i="17"/>
  <c r="B9" i="17"/>
  <c r="A9" i="17"/>
  <c r="D8" i="17"/>
  <c r="C8" i="17"/>
  <c r="B8" i="17"/>
  <c r="A8" i="17"/>
  <c r="D7" i="17"/>
  <c r="C7" i="17"/>
  <c r="B7" i="17"/>
  <c r="A7" i="17"/>
  <c r="D6" i="17"/>
  <c r="C6" i="17"/>
  <c r="B6" i="17"/>
  <c r="A6" i="17"/>
  <c r="G497" i="19"/>
  <c r="G496" i="19"/>
  <c r="G495" i="19"/>
  <c r="G494" i="19"/>
  <c r="G493" i="19"/>
  <c r="G492" i="19"/>
  <c r="G491" i="19"/>
  <c r="G490" i="19"/>
  <c r="G489" i="19"/>
  <c r="G488" i="19"/>
  <c r="G487" i="19"/>
  <c r="G486" i="19"/>
  <c r="G485" i="19"/>
  <c r="G484" i="19"/>
  <c r="G483" i="19"/>
  <c r="G482" i="19"/>
  <c r="G481" i="19"/>
  <c r="G480" i="19"/>
  <c r="G479" i="19"/>
  <c r="G478" i="19"/>
  <c r="G477" i="19"/>
  <c r="G476" i="19"/>
  <c r="G475" i="19"/>
  <c r="G474" i="19"/>
  <c r="G473" i="19"/>
  <c r="G472" i="19"/>
  <c r="G471" i="19"/>
  <c r="G470" i="19"/>
  <c r="G469" i="19"/>
  <c r="G468" i="19"/>
  <c r="G467" i="19"/>
  <c r="G466" i="19"/>
  <c r="G465" i="19"/>
  <c r="G464" i="19"/>
  <c r="G463" i="19"/>
  <c r="G462" i="19"/>
  <c r="G461" i="19"/>
  <c r="G460" i="19"/>
  <c r="G459" i="19"/>
  <c r="G458" i="19"/>
  <c r="G457" i="19"/>
  <c r="G456" i="19"/>
  <c r="G455" i="19"/>
  <c r="G454" i="19"/>
  <c r="G453" i="19"/>
  <c r="G452" i="19"/>
  <c r="G451" i="19"/>
  <c r="G450" i="19"/>
  <c r="G449" i="19"/>
  <c r="G448" i="19"/>
  <c r="G447" i="19"/>
  <c r="G446" i="19"/>
  <c r="G445" i="19"/>
  <c r="G444" i="19"/>
  <c r="G443" i="19"/>
  <c r="G442" i="19"/>
  <c r="G441" i="19"/>
  <c r="G440" i="19"/>
  <c r="G439" i="19"/>
  <c r="G438" i="19"/>
  <c r="G437" i="19"/>
  <c r="G436" i="19"/>
  <c r="G435" i="19"/>
  <c r="G434" i="19"/>
  <c r="G433" i="19"/>
  <c r="G432" i="19"/>
  <c r="G431" i="19"/>
  <c r="G430" i="19"/>
  <c r="G429" i="19"/>
  <c r="G428" i="19"/>
  <c r="G427" i="19"/>
  <c r="G426" i="19"/>
  <c r="G425" i="19"/>
  <c r="G424" i="19"/>
  <c r="G423" i="19"/>
  <c r="G422" i="19"/>
  <c r="G421" i="19"/>
  <c r="G420" i="19"/>
  <c r="G419" i="19"/>
  <c r="G418" i="19"/>
  <c r="G417" i="19"/>
  <c r="G416" i="19"/>
  <c r="G415" i="19"/>
  <c r="G414" i="19"/>
  <c r="G413" i="19"/>
  <c r="G412" i="19"/>
  <c r="G411" i="19"/>
  <c r="G410" i="19"/>
  <c r="G409" i="19"/>
  <c r="G408" i="19"/>
  <c r="G407" i="19"/>
  <c r="G406" i="19"/>
  <c r="G405" i="19"/>
  <c r="G404" i="19"/>
  <c r="G403" i="19"/>
  <c r="G402" i="19"/>
  <c r="G401" i="19"/>
  <c r="G400" i="19"/>
  <c r="G399" i="19"/>
  <c r="G398" i="19"/>
  <c r="G397" i="19"/>
  <c r="G396" i="19"/>
  <c r="G395" i="19"/>
  <c r="G394" i="19"/>
  <c r="G393" i="19"/>
  <c r="G392" i="19"/>
  <c r="G391" i="19"/>
  <c r="G390" i="19"/>
  <c r="G389" i="19"/>
  <c r="G388" i="19"/>
  <c r="G387" i="19"/>
  <c r="G386" i="19"/>
  <c r="G385" i="19"/>
  <c r="G384" i="19"/>
  <c r="G383" i="19"/>
  <c r="G382" i="19"/>
  <c r="G381" i="19"/>
  <c r="G380" i="19"/>
  <c r="G379" i="19"/>
  <c r="G378" i="19"/>
  <c r="G377" i="19"/>
  <c r="G376" i="19"/>
  <c r="G375" i="19"/>
  <c r="G374" i="19"/>
  <c r="G373" i="19"/>
  <c r="G372" i="19"/>
  <c r="G371" i="19"/>
  <c r="G370" i="19"/>
  <c r="G369" i="19"/>
  <c r="G368" i="19"/>
  <c r="G367" i="19"/>
  <c r="G366" i="19"/>
  <c r="G365" i="19"/>
  <c r="G364" i="19"/>
  <c r="G363" i="19"/>
  <c r="G362" i="19"/>
  <c r="G361" i="19"/>
  <c r="G360" i="19"/>
  <c r="G359" i="19"/>
  <c r="G358" i="19"/>
  <c r="G357" i="19"/>
  <c r="G356" i="19"/>
  <c r="G355" i="19"/>
  <c r="G354" i="19"/>
  <c r="G353" i="19"/>
  <c r="G352" i="19"/>
  <c r="G351" i="19"/>
  <c r="G350" i="19"/>
  <c r="G349" i="19"/>
  <c r="G348" i="19"/>
  <c r="G347" i="19"/>
  <c r="G346" i="19"/>
  <c r="G345" i="19"/>
  <c r="G344" i="19"/>
  <c r="G343" i="19"/>
  <c r="G342" i="19"/>
  <c r="G341" i="19"/>
  <c r="G340" i="19"/>
  <c r="G339" i="19"/>
  <c r="G338" i="19"/>
  <c r="G337" i="19"/>
  <c r="G336" i="19"/>
  <c r="G335" i="19"/>
  <c r="G334" i="19"/>
  <c r="G333" i="19"/>
  <c r="G332" i="19"/>
  <c r="G331" i="19"/>
  <c r="G330" i="19"/>
  <c r="G329" i="19"/>
  <c r="G328" i="19"/>
  <c r="G327" i="19"/>
  <c r="G326" i="19"/>
  <c r="G325" i="19"/>
  <c r="G324" i="19"/>
  <c r="G323" i="19"/>
  <c r="G322" i="19"/>
  <c r="G321" i="19"/>
  <c r="G320" i="19"/>
  <c r="G319" i="19"/>
  <c r="G318" i="19"/>
  <c r="G317" i="19"/>
  <c r="G316" i="19"/>
  <c r="G315" i="19"/>
  <c r="G314" i="19"/>
  <c r="G313" i="19"/>
  <c r="G312" i="19"/>
  <c r="G311" i="19"/>
  <c r="G310" i="19"/>
  <c r="G309" i="19"/>
  <c r="G308" i="19"/>
  <c r="G307" i="19"/>
  <c r="G306" i="19"/>
  <c r="G305" i="19"/>
  <c r="G304" i="19"/>
  <c r="G303" i="19"/>
  <c r="G302" i="19"/>
  <c r="G301" i="19"/>
  <c r="G300" i="19"/>
  <c r="G299" i="19"/>
  <c r="G298" i="19"/>
  <c r="G297" i="19"/>
  <c r="G296" i="19"/>
  <c r="G295" i="19"/>
  <c r="G294" i="19"/>
  <c r="G293" i="19"/>
  <c r="G292" i="19"/>
  <c r="G291" i="19"/>
  <c r="G290" i="19"/>
  <c r="G289" i="19"/>
  <c r="G288" i="19"/>
  <c r="G287" i="19"/>
  <c r="G286" i="19"/>
  <c r="G285" i="19"/>
  <c r="G284" i="19"/>
  <c r="G283" i="19"/>
  <c r="G282" i="19"/>
  <c r="G281" i="19"/>
  <c r="G280" i="19"/>
  <c r="G279" i="19"/>
  <c r="G278" i="19"/>
  <c r="G277" i="19"/>
  <c r="G276" i="19"/>
  <c r="G275" i="19"/>
  <c r="G274" i="19"/>
  <c r="G273" i="19"/>
  <c r="G272" i="19"/>
  <c r="G271" i="19"/>
  <c r="G270" i="19"/>
  <c r="G269" i="19"/>
  <c r="G268" i="19"/>
  <c r="G267" i="19"/>
  <c r="G266" i="19"/>
  <c r="G265" i="19"/>
  <c r="G264" i="19"/>
  <c r="G263" i="19"/>
  <c r="G262" i="19"/>
  <c r="G261" i="19"/>
  <c r="G260" i="19"/>
  <c r="G259" i="19"/>
  <c r="G258" i="19"/>
  <c r="G257" i="19"/>
  <c r="G256" i="19"/>
  <c r="G255" i="19"/>
  <c r="G254" i="19"/>
  <c r="G253" i="19"/>
  <c r="G252" i="19"/>
  <c r="G251" i="19"/>
  <c r="G250" i="19"/>
  <c r="G249" i="19"/>
  <c r="G248" i="19"/>
  <c r="G247" i="19"/>
  <c r="G246" i="19"/>
  <c r="G245" i="19"/>
  <c r="G244" i="19"/>
  <c r="G243" i="19"/>
  <c r="G242" i="19"/>
  <c r="G241" i="19"/>
  <c r="G240" i="19"/>
  <c r="G239" i="19"/>
  <c r="G238" i="19"/>
  <c r="G237" i="19"/>
  <c r="G236" i="19"/>
  <c r="G235" i="19"/>
  <c r="G234" i="19"/>
  <c r="G233" i="19"/>
  <c r="G232" i="19"/>
  <c r="G231" i="19"/>
  <c r="G230" i="19"/>
  <c r="G229" i="19"/>
  <c r="G228" i="19"/>
  <c r="G227" i="19"/>
  <c r="G226" i="19"/>
  <c r="G225" i="19"/>
  <c r="G224" i="19"/>
  <c r="G223" i="19"/>
  <c r="G222" i="19"/>
  <c r="G221" i="19"/>
  <c r="G220" i="19"/>
  <c r="G219" i="19"/>
  <c r="G218" i="19"/>
  <c r="G217" i="19"/>
  <c r="G216" i="19"/>
  <c r="G215" i="19"/>
  <c r="G214" i="19"/>
  <c r="G213" i="19"/>
  <c r="G212" i="19"/>
  <c r="G211" i="19"/>
  <c r="G210" i="19"/>
  <c r="G209" i="19"/>
  <c r="G208" i="19"/>
  <c r="G207" i="19"/>
  <c r="G206" i="19"/>
  <c r="G205" i="19"/>
  <c r="G204" i="19"/>
  <c r="G203" i="19"/>
  <c r="G202" i="19"/>
  <c r="G201" i="19"/>
  <c r="G200" i="19"/>
  <c r="G199" i="19"/>
  <c r="G198" i="19"/>
  <c r="G197" i="19"/>
  <c r="G196" i="19"/>
  <c r="G195" i="19"/>
  <c r="G194" i="19"/>
  <c r="G193" i="19"/>
  <c r="G192" i="19"/>
  <c r="G191" i="19"/>
  <c r="G190" i="19"/>
  <c r="G189" i="19"/>
  <c r="G188" i="19"/>
  <c r="G187" i="19"/>
  <c r="G186" i="19"/>
  <c r="G185" i="19"/>
  <c r="G184" i="19"/>
  <c r="G183" i="19"/>
  <c r="G182" i="19"/>
  <c r="G181" i="19"/>
  <c r="G180" i="19"/>
  <c r="G179" i="19"/>
  <c r="G178" i="19"/>
  <c r="G177" i="19"/>
  <c r="G176" i="19"/>
  <c r="G175" i="19"/>
  <c r="G174" i="19"/>
  <c r="G173" i="19"/>
  <c r="G172" i="19"/>
  <c r="G171" i="19"/>
  <c r="G170" i="19"/>
  <c r="G169" i="19"/>
  <c r="G168" i="19"/>
  <c r="G167" i="19"/>
  <c r="G166" i="19"/>
  <c r="G165" i="19"/>
  <c r="G164" i="19"/>
  <c r="G163" i="19"/>
  <c r="G162" i="19"/>
  <c r="G161" i="19"/>
  <c r="G160" i="19"/>
  <c r="G159" i="19"/>
  <c r="G158" i="19"/>
  <c r="G157" i="19"/>
  <c r="G156" i="19"/>
  <c r="G155" i="19"/>
  <c r="G154" i="19"/>
  <c r="G153" i="19"/>
  <c r="G152" i="19"/>
  <c r="G151" i="19"/>
  <c r="G150" i="19"/>
  <c r="G149" i="19"/>
  <c r="G148" i="19"/>
  <c r="G147" i="19"/>
  <c r="G146" i="19"/>
  <c r="G145" i="19"/>
  <c r="G144" i="19"/>
  <c r="G143" i="19"/>
  <c r="G142" i="19"/>
  <c r="G141" i="19"/>
  <c r="G140" i="19"/>
  <c r="G139" i="19"/>
  <c r="G138" i="19"/>
  <c r="G137" i="19"/>
  <c r="G136" i="19"/>
  <c r="G135" i="19"/>
  <c r="G134" i="19"/>
  <c r="G133" i="19"/>
  <c r="G132" i="19"/>
  <c r="G131" i="19"/>
  <c r="G130" i="19"/>
  <c r="G129" i="19"/>
  <c r="G128" i="19"/>
  <c r="G127" i="19"/>
  <c r="G126" i="19"/>
  <c r="G125" i="19"/>
  <c r="G124" i="19"/>
  <c r="G123" i="19"/>
  <c r="G122" i="19"/>
  <c r="G121" i="19"/>
  <c r="G120" i="19"/>
  <c r="G119" i="19"/>
  <c r="G118" i="19"/>
  <c r="G117" i="19"/>
  <c r="G116" i="19"/>
  <c r="G115" i="19"/>
  <c r="G114" i="19"/>
  <c r="G113" i="19"/>
  <c r="G112" i="19"/>
  <c r="G111" i="19"/>
  <c r="G110" i="19"/>
  <c r="G109" i="19"/>
  <c r="G108" i="19"/>
  <c r="G107" i="19"/>
  <c r="G106" i="19"/>
  <c r="G105" i="19"/>
  <c r="G104" i="19"/>
  <c r="G103" i="19"/>
  <c r="G102" i="19"/>
  <c r="G101" i="19"/>
  <c r="G100" i="19"/>
  <c r="G99" i="19"/>
  <c r="G98" i="19"/>
  <c r="G97" i="19"/>
  <c r="G96" i="19"/>
  <c r="G95" i="19"/>
  <c r="G94" i="19"/>
  <c r="G93" i="19"/>
  <c r="G92" i="19"/>
  <c r="G91" i="19"/>
  <c r="G90" i="19"/>
  <c r="G89" i="19"/>
  <c r="G88" i="19"/>
  <c r="G87" i="19"/>
  <c r="G86" i="19"/>
  <c r="G85" i="19"/>
  <c r="G84" i="19"/>
  <c r="G83" i="19"/>
  <c r="G82" i="19"/>
  <c r="G81" i="19"/>
  <c r="G80" i="19"/>
  <c r="G79" i="19"/>
  <c r="G78" i="19"/>
  <c r="G77" i="19"/>
  <c r="G76" i="19"/>
  <c r="G75" i="19"/>
  <c r="G74" i="19"/>
  <c r="G73" i="19"/>
  <c r="G72" i="19"/>
  <c r="G71" i="19"/>
  <c r="G70" i="19"/>
  <c r="G69" i="19"/>
  <c r="G68" i="19"/>
  <c r="G67" i="19"/>
  <c r="G66" i="19"/>
  <c r="G65" i="19"/>
  <c r="G64" i="19"/>
  <c r="G63" i="19"/>
  <c r="G62" i="19"/>
  <c r="G61" i="19"/>
  <c r="G60" i="19"/>
  <c r="G59" i="19"/>
  <c r="G58" i="19"/>
  <c r="G57" i="19"/>
  <c r="G56" i="19"/>
  <c r="G55" i="19"/>
  <c r="G54" i="19"/>
  <c r="G53" i="19"/>
  <c r="G52" i="19"/>
  <c r="G51" i="19"/>
  <c r="G50" i="19"/>
  <c r="G49" i="19"/>
  <c r="G48" i="19"/>
  <c r="G47" i="19"/>
  <c r="G46" i="19"/>
  <c r="G45" i="19"/>
  <c r="G44" i="19"/>
  <c r="G43" i="19"/>
  <c r="G42" i="19"/>
  <c r="G41" i="19"/>
  <c r="G40" i="19"/>
  <c r="G39" i="19"/>
  <c r="G38" i="19"/>
  <c r="G37" i="19"/>
  <c r="G36" i="19"/>
  <c r="G35" i="19"/>
  <c r="G34" i="19"/>
  <c r="G33" i="19"/>
  <c r="G32" i="19"/>
  <c r="G31" i="19"/>
  <c r="G30" i="19"/>
  <c r="G29" i="19"/>
  <c r="G28" i="19"/>
  <c r="G27" i="19"/>
  <c r="G26" i="19"/>
  <c r="G25" i="19"/>
  <c r="G24" i="19"/>
  <c r="G23" i="19"/>
  <c r="G22" i="19"/>
  <c r="G21" i="19"/>
  <c r="G20" i="19"/>
  <c r="G19" i="19"/>
  <c r="G18" i="19"/>
  <c r="G17" i="19"/>
  <c r="G16" i="19"/>
  <c r="G15" i="19"/>
  <c r="G14" i="19"/>
  <c r="G13" i="19"/>
  <c r="G12" i="19"/>
  <c r="G11" i="19"/>
  <c r="G10" i="19"/>
  <c r="G9" i="19"/>
  <c r="G8" i="19"/>
  <c r="G7" i="19"/>
  <c r="G6" i="19"/>
  <c r="G497" i="18"/>
  <c r="G496" i="18"/>
  <c r="G495" i="18"/>
  <c r="G494" i="18"/>
  <c r="G493" i="18"/>
  <c r="G492" i="18"/>
  <c r="G491" i="18"/>
  <c r="G490" i="18"/>
  <c r="G489" i="18"/>
  <c r="G488" i="18"/>
  <c r="G487" i="18"/>
  <c r="G486" i="18"/>
  <c r="G485" i="18"/>
  <c r="G484" i="18"/>
  <c r="G483" i="18"/>
  <c r="G482" i="18"/>
  <c r="G481" i="18"/>
  <c r="G480" i="18"/>
  <c r="G479" i="18"/>
  <c r="G478" i="18"/>
  <c r="G477" i="18"/>
  <c r="G476" i="18"/>
  <c r="G475" i="18"/>
  <c r="G474" i="18"/>
  <c r="G473" i="18"/>
  <c r="G472" i="18"/>
  <c r="G471" i="18"/>
  <c r="G470" i="18"/>
  <c r="G469" i="18"/>
  <c r="G468" i="18"/>
  <c r="G467" i="18"/>
  <c r="G466" i="18"/>
  <c r="G465" i="18"/>
  <c r="G464" i="18"/>
  <c r="G463" i="18"/>
  <c r="G462" i="18"/>
  <c r="G461" i="18"/>
  <c r="G460" i="18"/>
  <c r="G459" i="18"/>
  <c r="G458" i="18"/>
  <c r="G457" i="18"/>
  <c r="G456" i="18"/>
  <c r="G455" i="18"/>
  <c r="G454" i="18"/>
  <c r="G453" i="18"/>
  <c r="G452" i="18"/>
  <c r="G451" i="18"/>
  <c r="G450" i="18"/>
  <c r="G449" i="18"/>
  <c r="G448" i="18"/>
  <c r="G447" i="18"/>
  <c r="G446" i="18"/>
  <c r="G445" i="18"/>
  <c r="G444" i="18"/>
  <c r="G443" i="18"/>
  <c r="G442" i="18"/>
  <c r="G441" i="18"/>
  <c r="G440" i="18"/>
  <c r="G439" i="18"/>
  <c r="G438" i="18"/>
  <c r="G437" i="18"/>
  <c r="G436" i="18"/>
  <c r="G435" i="18"/>
  <c r="G434" i="18"/>
  <c r="G433" i="18"/>
  <c r="G432" i="18"/>
  <c r="G431" i="18"/>
  <c r="G430" i="18"/>
  <c r="G429" i="18"/>
  <c r="G428" i="18"/>
  <c r="G427" i="18"/>
  <c r="G426" i="18"/>
  <c r="G425" i="18"/>
  <c r="G424" i="18"/>
  <c r="G423" i="18"/>
  <c r="G422" i="18"/>
  <c r="G421" i="18"/>
  <c r="G420" i="18"/>
  <c r="G419" i="18"/>
  <c r="G418" i="18"/>
  <c r="G417" i="18"/>
  <c r="G416" i="18"/>
  <c r="G415" i="18"/>
  <c r="G414" i="18"/>
  <c r="G413" i="18"/>
  <c r="G412" i="18"/>
  <c r="G411" i="18"/>
  <c r="G410" i="18"/>
  <c r="G409" i="18"/>
  <c r="G408" i="18"/>
  <c r="G407" i="18"/>
  <c r="G406" i="18"/>
  <c r="G405" i="18"/>
  <c r="G404" i="18"/>
  <c r="G403" i="18"/>
  <c r="G402" i="18"/>
  <c r="G401" i="18"/>
  <c r="G400" i="18"/>
  <c r="G399" i="18"/>
  <c r="G398" i="18"/>
  <c r="G397" i="18"/>
  <c r="G396" i="18"/>
  <c r="G395" i="18"/>
  <c r="G394" i="18"/>
  <c r="G393" i="18"/>
  <c r="G392" i="18"/>
  <c r="G391" i="18"/>
  <c r="G390" i="18"/>
  <c r="G389" i="18"/>
  <c r="G388" i="18"/>
  <c r="G387" i="18"/>
  <c r="G386" i="18"/>
  <c r="G385" i="18"/>
  <c r="G384" i="18"/>
  <c r="G383" i="18"/>
  <c r="G382" i="18"/>
  <c r="G381" i="18"/>
  <c r="G380" i="18"/>
  <c r="G379" i="18"/>
  <c r="G378" i="18"/>
  <c r="G377" i="18"/>
  <c r="G376" i="18"/>
  <c r="G375" i="18"/>
  <c r="G374" i="18"/>
  <c r="G373" i="18"/>
  <c r="G372" i="18"/>
  <c r="G371" i="18"/>
  <c r="G370" i="18"/>
  <c r="G369" i="18"/>
  <c r="G368" i="18"/>
  <c r="G367" i="18"/>
  <c r="G366" i="18"/>
  <c r="G365" i="18"/>
  <c r="G364" i="18"/>
  <c r="G363" i="18"/>
  <c r="G362" i="18"/>
  <c r="G361" i="18"/>
  <c r="G360" i="18"/>
  <c r="G359" i="18"/>
  <c r="G358" i="18"/>
  <c r="G357" i="18"/>
  <c r="G356" i="18"/>
  <c r="G355" i="18"/>
  <c r="G354" i="18"/>
  <c r="G353" i="18"/>
  <c r="G352" i="18"/>
  <c r="G351" i="18"/>
  <c r="G350" i="18"/>
  <c r="G349" i="18"/>
  <c r="G348" i="18"/>
  <c r="G347" i="18"/>
  <c r="G346" i="18"/>
  <c r="G345" i="18"/>
  <c r="G344" i="18"/>
  <c r="G343" i="18"/>
  <c r="G342" i="18"/>
  <c r="G341" i="18"/>
  <c r="G340" i="18"/>
  <c r="G339" i="18"/>
  <c r="G338" i="18"/>
  <c r="G337" i="18"/>
  <c r="G336" i="18"/>
  <c r="G335" i="18"/>
  <c r="G334" i="18"/>
  <c r="G333" i="18"/>
  <c r="G332" i="18"/>
  <c r="G331" i="18"/>
  <c r="G330" i="18"/>
  <c r="G329" i="18"/>
  <c r="G328" i="18"/>
  <c r="G327" i="18"/>
  <c r="G326" i="18"/>
  <c r="G325" i="18"/>
  <c r="G324" i="18"/>
  <c r="G323" i="18"/>
  <c r="G322" i="18"/>
  <c r="G321" i="18"/>
  <c r="G320" i="18"/>
  <c r="G319" i="18"/>
  <c r="G318" i="18"/>
  <c r="G317" i="18"/>
  <c r="G316" i="18"/>
  <c r="G315" i="18"/>
  <c r="G314" i="18"/>
  <c r="G313" i="18"/>
  <c r="G312" i="18"/>
  <c r="G311" i="18"/>
  <c r="G310" i="18"/>
  <c r="G309" i="18"/>
  <c r="G308" i="18"/>
  <c r="G307" i="18"/>
  <c r="G306" i="18"/>
  <c r="G305" i="18"/>
  <c r="G304" i="18"/>
  <c r="G303" i="18"/>
  <c r="G302" i="18"/>
  <c r="G301" i="18"/>
  <c r="G300" i="18"/>
  <c r="G299" i="18"/>
  <c r="G298" i="18"/>
  <c r="G297" i="18"/>
  <c r="G296" i="18"/>
  <c r="G295" i="18"/>
  <c r="G294" i="18"/>
  <c r="G293" i="18"/>
  <c r="G292" i="18"/>
  <c r="G291" i="18"/>
  <c r="G290" i="18"/>
  <c r="G289" i="18"/>
  <c r="G288" i="18"/>
  <c r="G287" i="18"/>
  <c r="G286" i="18"/>
  <c r="G285" i="18"/>
  <c r="G284" i="18"/>
  <c r="G283" i="18"/>
  <c r="G282" i="18"/>
  <c r="G281" i="18"/>
  <c r="G280" i="18"/>
  <c r="G279" i="18"/>
  <c r="G278" i="18"/>
  <c r="G277" i="18"/>
  <c r="G276" i="18"/>
  <c r="G275" i="18"/>
  <c r="G274" i="18"/>
  <c r="G273" i="18"/>
  <c r="G272" i="18"/>
  <c r="G271" i="18"/>
  <c r="G270" i="18"/>
  <c r="G269" i="18"/>
  <c r="G268" i="18"/>
  <c r="G267" i="18"/>
  <c r="G266" i="18"/>
  <c r="G265" i="18"/>
  <c r="G264" i="18"/>
  <c r="G263" i="18"/>
  <c r="G262" i="18"/>
  <c r="G261" i="18"/>
  <c r="G260" i="18"/>
  <c r="G259" i="18"/>
  <c r="G258" i="18"/>
  <c r="G257" i="18"/>
  <c r="G256" i="18"/>
  <c r="G255" i="18"/>
  <c r="G254" i="18"/>
  <c r="G253" i="18"/>
  <c r="G252" i="18"/>
  <c r="G251" i="18"/>
  <c r="G250" i="18"/>
  <c r="G249" i="18"/>
  <c r="G248" i="18"/>
  <c r="G247" i="18"/>
  <c r="G246" i="18"/>
  <c r="G245" i="18"/>
  <c r="G244" i="18"/>
  <c r="G243" i="18"/>
  <c r="G242" i="18"/>
  <c r="G241" i="18"/>
  <c r="G240" i="18"/>
  <c r="G239" i="18"/>
  <c r="G238" i="18"/>
  <c r="G237" i="18"/>
  <c r="G236" i="18"/>
  <c r="G235" i="18"/>
  <c r="G234" i="18"/>
  <c r="G233" i="18"/>
  <c r="G232" i="18"/>
  <c r="G231" i="18"/>
  <c r="G230" i="18"/>
  <c r="G229" i="18"/>
  <c r="G228" i="18"/>
  <c r="G227" i="18"/>
  <c r="G226" i="18"/>
  <c r="G225" i="18"/>
  <c r="G224" i="18"/>
  <c r="G223" i="18"/>
  <c r="G222" i="18"/>
  <c r="G221" i="18"/>
  <c r="G220" i="18"/>
  <c r="G219" i="18"/>
  <c r="G218" i="18"/>
  <c r="G217" i="18"/>
  <c r="G216" i="18"/>
  <c r="G215" i="18"/>
  <c r="G214" i="18"/>
  <c r="G213" i="18"/>
  <c r="G212" i="18"/>
  <c r="G211" i="18"/>
  <c r="G210" i="18"/>
  <c r="G209" i="18"/>
  <c r="G208" i="18"/>
  <c r="G207" i="18"/>
  <c r="G206" i="18"/>
  <c r="G205" i="18"/>
  <c r="G204" i="18"/>
  <c r="G203" i="18"/>
  <c r="G202" i="18"/>
  <c r="G201" i="18"/>
  <c r="G200" i="18"/>
  <c r="G199" i="18"/>
  <c r="G198" i="18"/>
  <c r="G197" i="18"/>
  <c r="G196" i="18"/>
  <c r="G195" i="18"/>
  <c r="G194" i="18"/>
  <c r="G193" i="18"/>
  <c r="G192" i="18"/>
  <c r="G191" i="18"/>
  <c r="G190" i="18"/>
  <c r="G189" i="18"/>
  <c r="G188" i="18"/>
  <c r="G187" i="18"/>
  <c r="G186" i="18"/>
  <c r="G185" i="18"/>
  <c r="G184" i="18"/>
  <c r="G183" i="18"/>
  <c r="G182" i="18"/>
  <c r="G181" i="18"/>
  <c r="G180" i="18"/>
  <c r="G179" i="18"/>
  <c r="G178" i="18"/>
  <c r="G177" i="18"/>
  <c r="G176" i="18"/>
  <c r="G175" i="18"/>
  <c r="G174" i="18"/>
  <c r="G173" i="18"/>
  <c r="G172" i="18"/>
  <c r="G171" i="18"/>
  <c r="G170" i="18"/>
  <c r="G169" i="18"/>
  <c r="G168" i="18"/>
  <c r="G167" i="18"/>
  <c r="G166" i="18"/>
  <c r="G165" i="18"/>
  <c r="G164" i="18"/>
  <c r="G163" i="18"/>
  <c r="G162" i="18"/>
  <c r="G161" i="18"/>
  <c r="G160" i="18"/>
  <c r="G159" i="18"/>
  <c r="G158" i="18"/>
  <c r="G157" i="18"/>
  <c r="G156" i="18"/>
  <c r="G155" i="18"/>
  <c r="G154" i="18"/>
  <c r="G153" i="18"/>
  <c r="G152" i="18"/>
  <c r="G151" i="18"/>
  <c r="G150" i="18"/>
  <c r="G149" i="18"/>
  <c r="G148" i="18"/>
  <c r="G147" i="18"/>
  <c r="G146" i="18"/>
  <c r="G145" i="18"/>
  <c r="G144" i="18"/>
  <c r="G143" i="18"/>
  <c r="G142" i="18"/>
  <c r="G141" i="18"/>
  <c r="G140" i="18"/>
  <c r="G139" i="18"/>
  <c r="G138" i="18"/>
  <c r="G137" i="18"/>
  <c r="G136" i="18"/>
  <c r="G135" i="18"/>
  <c r="G134" i="18"/>
  <c r="G133" i="18"/>
  <c r="G132" i="18"/>
  <c r="G131" i="18"/>
  <c r="G130" i="18"/>
  <c r="G129" i="18"/>
  <c r="G128" i="18"/>
  <c r="G127" i="18"/>
  <c r="G126" i="18"/>
  <c r="G125" i="18"/>
  <c r="G124" i="18"/>
  <c r="G123" i="18"/>
  <c r="G122" i="18"/>
  <c r="G121" i="18"/>
  <c r="G120" i="18"/>
  <c r="G119" i="18"/>
  <c r="G118" i="18"/>
  <c r="G117" i="18"/>
  <c r="G116" i="18"/>
  <c r="G115" i="18"/>
  <c r="G114" i="18"/>
  <c r="G113" i="18"/>
  <c r="G112" i="18"/>
  <c r="G111" i="18"/>
  <c r="G110" i="18"/>
  <c r="G109" i="18"/>
  <c r="G108" i="18"/>
  <c r="G107" i="18"/>
  <c r="G106" i="18"/>
  <c r="G105" i="18"/>
  <c r="G104" i="18"/>
  <c r="G103" i="18"/>
  <c r="G102" i="18"/>
  <c r="G101" i="18"/>
  <c r="G100" i="18"/>
  <c r="G99" i="18"/>
  <c r="G98" i="18"/>
  <c r="G97" i="18"/>
  <c r="G96" i="18"/>
  <c r="G95" i="18"/>
  <c r="G94" i="18"/>
  <c r="G93" i="18"/>
  <c r="G92" i="18"/>
  <c r="G91" i="18"/>
  <c r="G90" i="18"/>
  <c r="G89" i="18"/>
  <c r="G88" i="18"/>
  <c r="G87" i="18"/>
  <c r="G86" i="18"/>
  <c r="G85" i="18"/>
  <c r="G84" i="18"/>
  <c r="G83" i="18"/>
  <c r="G82" i="18"/>
  <c r="G81" i="18"/>
  <c r="G80" i="18"/>
  <c r="G79" i="18"/>
  <c r="G78" i="18"/>
  <c r="G77" i="18"/>
  <c r="G76" i="18"/>
  <c r="G75" i="18"/>
  <c r="G74" i="18"/>
  <c r="G73" i="18"/>
  <c r="G72" i="18"/>
  <c r="G71" i="18"/>
  <c r="G70" i="18"/>
  <c r="G69" i="18"/>
  <c r="G68" i="18"/>
  <c r="G67" i="18"/>
  <c r="G66" i="18"/>
  <c r="G65" i="18"/>
  <c r="G64" i="18"/>
  <c r="G63" i="18"/>
  <c r="G62" i="18"/>
  <c r="G61" i="18"/>
  <c r="G60" i="18"/>
  <c r="G59" i="18"/>
  <c r="G58" i="18"/>
  <c r="G57" i="18"/>
  <c r="G56" i="18"/>
  <c r="G55" i="18"/>
  <c r="G54" i="18"/>
  <c r="G53" i="18"/>
  <c r="G52" i="18"/>
  <c r="G51" i="18"/>
  <c r="G50" i="18"/>
  <c r="G49" i="18"/>
  <c r="G48" i="18"/>
  <c r="G47" i="18"/>
  <c r="G46" i="18"/>
  <c r="G45" i="18"/>
  <c r="G44" i="18"/>
  <c r="G43" i="18"/>
  <c r="G42" i="18"/>
  <c r="G41" i="18"/>
  <c r="G40" i="18"/>
  <c r="G39" i="18"/>
  <c r="G38" i="18"/>
  <c r="G37" i="18"/>
  <c r="G36" i="18"/>
  <c r="G35" i="18"/>
  <c r="G34" i="18"/>
  <c r="G33" i="18"/>
  <c r="G32" i="18"/>
  <c r="G31" i="18"/>
  <c r="G30" i="18"/>
  <c r="G29" i="18"/>
  <c r="G28" i="18"/>
  <c r="G27" i="18"/>
  <c r="G26" i="18"/>
  <c r="G25" i="18"/>
  <c r="G24" i="18"/>
  <c r="G23" i="18"/>
  <c r="G22" i="18"/>
  <c r="G21" i="18"/>
  <c r="G20" i="18"/>
  <c r="G19" i="18"/>
  <c r="G18" i="18"/>
  <c r="G17" i="18"/>
  <c r="G16" i="18"/>
  <c r="G15" i="18"/>
  <c r="G14" i="18"/>
  <c r="G13" i="18"/>
  <c r="G12" i="18"/>
  <c r="G11" i="18"/>
  <c r="G10" i="18"/>
  <c r="G9" i="18"/>
  <c r="G8" i="18"/>
  <c r="G7" i="18"/>
  <c r="G6" i="18"/>
  <c r="G497" i="17"/>
  <c r="G496" i="17"/>
  <c r="G495" i="17"/>
  <c r="G494" i="17"/>
  <c r="G493" i="17"/>
  <c r="G492" i="17"/>
  <c r="G491" i="17"/>
  <c r="G490" i="17"/>
  <c r="G489" i="17"/>
  <c r="G488" i="17"/>
  <c r="G487" i="17"/>
  <c r="G486" i="17"/>
  <c r="G485" i="17"/>
  <c r="G484" i="17"/>
  <c r="G483" i="17"/>
  <c r="G482" i="17"/>
  <c r="G481" i="17"/>
  <c r="G480" i="17"/>
  <c r="G479" i="17"/>
  <c r="G478" i="17"/>
  <c r="G477" i="17"/>
  <c r="G476" i="17"/>
  <c r="G475" i="17"/>
  <c r="G474" i="17"/>
  <c r="G473" i="17"/>
  <c r="G472" i="17"/>
  <c r="G471" i="17"/>
  <c r="G470" i="17"/>
  <c r="G469" i="17"/>
  <c r="G468" i="17"/>
  <c r="G467" i="17"/>
  <c r="G466" i="17"/>
  <c r="G465" i="17"/>
  <c r="G464" i="17"/>
  <c r="G463" i="17"/>
  <c r="G462" i="17"/>
  <c r="G461" i="17"/>
  <c r="G460" i="17"/>
  <c r="G459" i="17"/>
  <c r="G458" i="17"/>
  <c r="G457" i="17"/>
  <c r="G456" i="17"/>
  <c r="G455" i="17"/>
  <c r="G454" i="17"/>
  <c r="G453" i="17"/>
  <c r="G452" i="17"/>
  <c r="G451" i="17"/>
  <c r="G450" i="17"/>
  <c r="G449" i="17"/>
  <c r="G448" i="17"/>
  <c r="G447" i="17"/>
  <c r="G446" i="17"/>
  <c r="G445" i="17"/>
  <c r="G444" i="17"/>
  <c r="G443" i="17"/>
  <c r="G442" i="17"/>
  <c r="G441" i="17"/>
  <c r="G440" i="17"/>
  <c r="G439" i="17"/>
  <c r="G438" i="17"/>
  <c r="G437" i="17"/>
  <c r="G436" i="17"/>
  <c r="G435" i="17"/>
  <c r="G434" i="17"/>
  <c r="G433" i="17"/>
  <c r="G432" i="17"/>
  <c r="G431" i="17"/>
  <c r="G430" i="17"/>
  <c r="G429" i="17"/>
  <c r="G428" i="17"/>
  <c r="G427" i="17"/>
  <c r="G426" i="17"/>
  <c r="G425" i="17"/>
  <c r="G424" i="17"/>
  <c r="G423" i="17"/>
  <c r="G422" i="17"/>
  <c r="G421" i="17"/>
  <c r="G420" i="17"/>
  <c r="G419" i="17"/>
  <c r="G418" i="17"/>
  <c r="G417" i="17"/>
  <c r="G416" i="17"/>
  <c r="G415" i="17"/>
  <c r="G414" i="17"/>
  <c r="G413" i="17"/>
  <c r="G412" i="17"/>
  <c r="G411" i="17"/>
  <c r="G410" i="17"/>
  <c r="G409" i="17"/>
  <c r="G408" i="17"/>
  <c r="G407" i="17"/>
  <c r="G406" i="17"/>
  <c r="G405" i="17"/>
  <c r="G404" i="17"/>
  <c r="G403" i="17"/>
  <c r="G402" i="17"/>
  <c r="G401" i="17"/>
  <c r="G400" i="17"/>
  <c r="G399" i="17"/>
  <c r="G398" i="17"/>
  <c r="G397" i="17"/>
  <c r="G396" i="17"/>
  <c r="G395" i="17"/>
  <c r="G394" i="17"/>
  <c r="G393" i="17"/>
  <c r="G392" i="17"/>
  <c r="G391" i="17"/>
  <c r="G390" i="17"/>
  <c r="G389" i="17"/>
  <c r="G388" i="17"/>
  <c r="G387" i="17"/>
  <c r="G386" i="17"/>
  <c r="G385" i="17"/>
  <c r="G384" i="17"/>
  <c r="G383" i="17"/>
  <c r="G382" i="17"/>
  <c r="G381" i="17"/>
  <c r="G380" i="17"/>
  <c r="G379" i="17"/>
  <c r="G378" i="17"/>
  <c r="G377" i="17"/>
  <c r="G376" i="17"/>
  <c r="G375" i="17"/>
  <c r="G374" i="17"/>
  <c r="G373" i="17"/>
  <c r="G372" i="17"/>
  <c r="G371" i="17"/>
  <c r="G370" i="17"/>
  <c r="G369" i="17"/>
  <c r="G368" i="17"/>
  <c r="G367" i="17"/>
  <c r="G366" i="17"/>
  <c r="G365" i="17"/>
  <c r="G364" i="17"/>
  <c r="G363" i="17"/>
  <c r="G362" i="17"/>
  <c r="G361" i="17"/>
  <c r="G360" i="17"/>
  <c r="G359" i="17"/>
  <c r="G358" i="17"/>
  <c r="G357" i="17"/>
  <c r="G356" i="17"/>
  <c r="G355" i="17"/>
  <c r="G354" i="17"/>
  <c r="G353" i="17"/>
  <c r="G352" i="17"/>
  <c r="G351" i="17"/>
  <c r="G350" i="17"/>
  <c r="G349" i="17"/>
  <c r="G348" i="17"/>
  <c r="G347" i="17"/>
  <c r="G346" i="17"/>
  <c r="G345" i="17"/>
  <c r="G344" i="17"/>
  <c r="G343" i="17"/>
  <c r="G342" i="17"/>
  <c r="G341" i="17"/>
  <c r="G340" i="17"/>
  <c r="G339" i="17"/>
  <c r="G338" i="17"/>
  <c r="G337" i="17"/>
  <c r="G336" i="17"/>
  <c r="G335" i="17"/>
  <c r="G334" i="17"/>
  <c r="G333" i="17"/>
  <c r="G332" i="17"/>
  <c r="G331" i="17"/>
  <c r="G330" i="17"/>
  <c r="G329" i="17"/>
  <c r="G328" i="17"/>
  <c r="G327" i="17"/>
  <c r="G326" i="17"/>
  <c r="G325" i="17"/>
  <c r="G324" i="17"/>
  <c r="G323" i="17"/>
  <c r="G322" i="17"/>
  <c r="G321" i="17"/>
  <c r="G320" i="17"/>
  <c r="G319" i="17"/>
  <c r="G318" i="17"/>
  <c r="G317" i="17"/>
  <c r="G316" i="17"/>
  <c r="G315" i="17"/>
  <c r="G314" i="17"/>
  <c r="G313" i="17"/>
  <c r="G312" i="17"/>
  <c r="G311" i="17"/>
  <c r="G310" i="17"/>
  <c r="G309" i="17"/>
  <c r="G308" i="17"/>
  <c r="G307" i="17"/>
  <c r="G306" i="17"/>
  <c r="G305" i="17"/>
  <c r="G304" i="17"/>
  <c r="G303" i="17"/>
  <c r="G302" i="17"/>
  <c r="G301" i="17"/>
  <c r="G300" i="17"/>
  <c r="G299" i="17"/>
  <c r="G298" i="17"/>
  <c r="G297" i="17"/>
  <c r="G296" i="17"/>
  <c r="G295" i="17"/>
  <c r="G294" i="17"/>
  <c r="G293" i="17"/>
  <c r="G292" i="17"/>
  <c r="G291" i="17"/>
  <c r="G290" i="17"/>
  <c r="G289" i="17"/>
  <c r="G288" i="17"/>
  <c r="G287" i="17"/>
  <c r="G286" i="17"/>
  <c r="G285" i="17"/>
  <c r="G284" i="17"/>
  <c r="G283" i="17"/>
  <c r="G282" i="17"/>
  <c r="G281" i="17"/>
  <c r="G280" i="17"/>
  <c r="G279" i="17"/>
  <c r="G278" i="17"/>
  <c r="G277" i="17"/>
  <c r="G276" i="17"/>
  <c r="G275" i="17"/>
  <c r="G274" i="17"/>
  <c r="G273" i="17"/>
  <c r="G272" i="17"/>
  <c r="G271" i="17"/>
  <c r="G270" i="17"/>
  <c r="G269" i="17"/>
  <c r="G268" i="17"/>
  <c r="G267" i="17"/>
  <c r="G266" i="17"/>
  <c r="G265" i="17"/>
  <c r="G264" i="17"/>
  <c r="G263" i="17"/>
  <c r="G262" i="17"/>
  <c r="G261" i="17"/>
  <c r="G260" i="17"/>
  <c r="G259" i="17"/>
  <c r="G258" i="17"/>
  <c r="G257" i="17"/>
  <c r="G256" i="17"/>
  <c r="G255" i="17"/>
  <c r="G254" i="17"/>
  <c r="G253" i="17"/>
  <c r="G252" i="17"/>
  <c r="G251" i="17"/>
  <c r="G250" i="17"/>
  <c r="G249" i="17"/>
  <c r="G248" i="17"/>
  <c r="G247" i="17"/>
  <c r="G246" i="17"/>
  <c r="G245" i="17"/>
  <c r="G244" i="17"/>
  <c r="G243" i="17"/>
  <c r="G242" i="17"/>
  <c r="G241" i="17"/>
  <c r="G240" i="17"/>
  <c r="G239" i="17"/>
  <c r="G238" i="17"/>
  <c r="G237" i="17"/>
  <c r="G236" i="17"/>
  <c r="G235" i="17"/>
  <c r="G234" i="17"/>
  <c r="G233" i="17"/>
  <c r="G232" i="17"/>
  <c r="G231" i="17"/>
  <c r="G230" i="17"/>
  <c r="G229" i="17"/>
  <c r="G228" i="17"/>
  <c r="G227" i="17"/>
  <c r="G226" i="17"/>
  <c r="G225" i="17"/>
  <c r="G224" i="17"/>
  <c r="G223" i="17"/>
  <c r="G222" i="17"/>
  <c r="G221" i="17"/>
  <c r="G220" i="17"/>
  <c r="G219" i="17"/>
  <c r="G218" i="17"/>
  <c r="G217" i="17"/>
  <c r="G216" i="17"/>
  <c r="G215" i="17"/>
  <c r="G214" i="17"/>
  <c r="G213" i="17"/>
  <c r="G212" i="17"/>
  <c r="G211" i="17"/>
  <c r="G210" i="17"/>
  <c r="G209" i="17"/>
  <c r="G208" i="17"/>
  <c r="G207" i="17"/>
  <c r="G206" i="17"/>
  <c r="G205" i="17"/>
  <c r="G204" i="17"/>
  <c r="G203" i="17"/>
  <c r="G202" i="17"/>
  <c r="G201" i="17"/>
  <c r="G200" i="17"/>
  <c r="G199" i="17"/>
  <c r="G198" i="17"/>
  <c r="G197" i="17"/>
  <c r="G196" i="17"/>
  <c r="G195" i="17"/>
  <c r="G194" i="17"/>
  <c r="G193" i="17"/>
  <c r="G192" i="17"/>
  <c r="G191" i="17"/>
  <c r="G190" i="17"/>
  <c r="G189" i="17"/>
  <c r="G188" i="17"/>
  <c r="G187" i="17"/>
  <c r="G186" i="17"/>
  <c r="G185" i="17"/>
  <c r="G184" i="17"/>
  <c r="G183" i="17"/>
  <c r="G182" i="17"/>
  <c r="G181" i="17"/>
  <c r="G180" i="17"/>
  <c r="G179" i="17"/>
  <c r="G178" i="17"/>
  <c r="G177" i="17"/>
  <c r="G176" i="17"/>
  <c r="G175" i="17"/>
  <c r="G174" i="17"/>
  <c r="G173" i="17"/>
  <c r="G172" i="17"/>
  <c r="G171" i="17"/>
  <c r="G170" i="17"/>
  <c r="G169" i="17"/>
  <c r="G168" i="17"/>
  <c r="G167" i="17"/>
  <c r="G166" i="17"/>
  <c r="G165" i="17"/>
  <c r="G164" i="17"/>
  <c r="G163" i="17"/>
  <c r="G162" i="17"/>
  <c r="G161" i="17"/>
  <c r="G160" i="17"/>
  <c r="G159" i="17"/>
  <c r="G158" i="17"/>
  <c r="G157" i="17"/>
  <c r="G156" i="17"/>
  <c r="G155" i="17"/>
  <c r="G154" i="17"/>
  <c r="G153" i="17"/>
  <c r="G152" i="17"/>
  <c r="G151" i="17"/>
  <c r="G150" i="17"/>
  <c r="G149" i="17"/>
  <c r="G148" i="17"/>
  <c r="G147" i="17"/>
  <c r="G146" i="17"/>
  <c r="G145" i="17"/>
  <c r="G144" i="17"/>
  <c r="G143" i="17"/>
  <c r="G142" i="17"/>
  <c r="G141" i="17"/>
  <c r="G140" i="17"/>
  <c r="G139" i="17"/>
  <c r="G138" i="17"/>
  <c r="G137" i="17"/>
  <c r="G136" i="17"/>
  <c r="G135" i="17"/>
  <c r="G134" i="17"/>
  <c r="G133" i="17"/>
  <c r="G132" i="17"/>
  <c r="G131" i="17"/>
  <c r="G130" i="17"/>
  <c r="G129" i="17"/>
  <c r="G128" i="17"/>
  <c r="G127" i="17"/>
  <c r="G126" i="17"/>
  <c r="G125" i="17"/>
  <c r="G124" i="17"/>
  <c r="G123" i="17"/>
  <c r="G122" i="17"/>
  <c r="G121" i="17"/>
  <c r="G120" i="17"/>
  <c r="G119" i="17"/>
  <c r="G118" i="17"/>
  <c r="G117" i="17"/>
  <c r="G116" i="17"/>
  <c r="G115" i="17"/>
  <c r="G114" i="17"/>
  <c r="G113" i="17"/>
  <c r="G112" i="17"/>
  <c r="G111" i="17"/>
  <c r="G110" i="17"/>
  <c r="G109" i="17"/>
  <c r="G108" i="17"/>
  <c r="G107" i="17"/>
  <c r="G106" i="17"/>
  <c r="G105" i="17"/>
  <c r="G104" i="17"/>
  <c r="G103" i="17"/>
  <c r="G102" i="17"/>
  <c r="G101" i="17"/>
  <c r="G100" i="17"/>
  <c r="G99" i="17"/>
  <c r="G98" i="17"/>
  <c r="G97" i="17"/>
  <c r="G96" i="17"/>
  <c r="G95" i="17"/>
  <c r="G94" i="17"/>
  <c r="G93" i="17"/>
  <c r="G92" i="17"/>
  <c r="G91" i="17"/>
  <c r="G90" i="17"/>
  <c r="G89" i="17"/>
  <c r="G88" i="17"/>
  <c r="G87" i="17"/>
  <c r="G86" i="17"/>
  <c r="G85" i="17"/>
  <c r="G84" i="17"/>
  <c r="G83" i="17"/>
  <c r="G82" i="17"/>
  <c r="G81" i="17"/>
  <c r="G80" i="17"/>
  <c r="G79" i="17"/>
  <c r="G78" i="17"/>
  <c r="G77" i="17"/>
  <c r="G76" i="17"/>
  <c r="G75" i="17"/>
  <c r="G74" i="17"/>
  <c r="G73" i="17"/>
  <c r="G72" i="17"/>
  <c r="G71" i="17"/>
  <c r="G70" i="17"/>
  <c r="G69" i="17"/>
  <c r="G68" i="17"/>
  <c r="G67" i="17"/>
  <c r="G66" i="17"/>
  <c r="G65" i="17"/>
  <c r="G64" i="17"/>
  <c r="G63" i="17"/>
  <c r="G62" i="17"/>
  <c r="G61" i="17"/>
  <c r="G60" i="17"/>
  <c r="G59" i="17"/>
  <c r="G58" i="17"/>
  <c r="G57" i="17"/>
  <c r="G56" i="17"/>
  <c r="G55" i="17"/>
  <c r="G54" i="17"/>
  <c r="G53" i="17"/>
  <c r="G52" i="17"/>
  <c r="G51" i="17"/>
  <c r="G50" i="17"/>
  <c r="G49" i="17"/>
  <c r="G48" i="17"/>
  <c r="G47" i="17"/>
  <c r="G46" i="17"/>
  <c r="G45" i="17"/>
  <c r="G44" i="17"/>
  <c r="G43" i="17"/>
  <c r="G42" i="17"/>
  <c r="G41" i="17"/>
  <c r="G40" i="17"/>
  <c r="G39" i="17"/>
  <c r="G38" i="17"/>
  <c r="G37" i="17"/>
  <c r="G36" i="17"/>
  <c r="G35" i="17"/>
  <c r="G34" i="17"/>
  <c r="G33" i="17"/>
  <c r="G32" i="17"/>
  <c r="G31" i="17"/>
  <c r="G30" i="17"/>
  <c r="G29" i="17"/>
  <c r="G28" i="17"/>
  <c r="G27" i="17"/>
  <c r="G26" i="17"/>
  <c r="G25" i="17"/>
  <c r="G24" i="17"/>
  <c r="G23" i="17"/>
  <c r="G22" i="17"/>
  <c r="G21" i="17"/>
  <c r="G20" i="17"/>
  <c r="G19" i="17"/>
  <c r="G18" i="17"/>
  <c r="G17" i="17"/>
  <c r="G16" i="17"/>
  <c r="G15" i="17"/>
  <c r="G14" i="17"/>
  <c r="G13" i="17"/>
  <c r="G12" i="17"/>
  <c r="G11" i="17"/>
  <c r="G10" i="17"/>
  <c r="G9" i="17"/>
  <c r="G8" i="17"/>
  <c r="G7" i="17"/>
  <c r="G6" i="17"/>
  <c r="J28" i="4"/>
  <c r="L28" i="4" s="1"/>
  <c r="B4" i="7"/>
  <c r="G15" i="5"/>
  <c r="G13" i="5"/>
  <c r="G16" i="4"/>
  <c r="G14" i="23" s="1"/>
  <c r="J25" i="4"/>
  <c r="D29" i="21" l="1"/>
  <c r="D28" i="21"/>
  <c r="D27" i="21"/>
  <c r="G18" i="4"/>
  <c r="G16" i="23" s="1"/>
  <c r="E19" i="21"/>
  <c r="H61" i="7"/>
  <c r="A64" i="7"/>
  <c r="E85" i="4"/>
  <c r="G14" i="5"/>
  <c r="AH19" i="7"/>
  <c r="AA19" i="7"/>
  <c r="T19" i="7"/>
  <c r="E4" i="7" l="1"/>
  <c r="B9" i="20"/>
  <c r="E21" i="21"/>
  <c r="H62" i="7"/>
  <c r="A65" i="7"/>
  <c r="D31" i="21"/>
  <c r="F11" i="7"/>
  <c r="F15" i="7" s="1"/>
  <c r="C7" i="20" l="1"/>
  <c r="D7" i="20" s="1"/>
  <c r="C6" i="20"/>
  <c r="D6" i="20" s="1"/>
  <c r="C5" i="20"/>
  <c r="D5" i="20" s="1"/>
  <c r="AH21" i="15"/>
  <c r="F18" i="19" s="1"/>
  <c r="AH67" i="15"/>
  <c r="F64" i="19" s="1"/>
  <c r="AH131" i="15"/>
  <c r="F128" i="19" s="1"/>
  <c r="AH33" i="15"/>
  <c r="F30" i="19" s="1"/>
  <c r="AH270" i="15"/>
  <c r="F267" i="19" s="1"/>
  <c r="AH391" i="15"/>
  <c r="F388" i="19" s="1"/>
  <c r="AH489" i="15"/>
  <c r="F486" i="19" s="1"/>
  <c r="AH369" i="15"/>
  <c r="F366" i="19" s="1"/>
  <c r="AH23" i="15"/>
  <c r="F20" i="19" s="1"/>
  <c r="AH116" i="15"/>
  <c r="F113" i="19" s="1"/>
  <c r="AH268" i="15"/>
  <c r="F265" i="19" s="1"/>
  <c r="AH34" i="15"/>
  <c r="F31" i="19" s="1"/>
  <c r="AH98" i="15"/>
  <c r="F95" i="19" s="1"/>
  <c r="AH161" i="15"/>
  <c r="F158" i="19" s="1"/>
  <c r="AH225" i="15"/>
  <c r="F222" i="19" s="1"/>
  <c r="AH298" i="15"/>
  <c r="F295" i="19" s="1"/>
  <c r="AH414" i="15"/>
  <c r="F411" i="19" s="1"/>
  <c r="AH84" i="15"/>
  <c r="F81" i="19" s="1"/>
  <c r="AH198" i="15"/>
  <c r="F195" i="19" s="1"/>
  <c r="AH288" i="15"/>
  <c r="F285" i="19" s="1"/>
  <c r="AH465" i="15"/>
  <c r="F462" i="19" s="1"/>
  <c r="AH128" i="15"/>
  <c r="F125" i="19" s="1"/>
  <c r="AH196" i="15"/>
  <c r="F193" i="19" s="1"/>
  <c r="AH279" i="15"/>
  <c r="F276" i="19" s="1"/>
  <c r="AH440" i="15"/>
  <c r="F437" i="19" s="1"/>
  <c r="AH41" i="15"/>
  <c r="F38" i="19" s="1"/>
  <c r="AH105" i="15"/>
  <c r="F102" i="19" s="1"/>
  <c r="AH175" i="15"/>
  <c r="F172" i="19" s="1"/>
  <c r="AH238" i="15"/>
  <c r="F235" i="19" s="1"/>
  <c r="AH339" i="15"/>
  <c r="F336" i="19" s="1"/>
  <c r="AH493" i="15"/>
  <c r="F490" i="19" s="1"/>
  <c r="AH202" i="15"/>
  <c r="F199" i="19" s="1"/>
  <c r="AH264" i="15"/>
  <c r="F261" i="19" s="1"/>
  <c r="AH327" i="15"/>
  <c r="F324" i="19" s="1"/>
  <c r="AH437" i="15"/>
  <c r="F434" i="19" s="1"/>
  <c r="AH55" i="15"/>
  <c r="F52" i="19" s="1"/>
  <c r="AH353" i="15"/>
  <c r="F350" i="19" s="1"/>
  <c r="AH103" i="15"/>
  <c r="F100" i="19" s="1"/>
  <c r="AH181" i="15"/>
  <c r="F178" i="19" s="1"/>
  <c r="AH24" i="15"/>
  <c r="F21" i="19" s="1"/>
  <c r="AH144" i="15"/>
  <c r="F141" i="19" s="1"/>
  <c r="AH208" i="15"/>
  <c r="F205" i="19" s="1"/>
  <c r="AH277" i="15"/>
  <c r="F274" i="19" s="1"/>
  <c r="AH334" i="15"/>
  <c r="F331" i="19" s="1"/>
  <c r="AH488" i="15"/>
  <c r="F485" i="19" s="1"/>
  <c r="AH135" i="15"/>
  <c r="F132" i="19" s="1"/>
  <c r="AH239" i="15"/>
  <c r="F236" i="19" s="1"/>
  <c r="AH134" i="15"/>
  <c r="F131" i="19" s="1"/>
  <c r="AH195" i="15"/>
  <c r="F192" i="19" s="1"/>
  <c r="AH271" i="15"/>
  <c r="F268" i="19" s="1"/>
  <c r="AH347" i="15"/>
  <c r="F344" i="19" s="1"/>
  <c r="AH423" i="15"/>
  <c r="F420" i="19" s="1"/>
  <c r="AH340" i="15"/>
  <c r="F337" i="19" s="1"/>
  <c r="AH460" i="15"/>
  <c r="F457" i="19" s="1"/>
  <c r="AH395" i="15"/>
  <c r="F392" i="19" s="1"/>
  <c r="AH442" i="15"/>
  <c r="F439" i="19" s="1"/>
  <c r="AH432" i="15"/>
  <c r="F429" i="19" s="1"/>
  <c r="AH422" i="15"/>
  <c r="F419" i="19" s="1"/>
  <c r="AH500" i="15"/>
  <c r="F497" i="19" s="1"/>
  <c r="AH490" i="15"/>
  <c r="F487" i="19" s="1"/>
  <c r="AH480" i="15"/>
  <c r="F477" i="19" s="1"/>
  <c r="AH482" i="15"/>
  <c r="F479" i="19" s="1"/>
  <c r="AH34" i="14"/>
  <c r="F31" i="18" s="1"/>
  <c r="AH111" i="14"/>
  <c r="F108" i="18" s="1"/>
  <c r="AH188" i="14"/>
  <c r="F185" i="18" s="1"/>
  <c r="AH12" i="14"/>
  <c r="F9" i="18" s="1"/>
  <c r="AH72" i="14"/>
  <c r="F69" i="18" s="1"/>
  <c r="AH229" i="14"/>
  <c r="F226" i="18" s="1"/>
  <c r="AH81" i="14"/>
  <c r="F78" i="18" s="1"/>
  <c r="AH167" i="14"/>
  <c r="F164" i="18" s="1"/>
  <c r="AH89" i="14"/>
  <c r="F86" i="18" s="1"/>
  <c r="AH126" i="14"/>
  <c r="F123" i="18" s="1"/>
  <c r="AH87" i="14"/>
  <c r="F84" i="18" s="1"/>
  <c r="AH138" i="14"/>
  <c r="F135" i="18" s="1"/>
  <c r="AH247" i="14"/>
  <c r="F244" i="18" s="1"/>
  <c r="AH106" i="14"/>
  <c r="F103" i="18" s="1"/>
  <c r="AH42" i="14"/>
  <c r="F39" i="18" s="1"/>
  <c r="AH132" i="14"/>
  <c r="F129" i="18" s="1"/>
  <c r="AH14" i="14"/>
  <c r="F11" i="18" s="1"/>
  <c r="AH63" i="14"/>
  <c r="F60" i="18" s="1"/>
  <c r="AH172" i="14"/>
  <c r="F169" i="18" s="1"/>
  <c r="AH22" i="14"/>
  <c r="F19" i="18" s="1"/>
  <c r="AH21" i="14"/>
  <c r="F18" i="18" s="1"/>
  <c r="AH88" i="14"/>
  <c r="F85" i="18" s="1"/>
  <c r="AH207" i="14"/>
  <c r="F204" i="18" s="1"/>
  <c r="AH11" i="15"/>
  <c r="F8" i="19" s="1"/>
  <c r="AH75" i="15"/>
  <c r="F72" i="19" s="1"/>
  <c r="AH228" i="15"/>
  <c r="F225" i="19" s="1"/>
  <c r="AH49" i="15"/>
  <c r="F46" i="19" s="1"/>
  <c r="AH399" i="15"/>
  <c r="F396" i="19" s="1"/>
  <c r="AH393" i="15"/>
  <c r="F390" i="19" s="1"/>
  <c r="AH471" i="15"/>
  <c r="F468" i="19" s="1"/>
  <c r="AH343" i="15"/>
  <c r="F340" i="19" s="1"/>
  <c r="AH44" i="15"/>
  <c r="F41" i="19" s="1"/>
  <c r="AH127" i="15"/>
  <c r="F124" i="19" s="1"/>
  <c r="AH291" i="15"/>
  <c r="F288" i="19" s="1"/>
  <c r="AH45" i="15"/>
  <c r="F42" i="19" s="1"/>
  <c r="AH109" i="15"/>
  <c r="F106" i="19" s="1"/>
  <c r="AH169" i="15"/>
  <c r="F166" i="19" s="1"/>
  <c r="AH247" i="15"/>
  <c r="F244" i="19" s="1"/>
  <c r="AH323" i="15"/>
  <c r="F320" i="19" s="1"/>
  <c r="AH424" i="15"/>
  <c r="F421" i="19" s="1"/>
  <c r="AH100" i="15"/>
  <c r="F97" i="19" s="1"/>
  <c r="AH206" i="15"/>
  <c r="F203" i="19" s="1"/>
  <c r="AH301" i="15"/>
  <c r="F298" i="19" s="1"/>
  <c r="AH16" i="15"/>
  <c r="F13" i="19" s="1"/>
  <c r="AH140" i="15"/>
  <c r="F137" i="19" s="1"/>
  <c r="AH204" i="15"/>
  <c r="F201" i="19" s="1"/>
  <c r="AH282" i="15"/>
  <c r="F279" i="19" s="1"/>
  <c r="AH462" i="15"/>
  <c r="F459" i="19" s="1"/>
  <c r="AH46" i="15"/>
  <c r="F43" i="19" s="1"/>
  <c r="AH110" i="15"/>
  <c r="F107" i="19" s="1"/>
  <c r="AH183" i="15"/>
  <c r="F180" i="19" s="1"/>
  <c r="AH244" i="15"/>
  <c r="F241" i="19" s="1"/>
  <c r="AH342" i="15"/>
  <c r="F339" i="19" s="1"/>
  <c r="AH60" i="15"/>
  <c r="F57" i="19" s="1"/>
  <c r="AH210" i="15"/>
  <c r="F207" i="19" s="1"/>
  <c r="AH273" i="15"/>
  <c r="F270" i="19" s="1"/>
  <c r="AH330" i="15"/>
  <c r="F327" i="19" s="1"/>
  <c r="AH444" i="15"/>
  <c r="F441" i="19" s="1"/>
  <c r="AH154" i="15"/>
  <c r="F151" i="19" s="1"/>
  <c r="AH356" i="15"/>
  <c r="F353" i="19" s="1"/>
  <c r="AH10" i="15"/>
  <c r="F7" i="19" s="1"/>
  <c r="AH197" i="15"/>
  <c r="F194" i="19" s="1"/>
  <c r="AH40" i="15"/>
  <c r="F37" i="19" s="1"/>
  <c r="AH152" i="15"/>
  <c r="F149" i="19" s="1"/>
  <c r="AH216" i="15"/>
  <c r="F213" i="19" s="1"/>
  <c r="AH287" i="15"/>
  <c r="F284" i="19" s="1"/>
  <c r="AH337" i="15"/>
  <c r="F334" i="19" s="1"/>
  <c r="AH71" i="15"/>
  <c r="F68" i="19" s="1"/>
  <c r="AH194" i="15"/>
  <c r="F191" i="19" s="1"/>
  <c r="AH22" i="15"/>
  <c r="F19" i="19" s="1"/>
  <c r="AH139" i="15"/>
  <c r="F136" i="19" s="1"/>
  <c r="AH203" i="15"/>
  <c r="F200" i="19" s="1"/>
  <c r="AH274" i="15"/>
  <c r="F271" i="19" s="1"/>
  <c r="AH357" i="15"/>
  <c r="F354" i="19" s="1"/>
  <c r="AH429" i="15"/>
  <c r="F426" i="19" s="1"/>
  <c r="AH379" i="15"/>
  <c r="F376" i="19" s="1"/>
  <c r="AH486" i="15"/>
  <c r="F483" i="19" s="1"/>
  <c r="AH400" i="15"/>
  <c r="F397" i="19" s="1"/>
  <c r="AH484" i="15"/>
  <c r="F481" i="19" s="1"/>
  <c r="AH458" i="15"/>
  <c r="F455" i="19" s="1"/>
  <c r="AH430" i="15"/>
  <c r="F427" i="19" s="1"/>
  <c r="AH297" i="15"/>
  <c r="F294" i="19" s="1"/>
  <c r="AH281" i="15"/>
  <c r="F278" i="19" s="1"/>
  <c r="AH370" i="15"/>
  <c r="F367" i="19" s="1"/>
  <c r="AH498" i="15"/>
  <c r="F495" i="19" s="1"/>
  <c r="AH47" i="14"/>
  <c r="F44" i="18" s="1"/>
  <c r="AH122" i="14"/>
  <c r="F119" i="18" s="1"/>
  <c r="AH191" i="14"/>
  <c r="F188" i="18" s="1"/>
  <c r="AH25" i="14"/>
  <c r="F22" i="18" s="1"/>
  <c r="AH75" i="14"/>
  <c r="F72" i="18" s="1"/>
  <c r="AH276" i="14"/>
  <c r="F273" i="18" s="1"/>
  <c r="AH92" i="14"/>
  <c r="F89" i="18" s="1"/>
  <c r="AH211" i="14"/>
  <c r="F208" i="18" s="1"/>
  <c r="AH499" i="14"/>
  <c r="F496" i="18" s="1"/>
  <c r="AH73" i="14"/>
  <c r="F70" i="18" s="1"/>
  <c r="AH90" i="14"/>
  <c r="F87" i="18" s="1"/>
  <c r="AH141" i="14"/>
  <c r="F138" i="18" s="1"/>
  <c r="AH250" i="14"/>
  <c r="F247" i="18" s="1"/>
  <c r="AH129" i="14"/>
  <c r="F126" i="18" s="1"/>
  <c r="AH54" i="14"/>
  <c r="F51" i="18" s="1"/>
  <c r="AH161" i="14"/>
  <c r="F158" i="18" s="1"/>
  <c r="AH27" i="14"/>
  <c r="F24" i="18" s="1"/>
  <c r="AH85" i="14"/>
  <c r="F82" i="18" s="1"/>
  <c r="AH193" i="14"/>
  <c r="F190" i="18" s="1"/>
  <c r="AH131" i="14"/>
  <c r="F128" i="18" s="1"/>
  <c r="AH19" i="15"/>
  <c r="F16" i="19" s="1"/>
  <c r="AH83" i="15"/>
  <c r="F80" i="19" s="1"/>
  <c r="AH53" i="15"/>
  <c r="F50" i="19" s="1"/>
  <c r="AH65" i="15"/>
  <c r="F62" i="19" s="1"/>
  <c r="AH37" i="15"/>
  <c r="F34" i="19" s="1"/>
  <c r="AH419" i="15"/>
  <c r="F416" i="19" s="1"/>
  <c r="AH403" i="15"/>
  <c r="F400" i="19" s="1"/>
  <c r="AH457" i="15"/>
  <c r="F454" i="19" s="1"/>
  <c r="AH15" i="15"/>
  <c r="F12" i="19" s="1"/>
  <c r="AH132" i="15"/>
  <c r="F129" i="19" s="1"/>
  <c r="AH311" i="15"/>
  <c r="F308" i="19" s="1"/>
  <c r="AH50" i="15"/>
  <c r="F47" i="19" s="1"/>
  <c r="AH114" i="15"/>
  <c r="F111" i="19" s="1"/>
  <c r="AH177" i="15"/>
  <c r="F174" i="19" s="1"/>
  <c r="AH250" i="15"/>
  <c r="F247" i="19" s="1"/>
  <c r="AH341" i="15"/>
  <c r="F338" i="19" s="1"/>
  <c r="AH436" i="15"/>
  <c r="F433" i="19" s="1"/>
  <c r="AH111" i="15"/>
  <c r="F108" i="19" s="1"/>
  <c r="AH214" i="15"/>
  <c r="F211" i="19" s="1"/>
  <c r="AH314" i="15"/>
  <c r="F311" i="19" s="1"/>
  <c r="AH32" i="15"/>
  <c r="F29" i="19" s="1"/>
  <c r="AH148" i="15"/>
  <c r="F145" i="19" s="1"/>
  <c r="AH212" i="15"/>
  <c r="F209" i="19" s="1"/>
  <c r="AH308" i="15"/>
  <c r="F305" i="19" s="1"/>
  <c r="AH496" i="15"/>
  <c r="F493" i="19" s="1"/>
  <c r="AH57" i="15"/>
  <c r="F54" i="19" s="1"/>
  <c r="AH121" i="15"/>
  <c r="F118" i="19" s="1"/>
  <c r="AH191" i="15"/>
  <c r="F188" i="19" s="1"/>
  <c r="AH248" i="15"/>
  <c r="F245" i="19" s="1"/>
  <c r="AH365" i="15"/>
  <c r="F362" i="19" s="1"/>
  <c r="AH138" i="15"/>
  <c r="F135" i="19" s="1"/>
  <c r="AH218" i="15"/>
  <c r="F215" i="19" s="1"/>
  <c r="AH276" i="15"/>
  <c r="F273" i="19" s="1"/>
  <c r="AH333" i="15"/>
  <c r="F330" i="19" s="1"/>
  <c r="AH453" i="15"/>
  <c r="F450" i="19" s="1"/>
  <c r="AH106" i="15"/>
  <c r="F103" i="19" s="1"/>
  <c r="AH363" i="15"/>
  <c r="F360" i="19" s="1"/>
  <c r="AH58" i="15"/>
  <c r="F55" i="19" s="1"/>
  <c r="AH233" i="15"/>
  <c r="F230" i="19" s="1"/>
  <c r="AH56" i="15"/>
  <c r="F53" i="19" s="1"/>
  <c r="AH160" i="15"/>
  <c r="F157" i="19" s="1"/>
  <c r="AH224" i="15"/>
  <c r="F221" i="19" s="1"/>
  <c r="AH290" i="15"/>
  <c r="F287" i="19" s="1"/>
  <c r="AH350" i="15"/>
  <c r="F347" i="19" s="1"/>
  <c r="AH76" i="15"/>
  <c r="F73" i="19" s="1"/>
  <c r="AH26" i="15"/>
  <c r="F23" i="19" s="1"/>
  <c r="AH38" i="15"/>
  <c r="F35" i="19" s="1"/>
  <c r="AH147" i="15"/>
  <c r="F144" i="19" s="1"/>
  <c r="AH211" i="15"/>
  <c r="F208" i="19" s="1"/>
  <c r="AH284" i="15"/>
  <c r="F281" i="19" s="1"/>
  <c r="AH373" i="15"/>
  <c r="F370" i="19" s="1"/>
  <c r="AH445" i="15"/>
  <c r="F442" i="19" s="1"/>
  <c r="AH384" i="15"/>
  <c r="F381" i="19" s="1"/>
  <c r="AH494" i="15"/>
  <c r="F491" i="19" s="1"/>
  <c r="AH426" i="15"/>
  <c r="F423" i="19" s="1"/>
  <c r="AH492" i="15"/>
  <c r="F489" i="19" s="1"/>
  <c r="AH313" i="15"/>
  <c r="F310" i="19" s="1"/>
  <c r="AH443" i="15"/>
  <c r="F440" i="19" s="1"/>
  <c r="AH362" i="15"/>
  <c r="F359" i="19" s="1"/>
  <c r="AH332" i="15"/>
  <c r="F329" i="19" s="1"/>
  <c r="AH386" i="15"/>
  <c r="F383" i="19" s="1"/>
  <c r="AH19" i="14"/>
  <c r="F16" i="18" s="1"/>
  <c r="AH69" i="14"/>
  <c r="F66" i="18" s="1"/>
  <c r="AH125" i="14"/>
  <c r="F122" i="18" s="1"/>
  <c r="AH204" i="14"/>
  <c r="F201" i="18" s="1"/>
  <c r="AH28" i="14"/>
  <c r="F25" i="18" s="1"/>
  <c r="AH83" i="14"/>
  <c r="F80" i="18" s="1"/>
  <c r="AH308" i="14"/>
  <c r="F305" i="18" s="1"/>
  <c r="AH95" i="14"/>
  <c r="F92" i="18" s="1"/>
  <c r="AH214" i="14"/>
  <c r="F211" i="18" s="1"/>
  <c r="AH120" i="14"/>
  <c r="F117" i="18" s="1"/>
  <c r="AH17" i="14"/>
  <c r="F14" i="18" s="1"/>
  <c r="AH93" i="14"/>
  <c r="F90" i="18" s="1"/>
  <c r="AH144" i="14"/>
  <c r="F141" i="18" s="1"/>
  <c r="AH366" i="14"/>
  <c r="F363" i="18" s="1"/>
  <c r="AH259" i="14"/>
  <c r="F256" i="18" s="1"/>
  <c r="AH62" i="14"/>
  <c r="F59" i="18" s="1"/>
  <c r="AH27" i="15"/>
  <c r="F24" i="19" s="1"/>
  <c r="AH59" i="15"/>
  <c r="F56" i="19" s="1"/>
  <c r="AH123" i="15"/>
  <c r="F120" i="19" s="1"/>
  <c r="AH17" i="15"/>
  <c r="F14" i="19" s="1"/>
  <c r="AH266" i="15"/>
  <c r="F263" i="19" s="1"/>
  <c r="AH243" i="15"/>
  <c r="F240" i="19" s="1"/>
  <c r="AH409" i="15"/>
  <c r="F406" i="19" s="1"/>
  <c r="AH497" i="15"/>
  <c r="F494" i="19" s="1"/>
  <c r="AH455" i="15"/>
  <c r="F452" i="19" s="1"/>
  <c r="AH12" i="15"/>
  <c r="F9" i="19" s="1"/>
  <c r="AH95" i="15"/>
  <c r="F92" i="19" s="1"/>
  <c r="AH262" i="15"/>
  <c r="F259" i="19" s="1"/>
  <c r="AH29" i="15"/>
  <c r="F26" i="19" s="1"/>
  <c r="AH93" i="15"/>
  <c r="F90" i="19" s="1"/>
  <c r="AH153" i="15"/>
  <c r="F150" i="19" s="1"/>
  <c r="AH217" i="15"/>
  <c r="F214" i="19" s="1"/>
  <c r="AH295" i="15"/>
  <c r="F292" i="19" s="1"/>
  <c r="AH408" i="15"/>
  <c r="F405" i="19" s="1"/>
  <c r="AH63" i="15"/>
  <c r="F60" i="19" s="1"/>
  <c r="AH190" i="15"/>
  <c r="F187" i="19" s="1"/>
  <c r="AH278" i="15"/>
  <c r="F275" i="19" s="1"/>
  <c r="AH461" i="15"/>
  <c r="F458" i="19" s="1"/>
  <c r="AH112" i="15"/>
  <c r="F109" i="19" s="1"/>
  <c r="AH188" i="15"/>
  <c r="F185" i="19" s="1"/>
  <c r="AH269" i="15"/>
  <c r="F266" i="19" s="1"/>
  <c r="AH421" i="15"/>
  <c r="F418" i="19" s="1"/>
  <c r="AH30" i="15"/>
  <c r="F27" i="19" s="1"/>
  <c r="AH94" i="15"/>
  <c r="F91" i="19" s="1"/>
  <c r="AH167" i="15"/>
  <c r="F164" i="19" s="1"/>
  <c r="AH235" i="15"/>
  <c r="F232" i="19" s="1"/>
  <c r="AH315" i="15"/>
  <c r="F312" i="19" s="1"/>
  <c r="AH481" i="15"/>
  <c r="F478" i="19" s="1"/>
  <c r="AH186" i="15"/>
  <c r="F183" i="19" s="1"/>
  <c r="AH260" i="15"/>
  <c r="F257" i="19" s="1"/>
  <c r="AH318" i="15"/>
  <c r="F315" i="19" s="1"/>
  <c r="AH431" i="15"/>
  <c r="F428" i="19" s="1"/>
  <c r="AH28" i="15"/>
  <c r="F25" i="19" s="1"/>
  <c r="AH303" i="15"/>
  <c r="F300" i="19" s="1"/>
  <c r="AH39" i="15"/>
  <c r="F36" i="19" s="1"/>
  <c r="AH173" i="15"/>
  <c r="F170" i="19" s="1"/>
  <c r="AH306" i="15"/>
  <c r="F303" i="19" s="1"/>
  <c r="AH136" i="15"/>
  <c r="F133" i="19" s="1"/>
  <c r="AH200" i="15"/>
  <c r="F197" i="19" s="1"/>
  <c r="AH261" i="15"/>
  <c r="F258" i="19" s="1"/>
  <c r="AH328" i="15"/>
  <c r="F325" i="19" s="1"/>
  <c r="AH454" i="15"/>
  <c r="F451" i="19" s="1"/>
  <c r="AH124" i="15"/>
  <c r="F121" i="19" s="1"/>
  <c r="AH221" i="15"/>
  <c r="F218" i="19" s="1"/>
  <c r="AH118" i="15"/>
  <c r="F115" i="19" s="1"/>
  <c r="AH187" i="15"/>
  <c r="F184" i="19" s="1"/>
  <c r="AH265" i="15"/>
  <c r="F262" i="19" s="1"/>
  <c r="AH331" i="15"/>
  <c r="F328" i="19" s="1"/>
  <c r="AH417" i="15"/>
  <c r="F414" i="19" s="1"/>
  <c r="AH305" i="15"/>
  <c r="F302" i="19" s="1"/>
  <c r="AH452" i="15"/>
  <c r="F449" i="19" s="1"/>
  <c r="AH338" i="15"/>
  <c r="F335" i="19" s="1"/>
  <c r="AH416" i="15"/>
  <c r="F413" i="19" s="1"/>
  <c r="AH427" i="15"/>
  <c r="F424" i="19" s="1"/>
  <c r="AH396" i="15"/>
  <c r="F393" i="19" s="1"/>
  <c r="AH477" i="15"/>
  <c r="F474" i="19" s="1"/>
  <c r="AH485" i="15"/>
  <c r="F482" i="19" s="1"/>
  <c r="AH475" i="15"/>
  <c r="F472" i="19" s="1"/>
  <c r="AH466" i="15"/>
  <c r="F463" i="19" s="1"/>
  <c r="AH31" i="14"/>
  <c r="F28" i="18" s="1"/>
  <c r="AH108" i="14"/>
  <c r="F105" i="18" s="1"/>
  <c r="AH185" i="14"/>
  <c r="F182" i="18" s="1"/>
  <c r="AH322" i="14"/>
  <c r="F319" i="18" s="1"/>
  <c r="AH61" i="14"/>
  <c r="F58" i="18" s="1"/>
  <c r="AH201" i="14"/>
  <c r="F198" i="18" s="1"/>
  <c r="AH78" i="14"/>
  <c r="F75" i="18" s="1"/>
  <c r="AH149" i="14"/>
  <c r="F146" i="18" s="1"/>
  <c r="AH493" i="14"/>
  <c r="F490" i="18" s="1"/>
  <c r="AH103" i="14"/>
  <c r="F100" i="18" s="1"/>
  <c r="AH68" i="14"/>
  <c r="F65" i="18" s="1"/>
  <c r="AH127" i="14"/>
  <c r="F124" i="18" s="1"/>
  <c r="AH196" i="14"/>
  <c r="F193" i="18" s="1"/>
  <c r="AH56" i="14"/>
  <c r="F53" i="18" s="1"/>
  <c r="AH35" i="15"/>
  <c r="F32" i="19" s="1"/>
  <c r="AH101" i="15"/>
  <c r="F98" i="19" s="1"/>
  <c r="AH117" i="15"/>
  <c r="F114" i="19" s="1"/>
  <c r="AH425" i="14"/>
  <c r="F422" i="18" s="1"/>
  <c r="AH326" i="15"/>
  <c r="F323" i="19" s="1"/>
  <c r="AH68" i="15"/>
  <c r="F65" i="19" s="1"/>
  <c r="AH13" i="15"/>
  <c r="F10" i="19" s="1"/>
  <c r="AH137" i="15"/>
  <c r="F134" i="19" s="1"/>
  <c r="AH275" i="15"/>
  <c r="F272" i="19" s="1"/>
  <c r="AH20" i="15"/>
  <c r="F17" i="19" s="1"/>
  <c r="AH237" i="15"/>
  <c r="F234" i="19" s="1"/>
  <c r="AH80" i="15"/>
  <c r="F77" i="19" s="1"/>
  <c r="AH241" i="15"/>
  <c r="F238" i="19" s="1"/>
  <c r="AH14" i="15"/>
  <c r="F11" i="19" s="1"/>
  <c r="AH151" i="15"/>
  <c r="F148" i="19" s="1"/>
  <c r="AH296" i="15"/>
  <c r="F293" i="19" s="1"/>
  <c r="AH170" i="15"/>
  <c r="F167" i="19" s="1"/>
  <c r="AH299" i="15"/>
  <c r="F296" i="19" s="1"/>
  <c r="AH478" i="15"/>
  <c r="F475" i="19" s="1"/>
  <c r="AH425" i="15"/>
  <c r="F422" i="19" s="1"/>
  <c r="AH283" i="15"/>
  <c r="F280" i="19" s="1"/>
  <c r="AH184" i="15"/>
  <c r="F181" i="19" s="1"/>
  <c r="AH319" i="15"/>
  <c r="F316" i="19" s="1"/>
  <c r="AH108" i="15"/>
  <c r="F105" i="19" s="1"/>
  <c r="AH86" i="15"/>
  <c r="F83" i="19" s="1"/>
  <c r="AH246" i="15"/>
  <c r="F243" i="19" s="1"/>
  <c r="AH398" i="15"/>
  <c r="F395" i="19" s="1"/>
  <c r="AH410" i="15"/>
  <c r="F407" i="19" s="1"/>
  <c r="AH364" i="15"/>
  <c r="F361" i="19" s="1"/>
  <c r="AH344" i="15"/>
  <c r="F341" i="19" s="1"/>
  <c r="AH459" i="15"/>
  <c r="F456" i="19" s="1"/>
  <c r="AH434" i="15"/>
  <c r="F431" i="19" s="1"/>
  <c r="AH97" i="14"/>
  <c r="F94" i="18" s="1"/>
  <c r="AH272" i="14"/>
  <c r="F269" i="18" s="1"/>
  <c r="AH140" i="14"/>
  <c r="F137" i="18" s="1"/>
  <c r="AH137" i="14"/>
  <c r="F134" i="18" s="1"/>
  <c r="AH32" i="14"/>
  <c r="F29" i="18" s="1"/>
  <c r="AH115" i="14"/>
  <c r="F112" i="18" s="1"/>
  <c r="AH469" i="14"/>
  <c r="F466" i="18" s="1"/>
  <c r="AH76" i="14"/>
  <c r="F73" i="18" s="1"/>
  <c r="AH471" i="14"/>
  <c r="F468" i="18" s="1"/>
  <c r="AH102" i="14"/>
  <c r="F99" i="18" s="1"/>
  <c r="AH455" i="14"/>
  <c r="F452" i="18" s="1"/>
  <c r="AH202" i="14"/>
  <c r="F199" i="18" s="1"/>
  <c r="AH77" i="14"/>
  <c r="F74" i="18" s="1"/>
  <c r="AH238" i="14"/>
  <c r="F235" i="18" s="1"/>
  <c r="AH158" i="14"/>
  <c r="F155" i="18" s="1"/>
  <c r="AH275" i="14"/>
  <c r="F272" i="18" s="1"/>
  <c r="AH405" i="14"/>
  <c r="F402" i="18" s="1"/>
  <c r="AH266" i="14"/>
  <c r="F263" i="18" s="1"/>
  <c r="AH487" i="14"/>
  <c r="F484" i="18" s="1"/>
  <c r="AH345" i="14"/>
  <c r="F342" i="18" s="1"/>
  <c r="AH114" i="14"/>
  <c r="F111" i="18" s="1"/>
  <c r="AH183" i="14"/>
  <c r="F180" i="18" s="1"/>
  <c r="AH239" i="14"/>
  <c r="F236" i="18" s="1"/>
  <c r="AH401" i="14"/>
  <c r="F398" i="18" s="1"/>
  <c r="AH463" i="14"/>
  <c r="F460" i="18" s="1"/>
  <c r="AH64" i="14"/>
  <c r="F61" i="18" s="1"/>
  <c r="AH218" i="14"/>
  <c r="F215" i="18" s="1"/>
  <c r="AH320" i="14"/>
  <c r="F317" i="18" s="1"/>
  <c r="AH319" i="14"/>
  <c r="F316" i="18" s="1"/>
  <c r="AH198" i="14"/>
  <c r="F195" i="18" s="1"/>
  <c r="AH244" i="14"/>
  <c r="F241" i="18" s="1"/>
  <c r="AH407" i="14"/>
  <c r="F404" i="18" s="1"/>
  <c r="AH189" i="14"/>
  <c r="F186" i="18" s="1"/>
  <c r="AH296" i="14"/>
  <c r="F293" i="18" s="1"/>
  <c r="AH412" i="14"/>
  <c r="F409" i="18" s="1"/>
  <c r="AH497" i="14"/>
  <c r="F494" i="18" s="1"/>
  <c r="AH208" i="14"/>
  <c r="F205" i="18" s="1"/>
  <c r="AH314" i="14"/>
  <c r="F311" i="18" s="1"/>
  <c r="AH459" i="14"/>
  <c r="F456" i="18" s="1"/>
  <c r="AH332" i="14"/>
  <c r="F329" i="18" s="1"/>
  <c r="AH397" i="14"/>
  <c r="F394" i="18" s="1"/>
  <c r="AH281" i="14"/>
  <c r="F278" i="18" s="1"/>
  <c r="AH43" i="15"/>
  <c r="F40" i="19" s="1"/>
  <c r="AH133" i="15"/>
  <c r="F130" i="19" s="1"/>
  <c r="AH31" i="15"/>
  <c r="F28" i="19" s="1"/>
  <c r="AH433" i="15"/>
  <c r="F430" i="19" s="1"/>
  <c r="AH473" i="15"/>
  <c r="F470" i="19" s="1"/>
  <c r="AH79" i="15"/>
  <c r="F76" i="19" s="1"/>
  <c r="AH18" i="15"/>
  <c r="F15" i="19" s="1"/>
  <c r="AH145" i="15"/>
  <c r="F142" i="19" s="1"/>
  <c r="AH285" i="15"/>
  <c r="F282" i="19" s="1"/>
  <c r="AH47" i="15"/>
  <c r="F44" i="19" s="1"/>
  <c r="AH259" i="15"/>
  <c r="F256" i="19" s="1"/>
  <c r="AH96" i="15"/>
  <c r="F93" i="19" s="1"/>
  <c r="AH263" i="15"/>
  <c r="F260" i="19" s="1"/>
  <c r="AH25" i="15"/>
  <c r="F22" i="19" s="1"/>
  <c r="AH159" i="15"/>
  <c r="F156" i="19" s="1"/>
  <c r="AH302" i="15"/>
  <c r="F299" i="19" s="1"/>
  <c r="AH178" i="15"/>
  <c r="F175" i="19" s="1"/>
  <c r="AH309" i="15"/>
  <c r="F306" i="19" s="1"/>
  <c r="AH487" i="15"/>
  <c r="F484" i="19" s="1"/>
  <c r="AH491" i="15"/>
  <c r="F488" i="19" s="1"/>
  <c r="AH293" i="15"/>
  <c r="F290" i="19" s="1"/>
  <c r="AH192" i="15"/>
  <c r="F189" i="19" s="1"/>
  <c r="AH322" i="15"/>
  <c r="F319" i="19" s="1"/>
  <c r="AH119" i="15"/>
  <c r="F116" i="19" s="1"/>
  <c r="AH102" i="15"/>
  <c r="F99" i="19" s="1"/>
  <c r="AH252" i="15"/>
  <c r="F249" i="19" s="1"/>
  <c r="AH407" i="15"/>
  <c r="F404" i="19" s="1"/>
  <c r="AH413" i="15"/>
  <c r="F410" i="19" s="1"/>
  <c r="AH411" i="15"/>
  <c r="F408" i="19" s="1"/>
  <c r="AH388" i="15"/>
  <c r="F385" i="19" s="1"/>
  <c r="AH464" i="15"/>
  <c r="F461" i="19" s="1"/>
  <c r="AH450" i="15"/>
  <c r="F447" i="19" s="1"/>
  <c r="AH105" i="14"/>
  <c r="F102" i="18" s="1"/>
  <c r="AH290" i="14"/>
  <c r="F287" i="18" s="1"/>
  <c r="AH170" i="14"/>
  <c r="F167" i="18" s="1"/>
  <c r="AH146" i="14"/>
  <c r="F143" i="18" s="1"/>
  <c r="AH67" i="14"/>
  <c r="F64" i="18" s="1"/>
  <c r="AH121" i="14"/>
  <c r="F118" i="18" s="1"/>
  <c r="AH45" i="14"/>
  <c r="F42" i="18" s="1"/>
  <c r="AH79" i="14"/>
  <c r="F76" i="18" s="1"/>
  <c r="AH11" i="14"/>
  <c r="F8" i="18" s="1"/>
  <c r="AH110" i="14"/>
  <c r="F107" i="18" s="1"/>
  <c r="AH458" i="14"/>
  <c r="F455" i="18" s="1"/>
  <c r="AH10" i="14"/>
  <c r="F7" i="18" s="1"/>
  <c r="AH91" i="14"/>
  <c r="F88" i="18" s="1"/>
  <c r="AH341" i="14"/>
  <c r="F338" i="18" s="1"/>
  <c r="AH178" i="14"/>
  <c r="F175" i="18" s="1"/>
  <c r="AH289" i="14"/>
  <c r="F286" i="18" s="1"/>
  <c r="AH445" i="14"/>
  <c r="F442" i="18" s="1"/>
  <c r="AH279" i="14"/>
  <c r="F276" i="18" s="1"/>
  <c r="AH339" i="14"/>
  <c r="F336" i="18" s="1"/>
  <c r="AH419" i="14"/>
  <c r="F416" i="18" s="1"/>
  <c r="AH130" i="14"/>
  <c r="F127" i="18" s="1"/>
  <c r="AH203" i="14"/>
  <c r="F200" i="18" s="1"/>
  <c r="AH248" i="14"/>
  <c r="F245" i="18" s="1"/>
  <c r="AH413" i="14"/>
  <c r="F410" i="18" s="1"/>
  <c r="AH429" i="14"/>
  <c r="F426" i="18" s="1"/>
  <c r="AH80" i="14"/>
  <c r="F77" i="18" s="1"/>
  <c r="AH224" i="14"/>
  <c r="F221" i="18" s="1"/>
  <c r="AH355" i="14"/>
  <c r="F352" i="18" s="1"/>
  <c r="AH336" i="14"/>
  <c r="F333" i="18" s="1"/>
  <c r="AH228" i="14"/>
  <c r="F225" i="18" s="1"/>
  <c r="AH255" i="14"/>
  <c r="F252" i="18" s="1"/>
  <c r="AH416" i="14"/>
  <c r="F413" i="18" s="1"/>
  <c r="AH197" i="14"/>
  <c r="F194" i="18" s="1"/>
  <c r="AH300" i="14"/>
  <c r="F297" i="18" s="1"/>
  <c r="AH421" i="14"/>
  <c r="F418" i="18" s="1"/>
  <c r="AH150" i="14"/>
  <c r="F147" i="18" s="1"/>
  <c r="AH216" i="14"/>
  <c r="F213" i="18" s="1"/>
  <c r="AH321" i="14"/>
  <c r="F318" i="18" s="1"/>
  <c r="AH227" i="14"/>
  <c r="F224" i="18" s="1"/>
  <c r="AH340" i="14"/>
  <c r="F337" i="18" s="1"/>
  <c r="AH403" i="14"/>
  <c r="F400" i="18" s="1"/>
  <c r="AH299" i="14"/>
  <c r="F296" i="18" s="1"/>
  <c r="AH474" i="14"/>
  <c r="F471" i="18" s="1"/>
  <c r="AH329" i="14"/>
  <c r="F326" i="18" s="1"/>
  <c r="AH426" i="14"/>
  <c r="F423" i="18" s="1"/>
  <c r="AH269" i="14"/>
  <c r="F266" i="18" s="1"/>
  <c r="AH368" i="14"/>
  <c r="F365" i="18" s="1"/>
  <c r="AH460" i="14"/>
  <c r="F457" i="18" s="1"/>
  <c r="AH402" i="14"/>
  <c r="F399" i="18" s="1"/>
  <c r="AH488" i="14"/>
  <c r="F485" i="18" s="1"/>
  <c r="AH440" i="14"/>
  <c r="F437" i="18" s="1"/>
  <c r="AH468" i="14"/>
  <c r="F465" i="18" s="1"/>
  <c r="AH68" i="13"/>
  <c r="F65" i="17" s="1"/>
  <c r="AH51" i="15"/>
  <c r="F48" i="19" s="1"/>
  <c r="AH227" i="15"/>
  <c r="F224" i="19" s="1"/>
  <c r="AH236" i="15"/>
  <c r="F233" i="19" s="1"/>
  <c r="AH401" i="15"/>
  <c r="F398" i="19" s="1"/>
  <c r="AH355" i="15"/>
  <c r="F352" i="19" s="1"/>
  <c r="AH158" i="15"/>
  <c r="F155" i="19" s="1"/>
  <c r="AH61" i="15"/>
  <c r="F58" i="19" s="1"/>
  <c r="AH185" i="15"/>
  <c r="F182" i="19" s="1"/>
  <c r="AH351" i="15"/>
  <c r="F348" i="19" s="1"/>
  <c r="AH142" i="15"/>
  <c r="F139" i="19" s="1"/>
  <c r="AH320" i="15"/>
  <c r="F317" i="19" s="1"/>
  <c r="AH156" i="15"/>
  <c r="F153" i="19" s="1"/>
  <c r="AH312" i="15"/>
  <c r="F309" i="19" s="1"/>
  <c r="AH62" i="15"/>
  <c r="F59" i="19" s="1"/>
  <c r="AH199" i="15"/>
  <c r="F196" i="19" s="1"/>
  <c r="AH375" i="15"/>
  <c r="F372" i="19" s="1"/>
  <c r="AH226" i="15"/>
  <c r="F223" i="19" s="1"/>
  <c r="AH349" i="15"/>
  <c r="F346" i="19" s="1"/>
  <c r="AH141" i="15"/>
  <c r="F138" i="19" s="1"/>
  <c r="AH74" i="15"/>
  <c r="F71" i="19" s="1"/>
  <c r="AH72" i="15"/>
  <c r="F69" i="19" s="1"/>
  <c r="AH230" i="15"/>
  <c r="F227" i="19" s="1"/>
  <c r="AH360" i="15"/>
  <c r="F357" i="19" s="1"/>
  <c r="AH42" i="15"/>
  <c r="F39" i="19" s="1"/>
  <c r="AH155" i="15"/>
  <c r="F152" i="19" s="1"/>
  <c r="AH294" i="15"/>
  <c r="F291" i="19" s="1"/>
  <c r="AH467" i="15"/>
  <c r="F464" i="19" s="1"/>
  <c r="AH321" i="15"/>
  <c r="F318" i="19" s="1"/>
  <c r="AH346" i="15"/>
  <c r="F343" i="19" s="1"/>
  <c r="AH448" i="15"/>
  <c r="F445" i="19" s="1"/>
  <c r="AH352" i="15"/>
  <c r="F349" i="19" s="1"/>
  <c r="AH13" i="14"/>
  <c r="F10" i="18" s="1"/>
  <c r="AH145" i="14"/>
  <c r="F142" i="18" s="1"/>
  <c r="AH41" i="14"/>
  <c r="F38" i="18" s="1"/>
  <c r="AH380" i="14"/>
  <c r="F377" i="18" s="1"/>
  <c r="AH217" i="14"/>
  <c r="F214" i="18" s="1"/>
  <c r="AH20" i="14"/>
  <c r="F17" i="18" s="1"/>
  <c r="AH147" i="14"/>
  <c r="F144" i="18" s="1"/>
  <c r="AH381" i="14"/>
  <c r="F378" i="18" s="1"/>
  <c r="AH101" i="14"/>
  <c r="F98" i="18" s="1"/>
  <c r="AH30" i="14"/>
  <c r="F27" i="18" s="1"/>
  <c r="AH113" i="14"/>
  <c r="F110" i="18" s="1"/>
  <c r="AH461" i="14"/>
  <c r="F458" i="18" s="1"/>
  <c r="AH24" i="14"/>
  <c r="F21" i="18" s="1"/>
  <c r="AH99" i="14"/>
  <c r="F96" i="18" s="1"/>
  <c r="AH357" i="14"/>
  <c r="F354" i="18" s="1"/>
  <c r="AH210" i="14"/>
  <c r="F207" i="18" s="1"/>
  <c r="AH356" i="14"/>
  <c r="F353" i="18" s="1"/>
  <c r="AH143" i="14"/>
  <c r="F140" i="18" s="1"/>
  <c r="AH350" i="14"/>
  <c r="F347" i="18" s="1"/>
  <c r="AH194" i="14"/>
  <c r="F191" i="18" s="1"/>
  <c r="AH467" i="14"/>
  <c r="F464" i="18" s="1"/>
  <c r="AH154" i="14"/>
  <c r="F151" i="18" s="1"/>
  <c r="AH206" i="14"/>
  <c r="F203" i="18" s="1"/>
  <c r="AH251" i="14"/>
  <c r="F248" i="18" s="1"/>
  <c r="AH444" i="14"/>
  <c r="F441" i="18" s="1"/>
  <c r="AH280" i="14"/>
  <c r="F277" i="18" s="1"/>
  <c r="AH96" i="14"/>
  <c r="F93" i="18" s="1"/>
  <c r="AH236" i="14"/>
  <c r="F233" i="18" s="1"/>
  <c r="AH383" i="14"/>
  <c r="F380" i="18" s="1"/>
  <c r="AH348" i="14"/>
  <c r="F345" i="18" s="1"/>
  <c r="AH268" i="14"/>
  <c r="F265" i="18" s="1"/>
  <c r="AH271" i="14"/>
  <c r="F268" i="18" s="1"/>
  <c r="AH422" i="14"/>
  <c r="F419" i="18" s="1"/>
  <c r="AH205" i="14"/>
  <c r="F202" i="18" s="1"/>
  <c r="AH303" i="14"/>
  <c r="F300" i="18" s="1"/>
  <c r="AH430" i="14"/>
  <c r="F427" i="18" s="1"/>
  <c r="AH160" i="14"/>
  <c r="F157" i="18" s="1"/>
  <c r="AH235" i="14"/>
  <c r="F232" i="18" s="1"/>
  <c r="AH337" i="14"/>
  <c r="F334" i="18" s="1"/>
  <c r="AH249" i="14"/>
  <c r="F246" i="18" s="1"/>
  <c r="AH343" i="14"/>
  <c r="F340" i="18" s="1"/>
  <c r="AH427" i="14"/>
  <c r="F424" i="18" s="1"/>
  <c r="AH315" i="14"/>
  <c r="F312" i="18" s="1"/>
  <c r="AH485" i="14"/>
  <c r="F482" i="18" s="1"/>
  <c r="AH351" i="14"/>
  <c r="F348" i="18" s="1"/>
  <c r="AH454" i="14"/>
  <c r="F451" i="18" s="1"/>
  <c r="AH277" i="14"/>
  <c r="F274" i="18" s="1"/>
  <c r="AH379" i="14"/>
  <c r="F376" i="18" s="1"/>
  <c r="AH481" i="14"/>
  <c r="F478" i="18" s="1"/>
  <c r="AH410" i="14"/>
  <c r="F407" i="18" s="1"/>
  <c r="AH496" i="14"/>
  <c r="F493" i="18" s="1"/>
  <c r="AH456" i="14"/>
  <c r="F453" i="18" s="1"/>
  <c r="AH85" i="15"/>
  <c r="F82" i="19" s="1"/>
  <c r="AH69" i="15"/>
  <c r="F66" i="19" s="1"/>
  <c r="AH361" i="15"/>
  <c r="F358" i="19" s="1"/>
  <c r="AH52" i="15"/>
  <c r="F49" i="19" s="1"/>
  <c r="AH495" i="15"/>
  <c r="F492" i="19" s="1"/>
  <c r="AH130" i="15"/>
  <c r="F127" i="19" s="1"/>
  <c r="AH272" i="15"/>
  <c r="F269" i="19" s="1"/>
  <c r="AH449" i="15"/>
  <c r="F446" i="19" s="1"/>
  <c r="AH231" i="15"/>
  <c r="F228" i="19" s="1"/>
  <c r="AH64" i="15"/>
  <c r="F61" i="19" s="1"/>
  <c r="AH232" i="15"/>
  <c r="F229" i="19" s="1"/>
  <c r="AH9" i="15"/>
  <c r="F6" i="19" s="1"/>
  <c r="AH143" i="15"/>
  <c r="F140" i="19" s="1"/>
  <c r="AH292" i="15"/>
  <c r="F289" i="19" s="1"/>
  <c r="AH162" i="15"/>
  <c r="F159" i="19" s="1"/>
  <c r="AH286" i="15"/>
  <c r="F283" i="19" s="1"/>
  <c r="AH472" i="15"/>
  <c r="F469" i="19" s="1"/>
  <c r="AH382" i="15"/>
  <c r="F379" i="19" s="1"/>
  <c r="AH267" i="15"/>
  <c r="F264" i="19" s="1"/>
  <c r="AH176" i="15"/>
  <c r="F173" i="19" s="1"/>
  <c r="AH310" i="15"/>
  <c r="F307" i="19" s="1"/>
  <c r="AH92" i="15"/>
  <c r="F89" i="19" s="1"/>
  <c r="AH70" i="15"/>
  <c r="F67" i="19" s="1"/>
  <c r="AH240" i="15"/>
  <c r="F237" i="19" s="1"/>
  <c r="AH389" i="15"/>
  <c r="F386" i="19" s="1"/>
  <c r="AH405" i="15"/>
  <c r="F402" i="19" s="1"/>
  <c r="AH476" i="15"/>
  <c r="F473" i="19" s="1"/>
  <c r="AH336" i="15"/>
  <c r="F333" i="19" s="1"/>
  <c r="AH412" i="15"/>
  <c r="F409" i="19" s="1"/>
  <c r="AH418" i="15"/>
  <c r="F415" i="19" s="1"/>
  <c r="AH94" i="14"/>
  <c r="F91" i="18" s="1"/>
  <c r="AH242" i="14"/>
  <c r="F239" i="18" s="1"/>
  <c r="AH134" i="14"/>
  <c r="F131" i="18" s="1"/>
  <c r="AH123" i="14"/>
  <c r="F120" i="18" s="1"/>
  <c r="AH16" i="14"/>
  <c r="F13" i="18" s="1"/>
  <c r="AH107" i="14"/>
  <c r="F104" i="18" s="1"/>
  <c r="AH372" i="14"/>
  <c r="F369" i="18" s="1"/>
  <c r="AH65" i="14"/>
  <c r="F62" i="18" s="1"/>
  <c r="AH378" i="14"/>
  <c r="F375" i="18" s="1"/>
  <c r="AH60" i="14"/>
  <c r="F57" i="18" s="1"/>
  <c r="AH241" i="14"/>
  <c r="F238" i="18" s="1"/>
  <c r="AH109" i="14"/>
  <c r="F106" i="18" s="1"/>
  <c r="AH74" i="14"/>
  <c r="F71" i="18" s="1"/>
  <c r="AH169" i="14"/>
  <c r="F166" i="18" s="1"/>
  <c r="AH155" i="14"/>
  <c r="F152" i="18" s="1"/>
  <c r="AH262" i="14"/>
  <c r="F259" i="18" s="1"/>
  <c r="AH389" i="14"/>
  <c r="F386" i="18" s="1"/>
  <c r="AH222" i="14"/>
  <c r="F219" i="18" s="1"/>
  <c r="AH473" i="14"/>
  <c r="F470" i="18" s="1"/>
  <c r="AH330" i="14"/>
  <c r="F327" i="18" s="1"/>
  <c r="AH91" i="15"/>
  <c r="F88" i="19" s="1"/>
  <c r="AH385" i="15"/>
  <c r="F382" i="19" s="1"/>
  <c r="AH317" i="15"/>
  <c r="F314" i="19" s="1"/>
  <c r="AH253" i="15"/>
  <c r="F250" i="19" s="1"/>
  <c r="AH222" i="15"/>
  <c r="F219" i="19" s="1"/>
  <c r="AH220" i="15"/>
  <c r="F217" i="19" s="1"/>
  <c r="AH126" i="15"/>
  <c r="F123" i="19" s="1"/>
  <c r="AH146" i="15"/>
  <c r="F143" i="19" s="1"/>
  <c r="AH463" i="15"/>
  <c r="F460" i="19" s="1"/>
  <c r="AH242" i="15"/>
  <c r="F239" i="19" s="1"/>
  <c r="AH300" i="15"/>
  <c r="F297" i="19" s="1"/>
  <c r="AH54" i="15"/>
  <c r="F51" i="19" s="1"/>
  <c r="AH383" i="15"/>
  <c r="F380" i="19" s="1"/>
  <c r="AH468" i="15"/>
  <c r="F465" i="19" s="1"/>
  <c r="AH404" i="15"/>
  <c r="F401" i="19" s="1"/>
  <c r="AH86" i="14"/>
  <c r="F83" i="18" s="1"/>
  <c r="AH100" i="14"/>
  <c r="F97" i="18" s="1"/>
  <c r="AH38" i="14"/>
  <c r="F35" i="18" s="1"/>
  <c r="AH369" i="14"/>
  <c r="F366" i="18" s="1"/>
  <c r="AH263" i="14"/>
  <c r="F260" i="18" s="1"/>
  <c r="AH231" i="14"/>
  <c r="F228" i="18" s="1"/>
  <c r="AH71" i="14"/>
  <c r="F68" i="18" s="1"/>
  <c r="AH135" i="14"/>
  <c r="F132" i="18" s="1"/>
  <c r="AH377" i="14"/>
  <c r="F374" i="18" s="1"/>
  <c r="AH466" i="14"/>
  <c r="F463" i="18" s="1"/>
  <c r="AH82" i="14"/>
  <c r="F79" i="18" s="1"/>
  <c r="AH212" i="14"/>
  <c r="F209" i="18" s="1"/>
  <c r="AH398" i="14"/>
  <c r="F395" i="18" s="1"/>
  <c r="AH349" i="14"/>
  <c r="F346" i="18" s="1"/>
  <c r="AH278" i="14"/>
  <c r="F275" i="18" s="1"/>
  <c r="AH298" i="14"/>
  <c r="F295" i="18" s="1"/>
  <c r="AH334" i="14"/>
  <c r="F331" i="18" s="1"/>
  <c r="AH394" i="14"/>
  <c r="F391" i="18" s="1"/>
  <c r="AH254" i="14"/>
  <c r="F251" i="18" s="1"/>
  <c r="AH433" i="14"/>
  <c r="F430" i="18" s="1"/>
  <c r="AH192" i="14"/>
  <c r="F189" i="18" s="1"/>
  <c r="AH373" i="14"/>
  <c r="F370" i="18" s="1"/>
  <c r="AH328" i="14"/>
  <c r="F325" i="18" s="1"/>
  <c r="AH257" i="14"/>
  <c r="F254" i="18" s="1"/>
  <c r="AH417" i="14"/>
  <c r="F414" i="18" s="1"/>
  <c r="AH362" i="14"/>
  <c r="F359" i="18" s="1"/>
  <c r="AH486" i="14"/>
  <c r="F483" i="18" s="1"/>
  <c r="AH338" i="14"/>
  <c r="F335" i="18" s="1"/>
  <c r="AH317" i="14"/>
  <c r="F314" i="18" s="1"/>
  <c r="AH495" i="14"/>
  <c r="F492" i="18" s="1"/>
  <c r="AH424" i="14"/>
  <c r="F421" i="18" s="1"/>
  <c r="AH490" i="14"/>
  <c r="F487" i="18" s="1"/>
  <c r="AH136" i="13"/>
  <c r="F133" i="17" s="1"/>
  <c r="AH270" i="13"/>
  <c r="F267" i="17" s="1"/>
  <c r="AH14" i="13"/>
  <c r="F11" i="17" s="1"/>
  <c r="AH78" i="13"/>
  <c r="F75" i="17" s="1"/>
  <c r="AH25" i="13"/>
  <c r="F22" i="17" s="1"/>
  <c r="AH89" i="13"/>
  <c r="F86" i="17" s="1"/>
  <c r="AH192" i="13"/>
  <c r="F189" i="17" s="1"/>
  <c r="AH66" i="13"/>
  <c r="F63" i="17" s="1"/>
  <c r="AH29" i="13"/>
  <c r="F26" i="17" s="1"/>
  <c r="AH93" i="13"/>
  <c r="F90" i="17" s="1"/>
  <c r="AH222" i="13"/>
  <c r="F219" i="17" s="1"/>
  <c r="AH111" i="13"/>
  <c r="F108" i="17" s="1"/>
  <c r="AH50" i="13"/>
  <c r="F47" i="17" s="1"/>
  <c r="AH56" i="13"/>
  <c r="F53" i="17" s="1"/>
  <c r="AH208" i="13"/>
  <c r="F205" i="17" s="1"/>
  <c r="AH39" i="13"/>
  <c r="F36" i="17" s="1"/>
  <c r="AH499" i="13"/>
  <c r="F496" i="17" s="1"/>
  <c r="AH35" i="13"/>
  <c r="F32" i="17" s="1"/>
  <c r="AH99" i="13"/>
  <c r="F96" i="17" s="1"/>
  <c r="AH186" i="13"/>
  <c r="F183" i="17" s="1"/>
  <c r="AH299" i="13"/>
  <c r="F296" i="17" s="1"/>
  <c r="AH90" i="13"/>
  <c r="F87" i="17" s="1"/>
  <c r="AH106" i="13"/>
  <c r="F103" i="17" s="1"/>
  <c r="AH148" i="13"/>
  <c r="F145" i="17" s="1"/>
  <c r="AH280" i="13"/>
  <c r="F277" i="17" s="1"/>
  <c r="AH428" i="13"/>
  <c r="F425" i="17" s="1"/>
  <c r="AH330" i="13"/>
  <c r="F327" i="17" s="1"/>
  <c r="AH411" i="13"/>
  <c r="F408" i="17" s="1"/>
  <c r="AH429" i="13"/>
  <c r="F426" i="17" s="1"/>
  <c r="AH264" i="13"/>
  <c r="F261" i="17" s="1"/>
  <c r="AH400" i="13"/>
  <c r="F397" i="17" s="1"/>
  <c r="AH320" i="13"/>
  <c r="F317" i="17" s="1"/>
  <c r="AH321" i="13"/>
  <c r="F318" i="17" s="1"/>
  <c r="AH475" i="13"/>
  <c r="F472" i="17" s="1"/>
  <c r="AH345" i="13"/>
  <c r="F342" i="17" s="1"/>
  <c r="AH225" i="13"/>
  <c r="F222" i="17" s="1"/>
  <c r="AH209" i="13"/>
  <c r="F206" i="17" s="1"/>
  <c r="AH193" i="13"/>
  <c r="F190" i="17" s="1"/>
  <c r="AH177" i="13"/>
  <c r="F174" i="17" s="1"/>
  <c r="AH161" i="13"/>
  <c r="F158" i="17" s="1"/>
  <c r="AH145" i="13"/>
  <c r="F142" i="17" s="1"/>
  <c r="AH117" i="13"/>
  <c r="F114" i="17" s="1"/>
  <c r="AH474" i="13"/>
  <c r="F471" i="17" s="1"/>
  <c r="AH311" i="13"/>
  <c r="F308" i="17" s="1"/>
  <c r="AH401" i="13"/>
  <c r="F398" i="17" s="1"/>
  <c r="AH378" i="13"/>
  <c r="F375" i="17" s="1"/>
  <c r="AH494" i="13"/>
  <c r="F491" i="17" s="1"/>
  <c r="AH290" i="13"/>
  <c r="F287" i="17" s="1"/>
  <c r="AH371" i="13"/>
  <c r="F368" i="17" s="1"/>
  <c r="AH469" i="13"/>
  <c r="F466" i="17" s="1"/>
  <c r="AH307" i="13"/>
  <c r="F304" i="17" s="1"/>
  <c r="AH444" i="13"/>
  <c r="F441" i="17" s="1"/>
  <c r="AH309" i="13"/>
  <c r="F306" i="17" s="1"/>
  <c r="AH426" i="13"/>
  <c r="F423" i="17" s="1"/>
  <c r="AH271" i="13"/>
  <c r="F268" i="17" s="1"/>
  <c r="AH360" i="13"/>
  <c r="F357" i="17" s="1"/>
  <c r="AH460" i="13"/>
  <c r="F457" i="17" s="1"/>
  <c r="AH297" i="13"/>
  <c r="F294" i="17" s="1"/>
  <c r="AH430" i="13"/>
  <c r="F427" i="17" s="1"/>
  <c r="AH338" i="13"/>
  <c r="F335" i="17" s="1"/>
  <c r="AH466" i="13"/>
  <c r="F463" i="17" s="1"/>
  <c r="AH99" i="15"/>
  <c r="F96" i="19" s="1"/>
  <c r="AH483" i="15"/>
  <c r="F480" i="19" s="1"/>
  <c r="AH66" i="15"/>
  <c r="F63" i="19" s="1"/>
  <c r="AH371" i="15"/>
  <c r="F368" i="19" s="1"/>
  <c r="AH335" i="15"/>
  <c r="F332" i="19" s="1"/>
  <c r="AH345" i="15"/>
  <c r="F342" i="19" s="1"/>
  <c r="AH207" i="15"/>
  <c r="F204" i="19" s="1"/>
  <c r="AH229" i="15"/>
  <c r="F226" i="19" s="1"/>
  <c r="AH165" i="15"/>
  <c r="F162" i="19" s="1"/>
  <c r="AH88" i="15"/>
  <c r="F85" i="19" s="1"/>
  <c r="AH435" i="15"/>
  <c r="F432" i="19" s="1"/>
  <c r="AH163" i="15"/>
  <c r="F160" i="19" s="1"/>
  <c r="AH470" i="15"/>
  <c r="F467" i="19" s="1"/>
  <c r="AH354" i="15"/>
  <c r="F351" i="19" s="1"/>
  <c r="AH378" i="15"/>
  <c r="F375" i="19" s="1"/>
  <c r="AH151" i="14"/>
  <c r="F148" i="18" s="1"/>
  <c r="AH35" i="14"/>
  <c r="F32" i="18" s="1"/>
  <c r="AH33" i="14"/>
  <c r="F30" i="18" s="1"/>
  <c r="AH423" i="14"/>
  <c r="F420" i="18" s="1"/>
  <c r="AH43" i="14"/>
  <c r="F40" i="18" s="1"/>
  <c r="AH9" i="14"/>
  <c r="F6" i="18" s="1"/>
  <c r="AH116" i="14"/>
  <c r="F113" i="18" s="1"/>
  <c r="AH225" i="14"/>
  <c r="F222" i="18" s="1"/>
  <c r="AH148" i="14"/>
  <c r="F145" i="18" s="1"/>
  <c r="AH245" i="14"/>
  <c r="F242" i="18" s="1"/>
  <c r="AH98" i="14"/>
  <c r="F95" i="18" s="1"/>
  <c r="AH215" i="14"/>
  <c r="F212" i="18" s="1"/>
  <c r="AH447" i="14"/>
  <c r="F444" i="18" s="1"/>
  <c r="AH252" i="14"/>
  <c r="F249" i="18" s="1"/>
  <c r="AH288" i="14"/>
  <c r="F285" i="18" s="1"/>
  <c r="AH312" i="14"/>
  <c r="F309" i="18" s="1"/>
  <c r="AH361" i="14"/>
  <c r="F358" i="18" s="1"/>
  <c r="AH431" i="14"/>
  <c r="F428" i="18" s="1"/>
  <c r="AH270" i="14"/>
  <c r="F267" i="18" s="1"/>
  <c r="AH439" i="14"/>
  <c r="F436" i="18" s="1"/>
  <c r="AH200" i="14"/>
  <c r="F197" i="18" s="1"/>
  <c r="AH406" i="14"/>
  <c r="F403" i="18" s="1"/>
  <c r="AH352" i="14"/>
  <c r="F349" i="18" s="1"/>
  <c r="AH265" i="14"/>
  <c r="F262" i="18" s="1"/>
  <c r="AH253" i="14"/>
  <c r="F250" i="18" s="1"/>
  <c r="AH390" i="14"/>
  <c r="F387" i="18" s="1"/>
  <c r="AH489" i="14"/>
  <c r="F486" i="18" s="1"/>
  <c r="AH385" i="14"/>
  <c r="F382" i="18" s="1"/>
  <c r="AH346" i="14"/>
  <c r="F343" i="18" s="1"/>
  <c r="AH464" i="14"/>
  <c r="F461" i="18" s="1"/>
  <c r="AH472" i="14"/>
  <c r="F469" i="18" s="1"/>
  <c r="AH498" i="14"/>
  <c r="F495" i="18" s="1"/>
  <c r="AH144" i="13"/>
  <c r="F141" i="17" s="1"/>
  <c r="AH282" i="13"/>
  <c r="F279" i="17" s="1"/>
  <c r="AH22" i="13"/>
  <c r="F19" i="17" s="1"/>
  <c r="AH118" i="13"/>
  <c r="F115" i="17" s="1"/>
  <c r="AH33" i="13"/>
  <c r="F30" i="17" s="1"/>
  <c r="AH97" i="13"/>
  <c r="F94" i="17" s="1"/>
  <c r="AH198" i="13"/>
  <c r="F195" i="17" s="1"/>
  <c r="AH142" i="13"/>
  <c r="F139" i="17" s="1"/>
  <c r="AH37" i="13"/>
  <c r="F34" i="17" s="1"/>
  <c r="AH101" i="13"/>
  <c r="F98" i="17" s="1"/>
  <c r="AH369" i="13"/>
  <c r="F366" i="17" s="1"/>
  <c r="AH122" i="13"/>
  <c r="F119" i="17" s="1"/>
  <c r="AH74" i="13"/>
  <c r="F71" i="17" s="1"/>
  <c r="AH64" i="13"/>
  <c r="F61" i="17" s="1"/>
  <c r="AH214" i="13"/>
  <c r="F211" i="17" s="1"/>
  <c r="AH63" i="13"/>
  <c r="F60" i="17" s="1"/>
  <c r="AH18" i="13"/>
  <c r="F15" i="17" s="1"/>
  <c r="AH43" i="13"/>
  <c r="F40" i="17" s="1"/>
  <c r="AH107" i="13"/>
  <c r="F104" i="17" s="1"/>
  <c r="AH220" i="13"/>
  <c r="F217" i="17" s="1"/>
  <c r="AH358" i="13"/>
  <c r="F355" i="17" s="1"/>
  <c r="AH92" i="13"/>
  <c r="F89" i="17" s="1"/>
  <c r="AH108" i="13"/>
  <c r="F105" i="17" s="1"/>
  <c r="AH164" i="13"/>
  <c r="F161" i="17" s="1"/>
  <c r="AH308" i="13"/>
  <c r="F305" i="17" s="1"/>
  <c r="AH464" i="13"/>
  <c r="F461" i="17" s="1"/>
  <c r="AH339" i="13"/>
  <c r="F336" i="17" s="1"/>
  <c r="AH425" i="13"/>
  <c r="F422" i="17" s="1"/>
  <c r="AH465" i="13"/>
  <c r="F462" i="17" s="1"/>
  <c r="AH296" i="13"/>
  <c r="F293" i="17" s="1"/>
  <c r="AH421" i="13"/>
  <c r="F418" i="17" s="1"/>
  <c r="AH346" i="13"/>
  <c r="F343" i="17" s="1"/>
  <c r="AH347" i="13"/>
  <c r="F344" i="17" s="1"/>
  <c r="AH486" i="13"/>
  <c r="F483" i="17" s="1"/>
  <c r="AH326" i="13"/>
  <c r="F323" i="17" s="1"/>
  <c r="AH223" i="13"/>
  <c r="F220" i="17" s="1"/>
  <c r="AH207" i="13"/>
  <c r="F204" i="17" s="1"/>
  <c r="AH191" i="13"/>
  <c r="F188" i="17" s="1"/>
  <c r="AH175" i="13"/>
  <c r="F172" i="17" s="1"/>
  <c r="AH159" i="13"/>
  <c r="F156" i="17" s="1"/>
  <c r="AH143" i="13"/>
  <c r="F140" i="17" s="1"/>
  <c r="AH227" i="13"/>
  <c r="F224" i="17" s="1"/>
  <c r="AH485" i="13"/>
  <c r="F482" i="17" s="1"/>
  <c r="AH318" i="13"/>
  <c r="F315" i="17" s="1"/>
  <c r="AH433" i="13"/>
  <c r="F430" i="17" s="1"/>
  <c r="AH462" i="13"/>
  <c r="F459" i="17" s="1"/>
  <c r="AH123" i="13"/>
  <c r="F120" i="17" s="1"/>
  <c r="AH301" i="13"/>
  <c r="F298" i="17" s="1"/>
  <c r="AH383" i="13"/>
  <c r="F380" i="17" s="1"/>
  <c r="AH476" i="13"/>
  <c r="F473" i="17" s="1"/>
  <c r="AH323" i="13"/>
  <c r="F320" i="17" s="1"/>
  <c r="AH455" i="13"/>
  <c r="F452" i="17" s="1"/>
  <c r="AH325" i="13"/>
  <c r="F322" i="17" s="1"/>
  <c r="AH432" i="13"/>
  <c r="F429" i="17" s="1"/>
  <c r="AH287" i="13"/>
  <c r="F284" i="17" s="1"/>
  <c r="AH379" i="13"/>
  <c r="F376" i="17" s="1"/>
  <c r="AH463" i="13"/>
  <c r="F460" i="17" s="1"/>
  <c r="AH313" i="13"/>
  <c r="F310" i="17" s="1"/>
  <c r="AH438" i="13"/>
  <c r="F435" i="17" s="1"/>
  <c r="AH354" i="13"/>
  <c r="F351" i="17" s="1"/>
  <c r="AH482" i="13"/>
  <c r="F479" i="17" s="1"/>
  <c r="AH107" i="15"/>
  <c r="F104" i="19" s="1"/>
  <c r="AH441" i="15"/>
  <c r="F438" i="19" s="1"/>
  <c r="AH77" i="15"/>
  <c r="F74" i="19" s="1"/>
  <c r="AH374" i="15"/>
  <c r="F371" i="19" s="1"/>
  <c r="AH367" i="15"/>
  <c r="F364" i="19" s="1"/>
  <c r="AH368" i="15"/>
  <c r="F365" i="19" s="1"/>
  <c r="AH215" i="15"/>
  <c r="F212" i="19" s="1"/>
  <c r="AH251" i="15"/>
  <c r="F248" i="19" s="1"/>
  <c r="AH213" i="15"/>
  <c r="F210" i="19" s="1"/>
  <c r="AH104" i="15"/>
  <c r="F101" i="19" s="1"/>
  <c r="AH438" i="15"/>
  <c r="F435" i="19" s="1"/>
  <c r="AH171" i="15"/>
  <c r="F168" i="19" s="1"/>
  <c r="AH479" i="15"/>
  <c r="F476" i="19" s="1"/>
  <c r="AH372" i="15"/>
  <c r="F369" i="19" s="1"/>
  <c r="AH420" i="15"/>
  <c r="F417" i="19" s="1"/>
  <c r="AH179" i="14"/>
  <c r="F176" i="18" s="1"/>
  <c r="AH53" i="14"/>
  <c r="F50" i="18" s="1"/>
  <c r="AH36" i="14"/>
  <c r="F33" i="18" s="1"/>
  <c r="AH23" i="14"/>
  <c r="F20" i="18" s="1"/>
  <c r="AH46" i="14"/>
  <c r="F43" i="18" s="1"/>
  <c r="AH29" i="14"/>
  <c r="F26" i="18" s="1"/>
  <c r="AH133" i="14"/>
  <c r="F130" i="18" s="1"/>
  <c r="AH234" i="14"/>
  <c r="F231" i="18" s="1"/>
  <c r="AH187" i="14"/>
  <c r="F184" i="18" s="1"/>
  <c r="AH260" i="14"/>
  <c r="F257" i="18" s="1"/>
  <c r="AH157" i="14"/>
  <c r="F154" i="18" s="1"/>
  <c r="AH230" i="14"/>
  <c r="F227" i="18" s="1"/>
  <c r="AH450" i="14"/>
  <c r="F447" i="18" s="1"/>
  <c r="AH48" i="14"/>
  <c r="F45" i="18" s="1"/>
  <c r="AH292" i="14"/>
  <c r="F289" i="18" s="1"/>
  <c r="AH428" i="14"/>
  <c r="F425" i="18" s="1"/>
  <c r="AH395" i="14"/>
  <c r="F392" i="18" s="1"/>
  <c r="AH434" i="14"/>
  <c r="F431" i="18" s="1"/>
  <c r="AH286" i="14"/>
  <c r="F283" i="18" s="1"/>
  <c r="AH462" i="14"/>
  <c r="F459" i="18" s="1"/>
  <c r="AH243" i="14"/>
  <c r="F240" i="18" s="1"/>
  <c r="AH436" i="14"/>
  <c r="F433" i="18" s="1"/>
  <c r="AH358" i="14"/>
  <c r="F355" i="18" s="1"/>
  <c r="AH273" i="14"/>
  <c r="F270" i="18" s="1"/>
  <c r="AH294" i="14"/>
  <c r="F291" i="18" s="1"/>
  <c r="AH404" i="14"/>
  <c r="F401" i="18" s="1"/>
  <c r="AH261" i="14"/>
  <c r="F258" i="18" s="1"/>
  <c r="AH432" i="14"/>
  <c r="F429" i="18" s="1"/>
  <c r="AH374" i="14"/>
  <c r="F371" i="18" s="1"/>
  <c r="AH480" i="14"/>
  <c r="F477" i="18" s="1"/>
  <c r="AH484" i="14"/>
  <c r="F481" i="18" s="1"/>
  <c r="AH302" i="13"/>
  <c r="F299" i="17" s="1"/>
  <c r="AH150" i="13"/>
  <c r="F147" i="17" s="1"/>
  <c r="AH314" i="13"/>
  <c r="F311" i="17" s="1"/>
  <c r="AH30" i="13"/>
  <c r="F27" i="17" s="1"/>
  <c r="AH138" i="13"/>
  <c r="F135" i="17" s="1"/>
  <c r="AH41" i="13"/>
  <c r="F38" i="17" s="1"/>
  <c r="AH105" i="13"/>
  <c r="F102" i="17" s="1"/>
  <c r="AH218" i="13"/>
  <c r="F215" i="17" s="1"/>
  <c r="AH168" i="13"/>
  <c r="F165" i="17" s="1"/>
  <c r="AH45" i="13"/>
  <c r="F42" i="17" s="1"/>
  <c r="AH109" i="13"/>
  <c r="F106" i="17" s="1"/>
  <c r="AH403" i="13"/>
  <c r="F400" i="17" s="1"/>
  <c r="AH190" i="13"/>
  <c r="F187" i="17" s="1"/>
  <c r="AH176" i="13"/>
  <c r="F173" i="17" s="1"/>
  <c r="AH72" i="13"/>
  <c r="F69" i="17" s="1"/>
  <c r="AH233" i="13"/>
  <c r="F230" i="17" s="1"/>
  <c r="AH79" i="13"/>
  <c r="F76" i="17" s="1"/>
  <c r="AH58" i="13"/>
  <c r="F55" i="17" s="1"/>
  <c r="AH51" i="13"/>
  <c r="F48" i="17" s="1"/>
  <c r="AH115" i="13"/>
  <c r="F112" i="17" s="1"/>
  <c r="AH389" i="13"/>
  <c r="F386" i="17" s="1"/>
  <c r="AH385" i="13"/>
  <c r="F382" i="17" s="1"/>
  <c r="AH94" i="13"/>
  <c r="F91" i="17" s="1"/>
  <c r="AH110" i="13"/>
  <c r="F107" i="17" s="1"/>
  <c r="AH180" i="13"/>
  <c r="F177" i="17" s="1"/>
  <c r="AH312" i="13"/>
  <c r="F309" i="17" s="1"/>
  <c r="AH241" i="13"/>
  <c r="F238" i="17" s="1"/>
  <c r="AH342" i="13"/>
  <c r="F339" i="17" s="1"/>
  <c r="AH467" i="13"/>
  <c r="F464" i="17" s="1"/>
  <c r="AH119" i="13"/>
  <c r="F116" i="17" s="1"/>
  <c r="AH328" i="13"/>
  <c r="F325" i="17" s="1"/>
  <c r="AH441" i="13"/>
  <c r="F438" i="17" s="1"/>
  <c r="AH491" i="13"/>
  <c r="F488" i="17" s="1"/>
  <c r="AH406" i="13"/>
  <c r="F403" i="17" s="1"/>
  <c r="AH310" i="13"/>
  <c r="F307" i="17" s="1"/>
  <c r="AH221" i="13"/>
  <c r="F218" i="17" s="1"/>
  <c r="AH205" i="13"/>
  <c r="F202" i="17" s="1"/>
  <c r="AH189" i="13"/>
  <c r="F186" i="17" s="1"/>
  <c r="AH129" i="15"/>
  <c r="F126" i="19" s="1"/>
  <c r="AH324" i="15"/>
  <c r="F321" i="19" s="1"/>
  <c r="AH256" i="15"/>
  <c r="F253" i="19" s="1"/>
  <c r="AH209" i="15"/>
  <c r="F206" i="19" s="1"/>
  <c r="AH174" i="15"/>
  <c r="F171" i="19" s="1"/>
  <c r="AH180" i="15"/>
  <c r="F177" i="19" s="1"/>
  <c r="AH89" i="15"/>
  <c r="F86" i="19" s="1"/>
  <c r="AH447" i="15"/>
  <c r="F444" i="19" s="1"/>
  <c r="AH406" i="15"/>
  <c r="F403" i="19" s="1"/>
  <c r="AH149" i="15"/>
  <c r="F146" i="19" s="1"/>
  <c r="AH258" i="15"/>
  <c r="F255" i="19" s="1"/>
  <c r="AH205" i="15"/>
  <c r="F202" i="19" s="1"/>
  <c r="AH325" i="15"/>
  <c r="F322" i="19" s="1"/>
  <c r="AH366" i="15"/>
  <c r="F363" i="19" s="1"/>
  <c r="AH474" i="15"/>
  <c r="F471" i="19" s="1"/>
  <c r="AH18" i="14"/>
  <c r="F15" i="18" s="1"/>
  <c r="AH58" i="14"/>
  <c r="F55" i="18" s="1"/>
  <c r="AH226" i="14"/>
  <c r="F223" i="18" s="1"/>
  <c r="AH175" i="14"/>
  <c r="F172" i="18" s="1"/>
  <c r="AH256" i="14"/>
  <c r="F253" i="18" s="1"/>
  <c r="AH162" i="14"/>
  <c r="F159" i="18" s="1"/>
  <c r="AH52" i="14"/>
  <c r="F49" i="18" s="1"/>
  <c r="AH124" i="14"/>
  <c r="F121" i="18" s="1"/>
  <c r="AH371" i="14"/>
  <c r="F368" i="18" s="1"/>
  <c r="AH387" i="14"/>
  <c r="F384" i="18" s="1"/>
  <c r="AH66" i="14"/>
  <c r="F63" i="18" s="1"/>
  <c r="AH209" i="14"/>
  <c r="F206" i="18" s="1"/>
  <c r="AH333" i="14"/>
  <c r="F330" i="18" s="1"/>
  <c r="AH391" i="14"/>
  <c r="F388" i="18" s="1"/>
  <c r="AH186" i="14"/>
  <c r="F183" i="18" s="1"/>
  <c r="AH441" i="14"/>
  <c r="F438" i="18" s="1"/>
  <c r="AH282" i="14"/>
  <c r="F279" i="18" s="1"/>
  <c r="AH364" i="14"/>
  <c r="F361" i="18" s="1"/>
  <c r="AH221" i="14"/>
  <c r="F218" i="18" s="1"/>
  <c r="AH409" i="14"/>
  <c r="F406" i="18" s="1"/>
  <c r="AH184" i="14"/>
  <c r="F181" i="18" s="1"/>
  <c r="AH363" i="14"/>
  <c r="F360" i="18" s="1"/>
  <c r="AH318" i="14"/>
  <c r="F315" i="18" s="1"/>
  <c r="AH451" i="14"/>
  <c r="F448" i="18" s="1"/>
  <c r="AH411" i="14"/>
  <c r="F408" i="18" s="1"/>
  <c r="AH354" i="14"/>
  <c r="F351" i="18" s="1"/>
  <c r="AH478" i="14"/>
  <c r="F475" i="18" s="1"/>
  <c r="AH335" i="14"/>
  <c r="F332" i="18" s="1"/>
  <c r="AH301" i="14"/>
  <c r="F298" i="18" s="1"/>
  <c r="AH476" i="14"/>
  <c r="F473" i="18" s="1"/>
  <c r="AH408" i="14"/>
  <c r="F405" i="18" s="1"/>
  <c r="AH482" i="14"/>
  <c r="F479" i="18" s="1"/>
  <c r="AH130" i="13"/>
  <c r="F127" i="17" s="1"/>
  <c r="AH254" i="13"/>
  <c r="F251" i="17" s="1"/>
  <c r="AH36" i="13"/>
  <c r="F33" i="17" s="1"/>
  <c r="AH70" i="13"/>
  <c r="F67" i="17" s="1"/>
  <c r="AH17" i="13"/>
  <c r="F14" i="17" s="1"/>
  <c r="AH81" i="13"/>
  <c r="F78" i="17" s="1"/>
  <c r="AH184" i="13"/>
  <c r="F181" i="17" s="1"/>
  <c r="AH42" i="13"/>
  <c r="F39" i="17" s="1"/>
  <c r="AH21" i="13"/>
  <c r="F18" i="17" s="1"/>
  <c r="AH85" i="13"/>
  <c r="F82" i="17" s="1"/>
  <c r="AH188" i="13"/>
  <c r="F185" i="17" s="1"/>
  <c r="AH87" i="13"/>
  <c r="F84" i="17" s="1"/>
  <c r="AH34" i="13"/>
  <c r="F31" i="17" s="1"/>
  <c r="AH48" i="13"/>
  <c r="F45" i="17" s="1"/>
  <c r="AH200" i="13"/>
  <c r="F197" i="17" s="1"/>
  <c r="AH23" i="13"/>
  <c r="F20" i="17" s="1"/>
  <c r="AH224" i="13"/>
  <c r="F221" i="17" s="1"/>
  <c r="AH27" i="13"/>
  <c r="F24" i="17" s="1"/>
  <c r="AH91" i="13"/>
  <c r="F88" i="17" s="1"/>
  <c r="AH166" i="13"/>
  <c r="F163" i="17" s="1"/>
  <c r="AH236" i="13"/>
  <c r="F233" i="17" s="1"/>
  <c r="AH88" i="13"/>
  <c r="F85" i="17" s="1"/>
  <c r="AH104" i="13"/>
  <c r="F101" i="17" s="1"/>
  <c r="AH132" i="13"/>
  <c r="F129" i="17" s="1"/>
  <c r="AH276" i="13"/>
  <c r="F273" i="17" s="1"/>
  <c r="AH419" i="13"/>
  <c r="F416" i="17" s="1"/>
  <c r="AH316" i="13"/>
  <c r="F313" i="17" s="1"/>
  <c r="AH387" i="13"/>
  <c r="F384" i="17" s="1"/>
  <c r="AH423" i="13"/>
  <c r="F420" i="17" s="1"/>
  <c r="AH376" i="13"/>
  <c r="F373" i="17" s="1"/>
  <c r="AH394" i="13"/>
  <c r="F391" i="17" s="1"/>
  <c r="AH306" i="13"/>
  <c r="F303" i="17" s="1"/>
  <c r="AH300" i="13"/>
  <c r="F297" i="17" s="1"/>
  <c r="AH451" i="13"/>
  <c r="F448" i="17" s="1"/>
  <c r="AH409" i="13"/>
  <c r="F406" i="17" s="1"/>
  <c r="AH234" i="13"/>
  <c r="F231" i="17" s="1"/>
  <c r="AH115" i="15"/>
  <c r="F112" i="19" s="1"/>
  <c r="AH125" i="15"/>
  <c r="F122" i="19" s="1"/>
  <c r="AH48" i="15"/>
  <c r="F45" i="19" s="1"/>
  <c r="AH257" i="15"/>
  <c r="F254" i="19" s="1"/>
  <c r="AH376" i="15"/>
  <c r="F373" i="19" s="1"/>
  <c r="AH87" i="15"/>
  <c r="F84" i="19" s="1"/>
  <c r="AH392" i="15"/>
  <c r="F389" i="19" s="1"/>
  <c r="AH402" i="15"/>
  <c r="F399" i="19" s="1"/>
  <c r="AH117" i="14"/>
  <c r="F114" i="18" s="1"/>
  <c r="AH39" i="14"/>
  <c r="F36" i="18" s="1"/>
  <c r="AH84" i="14"/>
  <c r="F81" i="18" s="1"/>
  <c r="AH240" i="14"/>
  <c r="F237" i="18" s="1"/>
  <c r="AH316" i="14"/>
  <c r="F313" i="18" s="1"/>
  <c r="AH284" i="14"/>
  <c r="F281" i="18" s="1"/>
  <c r="AH128" i="14"/>
  <c r="F125" i="18" s="1"/>
  <c r="AH163" i="14"/>
  <c r="F160" i="18" s="1"/>
  <c r="AH173" i="14"/>
  <c r="F170" i="18" s="1"/>
  <c r="AH494" i="14"/>
  <c r="F491" i="18" s="1"/>
  <c r="AH258" i="14"/>
  <c r="F255" i="18" s="1"/>
  <c r="AH347" i="14"/>
  <c r="F344" i="18" s="1"/>
  <c r="AH418" i="14"/>
  <c r="F415" i="18" s="1"/>
  <c r="AH443" i="14"/>
  <c r="F440" i="18" s="1"/>
  <c r="AH360" i="14"/>
  <c r="F357" i="18" s="1"/>
  <c r="AH44" i="13"/>
  <c r="F41" i="17" s="1"/>
  <c r="AH52" i="13"/>
  <c r="F49" i="17" s="1"/>
  <c r="AH206" i="13"/>
  <c r="F203" i="17" s="1"/>
  <c r="AH124" i="13"/>
  <c r="F121" i="17" s="1"/>
  <c r="AH202" i="13"/>
  <c r="F199" i="17" s="1"/>
  <c r="AH128" i="13"/>
  <c r="F125" i="17" s="1"/>
  <c r="AH353" i="13"/>
  <c r="F350" i="17" s="1"/>
  <c r="AH140" i="13"/>
  <c r="F137" i="17" s="1"/>
  <c r="AH103" i="13"/>
  <c r="F100" i="17" s="1"/>
  <c r="AH67" i="13"/>
  <c r="F64" i="17" s="1"/>
  <c r="AH458" i="13"/>
  <c r="F455" i="17" s="1"/>
  <c r="AH98" i="13"/>
  <c r="F95" i="17" s="1"/>
  <c r="AH212" i="13"/>
  <c r="F209" i="17" s="1"/>
  <c r="AH284" i="13"/>
  <c r="F281" i="17" s="1"/>
  <c r="AH235" i="13"/>
  <c r="F232" i="17" s="1"/>
  <c r="AH355" i="13"/>
  <c r="F352" i="17" s="1"/>
  <c r="AH257" i="13"/>
  <c r="F254" i="17" s="1"/>
  <c r="AH393" i="13"/>
  <c r="F390" i="17" s="1"/>
  <c r="AH217" i="13"/>
  <c r="F214" i="17" s="1"/>
  <c r="AH195" i="13"/>
  <c r="F192" i="17" s="1"/>
  <c r="AH169" i="13"/>
  <c r="F166" i="17" s="1"/>
  <c r="AH149" i="13"/>
  <c r="F146" i="17" s="1"/>
  <c r="AH253" i="13"/>
  <c r="F250" i="17" s="1"/>
  <c r="AH231" i="13"/>
  <c r="F228" i="17" s="1"/>
  <c r="AH392" i="13"/>
  <c r="F389" i="17" s="1"/>
  <c r="AH242" i="13"/>
  <c r="F239" i="17" s="1"/>
  <c r="AH258" i="13"/>
  <c r="F255" i="17" s="1"/>
  <c r="AH348" i="13"/>
  <c r="F345" i="17" s="1"/>
  <c r="AH479" i="13"/>
  <c r="F476" i="17" s="1"/>
  <c r="AH380" i="13"/>
  <c r="F377" i="17" s="1"/>
  <c r="AH277" i="13"/>
  <c r="F274" i="17" s="1"/>
  <c r="AH446" i="13"/>
  <c r="F443" i="17" s="1"/>
  <c r="AH332" i="13"/>
  <c r="F329" i="17" s="1"/>
  <c r="AH424" i="13"/>
  <c r="F421" i="17" s="1"/>
  <c r="AH329" i="13"/>
  <c r="F326" i="17" s="1"/>
  <c r="AH493" i="13"/>
  <c r="F490" i="17" s="1"/>
  <c r="AH434" i="13"/>
  <c r="F431" i="17" s="1"/>
  <c r="AH16" i="13"/>
  <c r="F13" i="17" s="1"/>
  <c r="AH81" i="15"/>
  <c r="F78" i="19" s="1"/>
  <c r="AH377" i="15"/>
  <c r="F374" i="19" s="1"/>
  <c r="AH193" i="15"/>
  <c r="F190" i="19" s="1"/>
  <c r="AH164" i="15"/>
  <c r="F161" i="19" s="1"/>
  <c r="AH381" i="15"/>
  <c r="F378" i="19" s="1"/>
  <c r="AH90" i="15"/>
  <c r="F87" i="19" s="1"/>
  <c r="AH157" i="15"/>
  <c r="F154" i="19" s="1"/>
  <c r="AH348" i="15"/>
  <c r="F345" i="19" s="1"/>
  <c r="AH164" i="14"/>
  <c r="F161" i="18" s="1"/>
  <c r="AH220" i="14"/>
  <c r="F217" i="18" s="1"/>
  <c r="AH118" i="14"/>
  <c r="F115" i="18" s="1"/>
  <c r="AH37" i="14"/>
  <c r="F34" i="18" s="1"/>
  <c r="AH359" i="14"/>
  <c r="F356" i="18" s="1"/>
  <c r="AH477" i="14"/>
  <c r="F474" i="18" s="1"/>
  <c r="AH302" i="14"/>
  <c r="F299" i="18" s="1"/>
  <c r="AH142" i="14"/>
  <c r="F139" i="18" s="1"/>
  <c r="AH166" i="14"/>
  <c r="F163" i="18" s="1"/>
  <c r="AH181" i="14"/>
  <c r="F178" i="18" s="1"/>
  <c r="AH168" i="14"/>
  <c r="F165" i="18" s="1"/>
  <c r="AH274" i="14"/>
  <c r="F271" i="18" s="1"/>
  <c r="AH353" i="14"/>
  <c r="F350" i="18" s="1"/>
  <c r="AH465" i="14"/>
  <c r="F462" i="18" s="1"/>
  <c r="AH446" i="14"/>
  <c r="F443" i="18" s="1"/>
  <c r="AH376" i="14"/>
  <c r="F373" i="18" s="1"/>
  <c r="AH60" i="13"/>
  <c r="F57" i="17" s="1"/>
  <c r="AH9" i="13"/>
  <c r="F6" i="17" s="1"/>
  <c r="AH226" i="13"/>
  <c r="F223" i="17" s="1"/>
  <c r="AH158" i="13"/>
  <c r="F155" i="17" s="1"/>
  <c r="AH228" i="13"/>
  <c r="F225" i="17" s="1"/>
  <c r="AH134" i="13"/>
  <c r="F131" i="17" s="1"/>
  <c r="AH431" i="13"/>
  <c r="F428" i="17" s="1"/>
  <c r="AH174" i="13"/>
  <c r="F171" i="17" s="1"/>
  <c r="AH156" i="13"/>
  <c r="F153" i="17" s="1"/>
  <c r="AH75" i="13"/>
  <c r="F72" i="17" s="1"/>
  <c r="AH263" i="13"/>
  <c r="F260" i="17" s="1"/>
  <c r="AH100" i="13"/>
  <c r="F97" i="17" s="1"/>
  <c r="AH244" i="13"/>
  <c r="F241" i="17" s="1"/>
  <c r="AH298" i="13"/>
  <c r="F295" i="17" s="1"/>
  <c r="AH327" i="13"/>
  <c r="F324" i="17" s="1"/>
  <c r="AH364" i="13"/>
  <c r="F361" i="17" s="1"/>
  <c r="AH268" i="13"/>
  <c r="F265" i="17" s="1"/>
  <c r="AH489" i="13"/>
  <c r="F486" i="17" s="1"/>
  <c r="AH215" i="13"/>
  <c r="F212" i="17" s="1"/>
  <c r="AH187" i="13"/>
  <c r="F184" i="17" s="1"/>
  <c r="AH167" i="13"/>
  <c r="F164" i="17" s="1"/>
  <c r="AH147" i="13"/>
  <c r="F144" i="17" s="1"/>
  <c r="AH256" i="13"/>
  <c r="F253" i="17" s="1"/>
  <c r="AH247" i="13"/>
  <c r="F244" i="17" s="1"/>
  <c r="AH398" i="13"/>
  <c r="F395" i="17" s="1"/>
  <c r="AH274" i="13"/>
  <c r="F271" i="17" s="1"/>
  <c r="AH269" i="13"/>
  <c r="F266" i="17" s="1"/>
  <c r="AH351" i="13"/>
  <c r="F348" i="17" s="1"/>
  <c r="AH237" i="13"/>
  <c r="F234" i="17" s="1"/>
  <c r="AH391" i="13"/>
  <c r="F388" i="17" s="1"/>
  <c r="AH293" i="13"/>
  <c r="F290" i="17" s="1"/>
  <c r="AH454" i="13"/>
  <c r="F451" i="17" s="1"/>
  <c r="AH335" i="13"/>
  <c r="F332" i="17" s="1"/>
  <c r="AH443" i="13"/>
  <c r="F440" i="17" s="1"/>
  <c r="AH352" i="13"/>
  <c r="F349" i="17" s="1"/>
  <c r="AH492" i="13"/>
  <c r="F489" i="17" s="1"/>
  <c r="AH450" i="13"/>
  <c r="F447" i="17" s="1"/>
  <c r="AH252" i="13"/>
  <c r="F249" i="17" s="1"/>
  <c r="AH97" i="15"/>
  <c r="F94" i="19" s="1"/>
  <c r="AH359" i="15"/>
  <c r="F356" i="19" s="1"/>
  <c r="AH201" i="15"/>
  <c r="F198" i="19" s="1"/>
  <c r="AH172" i="15"/>
  <c r="F169" i="19" s="1"/>
  <c r="AH415" i="15"/>
  <c r="F412" i="19" s="1"/>
  <c r="AH122" i="15"/>
  <c r="F119" i="19" s="1"/>
  <c r="AH189" i="15"/>
  <c r="F186" i="19" s="1"/>
  <c r="AH358" i="15"/>
  <c r="F355" i="19" s="1"/>
  <c r="AH15" i="14"/>
  <c r="F12" i="18" s="1"/>
  <c r="AH223" i="14"/>
  <c r="F220" i="18" s="1"/>
  <c r="AH199" i="14"/>
  <c r="F196" i="18" s="1"/>
  <c r="AH40" i="14"/>
  <c r="F37" i="18" s="1"/>
  <c r="AH365" i="14"/>
  <c r="F362" i="18" s="1"/>
  <c r="AH50" i="14"/>
  <c r="F47" i="18" s="1"/>
  <c r="AH309" i="14"/>
  <c r="F306" i="18" s="1"/>
  <c r="AH152" i="14"/>
  <c r="F149" i="18" s="1"/>
  <c r="AH195" i="14"/>
  <c r="F192" i="18" s="1"/>
  <c r="AH213" i="14"/>
  <c r="F210" i="18" s="1"/>
  <c r="AH176" i="14"/>
  <c r="F173" i="18" s="1"/>
  <c r="AH304" i="14"/>
  <c r="F301" i="18" s="1"/>
  <c r="AH400" i="14"/>
  <c r="F397" i="18" s="1"/>
  <c r="AH475" i="14"/>
  <c r="F472" i="18" s="1"/>
  <c r="AH449" i="14"/>
  <c r="F446" i="18" s="1"/>
  <c r="AH392" i="14"/>
  <c r="F389" i="18" s="1"/>
  <c r="AH76" i="13"/>
  <c r="F73" i="17" s="1"/>
  <c r="AH28" i="13"/>
  <c r="F25" i="17" s="1"/>
  <c r="AH230" i="13"/>
  <c r="F227" i="17" s="1"/>
  <c r="AH178" i="13"/>
  <c r="F175" i="17" s="1"/>
  <c r="AH13" i="13"/>
  <c r="F10" i="17" s="1"/>
  <c r="AH154" i="13"/>
  <c r="F151" i="17" s="1"/>
  <c r="AH10" i="13"/>
  <c r="F7" i="17" s="1"/>
  <c r="AH194" i="13"/>
  <c r="F191" i="17" s="1"/>
  <c r="AH210" i="13"/>
  <c r="F207" i="17" s="1"/>
  <c r="AH83" i="13"/>
  <c r="F80" i="17" s="1"/>
  <c r="AH337" i="13"/>
  <c r="F334" i="17" s="1"/>
  <c r="AH102" i="13"/>
  <c r="F99" i="17" s="1"/>
  <c r="AH248" i="13"/>
  <c r="F245" i="17" s="1"/>
  <c r="AH305" i="13"/>
  <c r="F302" i="17" s="1"/>
  <c r="AH420" i="13"/>
  <c r="F417" i="17" s="1"/>
  <c r="AH367" i="13"/>
  <c r="F364" i="17" s="1"/>
  <c r="AH289" i="13"/>
  <c r="F286" i="17" s="1"/>
  <c r="AH473" i="13"/>
  <c r="F470" i="17" s="1"/>
  <c r="AH213" i="13"/>
  <c r="F210" i="17" s="1"/>
  <c r="AH185" i="13"/>
  <c r="F182" i="17" s="1"/>
  <c r="AH165" i="13"/>
  <c r="F162" i="17" s="1"/>
  <c r="AH141" i="13"/>
  <c r="F138" i="17" s="1"/>
  <c r="AH331" i="13"/>
  <c r="F328" i="17" s="1"/>
  <c r="AH279" i="13"/>
  <c r="F276" i="17" s="1"/>
  <c r="AH442" i="13"/>
  <c r="F439" i="17" s="1"/>
  <c r="AH288" i="13"/>
  <c r="F285" i="17" s="1"/>
  <c r="AH272" i="13"/>
  <c r="F269" i="17" s="1"/>
  <c r="AH395" i="13"/>
  <c r="F392" i="17" s="1"/>
  <c r="AH243" i="13"/>
  <c r="F240" i="17" s="1"/>
  <c r="AH397" i="13"/>
  <c r="F394" i="17" s="1"/>
  <c r="AH340" i="13"/>
  <c r="F337" i="17" s="1"/>
  <c r="AH468" i="13"/>
  <c r="F465" i="17" s="1"/>
  <c r="AH343" i="13"/>
  <c r="F340" i="17" s="1"/>
  <c r="AH471" i="13"/>
  <c r="F468" i="17" s="1"/>
  <c r="AH366" i="13"/>
  <c r="F363" i="17" s="1"/>
  <c r="AH484" i="13"/>
  <c r="F481" i="17" s="1"/>
  <c r="AH498" i="13"/>
  <c r="F495" i="17" s="1"/>
  <c r="AH478" i="13"/>
  <c r="F475" i="17" s="1"/>
  <c r="AH113" i="15"/>
  <c r="F110" i="19" s="1"/>
  <c r="AH316" i="15"/>
  <c r="F313" i="19" s="1"/>
  <c r="AH387" i="15"/>
  <c r="F384" i="19" s="1"/>
  <c r="AH390" i="15"/>
  <c r="F387" i="19" s="1"/>
  <c r="AH254" i="15"/>
  <c r="F251" i="19" s="1"/>
  <c r="AH120" i="15"/>
  <c r="F117" i="19" s="1"/>
  <c r="AH179" i="15"/>
  <c r="F176" i="19" s="1"/>
  <c r="AH380" i="15"/>
  <c r="F377" i="19" s="1"/>
  <c r="AH182" i="14"/>
  <c r="F179" i="18" s="1"/>
  <c r="AH51" i="14"/>
  <c r="F48" i="18" s="1"/>
  <c r="AH49" i="14"/>
  <c r="F46" i="18" s="1"/>
  <c r="AH136" i="14"/>
  <c r="F133" i="18" s="1"/>
  <c r="AH190" i="14"/>
  <c r="F187" i="18" s="1"/>
  <c r="AH171" i="14"/>
  <c r="F168" i="18" s="1"/>
  <c r="AH453" i="14"/>
  <c r="F450" i="18" s="1"/>
  <c r="AH295" i="14"/>
  <c r="F292" i="18" s="1"/>
  <c r="AH414" i="14"/>
  <c r="F411" i="18" s="1"/>
  <c r="AH324" i="14"/>
  <c r="F321" i="18" s="1"/>
  <c r="AH246" i="14"/>
  <c r="F243" i="18" s="1"/>
  <c r="AH367" i="14"/>
  <c r="F364" i="18" s="1"/>
  <c r="AH297" i="14"/>
  <c r="F294" i="18" s="1"/>
  <c r="AH285" i="14"/>
  <c r="F282" i="18" s="1"/>
  <c r="AH388" i="14"/>
  <c r="F385" i="18" s="1"/>
  <c r="AH492" i="14"/>
  <c r="F489" i="18" s="1"/>
  <c r="AH170" i="13"/>
  <c r="F167" i="17" s="1"/>
  <c r="AH38" i="13"/>
  <c r="F35" i="17" s="1"/>
  <c r="AH49" i="13"/>
  <c r="F46" i="17" s="1"/>
  <c r="AH453" i="13"/>
  <c r="F450" i="17" s="1"/>
  <c r="AH53" i="13"/>
  <c r="F50" i="17" s="1"/>
  <c r="AH15" i="13"/>
  <c r="F12" i="17" s="1"/>
  <c r="AH260" i="13"/>
  <c r="F257" i="17" s="1"/>
  <c r="AH82" i="13"/>
  <c r="F79" i="17" s="1"/>
  <c r="AH126" i="13"/>
  <c r="F123" i="17" s="1"/>
  <c r="AH405" i="13"/>
  <c r="F402" i="17" s="1"/>
  <c r="AH112" i="13"/>
  <c r="F109" i="17" s="1"/>
  <c r="AH336" i="13"/>
  <c r="F333" i="17" s="1"/>
  <c r="AH436" i="13"/>
  <c r="F433" i="17" s="1"/>
  <c r="AH294" i="13"/>
  <c r="F291" i="17" s="1"/>
  <c r="AH211" i="13"/>
  <c r="F208" i="17" s="1"/>
  <c r="AH183" i="13"/>
  <c r="F180" i="17" s="1"/>
  <c r="AH163" i="13"/>
  <c r="F160" i="17" s="1"/>
  <c r="AH139" i="13"/>
  <c r="F136" i="17" s="1"/>
  <c r="AH373" i="13"/>
  <c r="F370" i="17" s="1"/>
  <c r="AH286" i="13"/>
  <c r="F283" i="17" s="1"/>
  <c r="AH472" i="13"/>
  <c r="F469" i="17" s="1"/>
  <c r="AH317" i="13"/>
  <c r="F314" i="17" s="1"/>
  <c r="AH283" i="13"/>
  <c r="F280" i="17" s="1"/>
  <c r="AH410" i="13"/>
  <c r="F407" i="17" s="1"/>
  <c r="AH259" i="13"/>
  <c r="F256" i="17" s="1"/>
  <c r="AH427" i="13"/>
  <c r="F424" i="17" s="1"/>
  <c r="AH362" i="13"/>
  <c r="F359" i="17" s="1"/>
  <c r="AH495" i="13"/>
  <c r="F492" i="17" s="1"/>
  <c r="AH349" i="13"/>
  <c r="F346" i="17" s="1"/>
  <c r="AH477" i="13"/>
  <c r="F474" i="17" s="1"/>
  <c r="AH374" i="13"/>
  <c r="F371" i="17" s="1"/>
  <c r="AH500" i="13"/>
  <c r="F497" i="17" s="1"/>
  <c r="AH480" i="13"/>
  <c r="F477" i="17" s="1"/>
  <c r="AH36" i="15"/>
  <c r="F33" i="19" s="1"/>
  <c r="AH446" i="15"/>
  <c r="F443" i="19" s="1"/>
  <c r="AH499" i="15"/>
  <c r="F496" i="19" s="1"/>
  <c r="AH280" i="15"/>
  <c r="F277" i="19" s="1"/>
  <c r="AH168" i="15"/>
  <c r="F165" i="19" s="1"/>
  <c r="AH219" i="15"/>
  <c r="F216" i="19" s="1"/>
  <c r="AH329" i="15"/>
  <c r="F326" i="19" s="1"/>
  <c r="AH232" i="14"/>
  <c r="F229" i="18" s="1"/>
  <c r="AH104" i="14"/>
  <c r="F101" i="18" s="1"/>
  <c r="AH57" i="14"/>
  <c r="F54" i="18" s="1"/>
  <c r="AH139" i="14"/>
  <c r="F136" i="18" s="1"/>
  <c r="AH219" i="14"/>
  <c r="F216" i="18" s="1"/>
  <c r="AH174" i="14"/>
  <c r="F171" i="18" s="1"/>
  <c r="AH361" i="13"/>
  <c r="F358" i="17" s="1"/>
  <c r="AH306" i="14"/>
  <c r="F303" i="18" s="1"/>
  <c r="AH287" i="14"/>
  <c r="F284" i="18" s="1"/>
  <c r="AH327" i="14"/>
  <c r="F324" i="18" s="1"/>
  <c r="AH267" i="14"/>
  <c r="F264" i="18" s="1"/>
  <c r="AH370" i="14"/>
  <c r="F367" i="18" s="1"/>
  <c r="AH310" i="14"/>
  <c r="F307" i="18" s="1"/>
  <c r="AH291" i="14"/>
  <c r="F288" i="18" s="1"/>
  <c r="AH399" i="14"/>
  <c r="F396" i="18" s="1"/>
  <c r="AH500" i="14"/>
  <c r="F497" i="18" s="1"/>
  <c r="AH204" i="13"/>
  <c r="F201" i="17" s="1"/>
  <c r="AH46" i="13"/>
  <c r="F43" i="17" s="1"/>
  <c r="AH57" i="13"/>
  <c r="F54" i="17" s="1"/>
  <c r="AH481" i="13"/>
  <c r="F478" i="17" s="1"/>
  <c r="AH61" i="13"/>
  <c r="F58" i="17" s="1"/>
  <c r="AH31" i="13"/>
  <c r="F28" i="17" s="1"/>
  <c r="AH24" i="13"/>
  <c r="F21" i="17" s="1"/>
  <c r="AH292" i="13"/>
  <c r="F289" i="17" s="1"/>
  <c r="AH162" i="13"/>
  <c r="F159" i="17" s="1"/>
  <c r="AH146" i="13"/>
  <c r="F143" i="17" s="1"/>
  <c r="AH435" i="13"/>
  <c r="F432" i="17" s="1"/>
  <c r="AH114" i="13"/>
  <c r="F111" i="17" s="1"/>
  <c r="AH357" i="13"/>
  <c r="F354" i="17" s="1"/>
  <c r="AH375" i="13"/>
  <c r="F372" i="17" s="1"/>
  <c r="AH456" i="13"/>
  <c r="F453" i="17" s="1"/>
  <c r="AH497" i="13"/>
  <c r="F494" i="17" s="1"/>
  <c r="AH439" i="13"/>
  <c r="F436" i="17" s="1"/>
  <c r="AH278" i="13"/>
  <c r="F275" i="17" s="1"/>
  <c r="AH203" i="13"/>
  <c r="F200" i="17" s="1"/>
  <c r="AH181" i="13"/>
  <c r="F178" i="17" s="1"/>
  <c r="AH157" i="13"/>
  <c r="F154" i="17" s="1"/>
  <c r="AH137" i="13"/>
  <c r="F134" i="17" s="1"/>
  <c r="AH415" i="13"/>
  <c r="F412" i="17" s="1"/>
  <c r="AH344" i="13"/>
  <c r="F341" i="17" s="1"/>
  <c r="AH229" i="13"/>
  <c r="F226" i="17" s="1"/>
  <c r="AH412" i="13"/>
  <c r="F409" i="17" s="1"/>
  <c r="AH304" i="13"/>
  <c r="F301" i="17" s="1"/>
  <c r="AH422" i="13"/>
  <c r="F419" i="17" s="1"/>
  <c r="AH275" i="13"/>
  <c r="F272" i="17" s="1"/>
  <c r="AH461" i="13"/>
  <c r="F458" i="17" s="1"/>
  <c r="AH368" i="13"/>
  <c r="F365" i="17" s="1"/>
  <c r="AH239" i="13"/>
  <c r="F236" i="17" s="1"/>
  <c r="AH396" i="13"/>
  <c r="F393" i="17" s="1"/>
  <c r="AH487" i="13"/>
  <c r="F484" i="17" s="1"/>
  <c r="AH388" i="13"/>
  <c r="F385" i="17" s="1"/>
  <c r="AH370" i="13"/>
  <c r="F367" i="17" s="1"/>
  <c r="AH496" i="13"/>
  <c r="F493" i="17" s="1"/>
  <c r="AH182" i="15"/>
  <c r="F179" i="19" s="1"/>
  <c r="AH150" i="15"/>
  <c r="F147" i="19" s="1"/>
  <c r="AH73" i="15"/>
  <c r="F70" i="19" s="1"/>
  <c r="AH394" i="15"/>
  <c r="F391" i="19" s="1"/>
  <c r="AH249" i="15"/>
  <c r="F246" i="19" s="1"/>
  <c r="AH304" i="15"/>
  <c r="F301" i="19" s="1"/>
  <c r="AH456" i="15"/>
  <c r="F453" i="19" s="1"/>
  <c r="AH44" i="14"/>
  <c r="F41" i="18" s="1"/>
  <c r="AH156" i="14"/>
  <c r="F153" i="18" s="1"/>
  <c r="AH153" i="14"/>
  <c r="F150" i="18" s="1"/>
  <c r="AH437" i="14"/>
  <c r="F434" i="18" s="1"/>
  <c r="AH375" i="14"/>
  <c r="F372" i="18" s="1"/>
  <c r="AH177" i="14"/>
  <c r="F174" i="18" s="1"/>
  <c r="AH479" i="14"/>
  <c r="F476" i="18" s="1"/>
  <c r="AH386" i="14"/>
  <c r="F383" i="18" s="1"/>
  <c r="AH311" i="14"/>
  <c r="F308" i="18" s="1"/>
  <c r="AH393" i="14"/>
  <c r="F390" i="18" s="1"/>
  <c r="AH283" i="14"/>
  <c r="F280" i="18" s="1"/>
  <c r="AH382" i="14"/>
  <c r="F379" i="18" s="1"/>
  <c r="AH313" i="14"/>
  <c r="F310" i="18" s="1"/>
  <c r="AH307" i="14"/>
  <c r="F304" i="18" s="1"/>
  <c r="AH438" i="14"/>
  <c r="F435" i="18" s="1"/>
  <c r="AH342" i="14"/>
  <c r="F339" i="18" s="1"/>
  <c r="AH238" i="13"/>
  <c r="F235" i="17" s="1"/>
  <c r="AH54" i="13"/>
  <c r="F51" i="17" s="1"/>
  <c r="AH65" i="13"/>
  <c r="F62" i="17" s="1"/>
  <c r="AH47" i="13"/>
  <c r="F44" i="17" s="1"/>
  <c r="AH69" i="13"/>
  <c r="F66" i="17" s="1"/>
  <c r="AH55" i="13"/>
  <c r="F52" i="17" s="1"/>
  <c r="AH32" i="13"/>
  <c r="F29" i="17" s="1"/>
  <c r="AH324" i="13"/>
  <c r="F321" i="17" s="1"/>
  <c r="AH11" i="13"/>
  <c r="F8" i="17" s="1"/>
  <c r="AH152" i="13"/>
  <c r="F149" i="17" s="1"/>
  <c r="AH84" i="13"/>
  <c r="F81" i="17" s="1"/>
  <c r="AH116" i="13"/>
  <c r="F113" i="17" s="1"/>
  <c r="AH377" i="13"/>
  <c r="F374" i="17" s="1"/>
  <c r="AH381" i="13"/>
  <c r="F378" i="17" s="1"/>
  <c r="AH232" i="13"/>
  <c r="F229" i="17" s="1"/>
  <c r="AH408" i="13"/>
  <c r="F405" i="17" s="1"/>
  <c r="AH445" i="13"/>
  <c r="F442" i="17" s="1"/>
  <c r="AH262" i="13"/>
  <c r="F259" i="17" s="1"/>
  <c r="AH201" i="13"/>
  <c r="F198" i="17" s="1"/>
  <c r="AH179" i="13"/>
  <c r="F176" i="17" s="1"/>
  <c r="AH155" i="13"/>
  <c r="F152" i="17" s="1"/>
  <c r="AH135" i="13"/>
  <c r="F132" i="17" s="1"/>
  <c r="AH447" i="13"/>
  <c r="F444" i="17" s="1"/>
  <c r="AH356" i="13"/>
  <c r="F353" i="17" s="1"/>
  <c r="AH266" i="13"/>
  <c r="F263" i="17" s="1"/>
  <c r="AH459" i="13"/>
  <c r="F456" i="17" s="1"/>
  <c r="AH315" i="13"/>
  <c r="F312" i="17" s="1"/>
  <c r="AH437" i="13"/>
  <c r="F434" i="17" s="1"/>
  <c r="AH291" i="13"/>
  <c r="F288" i="17" s="1"/>
  <c r="AH488" i="13"/>
  <c r="F485" i="17" s="1"/>
  <c r="AH382" i="13"/>
  <c r="F379" i="17" s="1"/>
  <c r="AH255" i="13"/>
  <c r="F252" i="17" s="1"/>
  <c r="AH399" i="13"/>
  <c r="F396" i="17" s="1"/>
  <c r="AH249" i="13"/>
  <c r="F246" i="17" s="1"/>
  <c r="AH416" i="13"/>
  <c r="F413" i="17" s="1"/>
  <c r="AH386" i="13"/>
  <c r="F383" i="17" s="1"/>
  <c r="AH234" i="15"/>
  <c r="F231" i="19" s="1"/>
  <c r="AH166" i="15"/>
  <c r="F163" i="19" s="1"/>
  <c r="AH78" i="15"/>
  <c r="F75" i="19" s="1"/>
  <c r="AH397" i="15"/>
  <c r="F394" i="19" s="1"/>
  <c r="AH255" i="15"/>
  <c r="F252" i="19" s="1"/>
  <c r="AH307" i="15"/>
  <c r="F304" i="19" s="1"/>
  <c r="AH469" i="15"/>
  <c r="F466" i="19" s="1"/>
  <c r="AH55" i="14"/>
  <c r="F52" i="18" s="1"/>
  <c r="AH165" i="14"/>
  <c r="F162" i="18" s="1"/>
  <c r="AH159" i="14"/>
  <c r="F156" i="18" s="1"/>
  <c r="AH119" i="14"/>
  <c r="F116" i="18" s="1"/>
  <c r="AH384" i="14"/>
  <c r="F381" i="18" s="1"/>
  <c r="AH180" i="14"/>
  <c r="F177" i="18" s="1"/>
  <c r="AH264" i="14"/>
  <c r="F261" i="18" s="1"/>
  <c r="AH420" i="14"/>
  <c r="F417" i="18" s="1"/>
  <c r="AH325" i="14"/>
  <c r="F322" i="18" s="1"/>
  <c r="AH396" i="14"/>
  <c r="F393" i="18" s="1"/>
  <c r="AH293" i="14"/>
  <c r="F290" i="18" s="1"/>
  <c r="AH448" i="14"/>
  <c r="F445" i="18" s="1"/>
  <c r="AH326" i="14"/>
  <c r="F323" i="18" s="1"/>
  <c r="AH323" i="14"/>
  <c r="F320" i="18" s="1"/>
  <c r="AH452" i="14"/>
  <c r="F449" i="18" s="1"/>
  <c r="AH470" i="14"/>
  <c r="F467" i="18" s="1"/>
  <c r="AH250" i="13"/>
  <c r="F247" i="17" s="1"/>
  <c r="AH62" i="13"/>
  <c r="F59" i="17" s="1"/>
  <c r="AH73" i="13"/>
  <c r="F70" i="17" s="1"/>
  <c r="AH26" i="13"/>
  <c r="F23" i="17" s="1"/>
  <c r="AH77" i="13"/>
  <c r="F74" i="17" s="1"/>
  <c r="AH71" i="13"/>
  <c r="F68" i="17" s="1"/>
  <c r="AH40" i="13"/>
  <c r="F37" i="17" s="1"/>
  <c r="AH483" i="13"/>
  <c r="F480" i="17" s="1"/>
  <c r="AH19" i="13"/>
  <c r="F16" i="17" s="1"/>
  <c r="AH160" i="13"/>
  <c r="F157" i="17" s="1"/>
  <c r="AH86" i="13"/>
  <c r="F83" i="17" s="1"/>
  <c r="AH121" i="13"/>
  <c r="F118" i="17" s="1"/>
  <c r="AH414" i="13"/>
  <c r="F411" i="17" s="1"/>
  <c r="AH384" i="13"/>
  <c r="F381" i="17" s="1"/>
  <c r="AH285" i="13"/>
  <c r="F282" i="17" s="1"/>
  <c r="AH267" i="13"/>
  <c r="F264" i="17" s="1"/>
  <c r="AH448" i="13"/>
  <c r="F445" i="17" s="1"/>
  <c r="AH246" i="13"/>
  <c r="F243" i="17" s="1"/>
  <c r="AH199" i="13"/>
  <c r="F196" i="17" s="1"/>
  <c r="AH173" i="13"/>
  <c r="F170" i="17" s="1"/>
  <c r="AH153" i="13"/>
  <c r="F150" i="17" s="1"/>
  <c r="AH133" i="13"/>
  <c r="F130" i="17" s="1"/>
  <c r="AH129" i="13"/>
  <c r="F126" i="17" s="1"/>
  <c r="AH359" i="13"/>
  <c r="F356" i="17" s="1"/>
  <c r="AH295" i="13"/>
  <c r="F292" i="17" s="1"/>
  <c r="AH240" i="13"/>
  <c r="F237" i="17" s="1"/>
  <c r="AH322" i="13"/>
  <c r="F319" i="17" s="1"/>
  <c r="AH440" i="13"/>
  <c r="F437" i="17" s="1"/>
  <c r="AH333" i="13"/>
  <c r="F330" i="17" s="1"/>
  <c r="AH245" i="13"/>
  <c r="F242" i="17" s="1"/>
  <c r="AH390" i="13"/>
  <c r="F387" i="17" s="1"/>
  <c r="AH303" i="13"/>
  <c r="F300" i="17" s="1"/>
  <c r="AH407" i="13"/>
  <c r="F404" i="17" s="1"/>
  <c r="AH265" i="13"/>
  <c r="F262" i="17" s="1"/>
  <c r="AH452" i="13"/>
  <c r="F449" i="17" s="1"/>
  <c r="AH402" i="13"/>
  <c r="F399" i="17" s="1"/>
  <c r="AH82" i="15"/>
  <c r="F79" i="19" s="1"/>
  <c r="AH439" i="15"/>
  <c r="F436" i="19" s="1"/>
  <c r="AH223" i="15"/>
  <c r="F220" i="19" s="1"/>
  <c r="AH245" i="15"/>
  <c r="F242" i="19" s="1"/>
  <c r="AH451" i="15"/>
  <c r="F448" i="19" s="1"/>
  <c r="AH289" i="15"/>
  <c r="F286" i="19" s="1"/>
  <c r="AH428" i="15"/>
  <c r="F425" i="19" s="1"/>
  <c r="AH70" i="14"/>
  <c r="F67" i="18" s="1"/>
  <c r="AH26" i="14"/>
  <c r="F23" i="18" s="1"/>
  <c r="AH59" i="14"/>
  <c r="F56" i="18" s="1"/>
  <c r="AH237" i="14"/>
  <c r="F234" i="18" s="1"/>
  <c r="AH305" i="14"/>
  <c r="F302" i="18" s="1"/>
  <c r="AH233" i="14"/>
  <c r="F230" i="18" s="1"/>
  <c r="AH112" i="14"/>
  <c r="F109" i="18" s="1"/>
  <c r="AH491" i="14"/>
  <c r="F488" i="18" s="1"/>
  <c r="AH457" i="14"/>
  <c r="F454" i="18" s="1"/>
  <c r="AH483" i="14"/>
  <c r="F480" i="18" s="1"/>
  <c r="AH442" i="14"/>
  <c r="F439" i="18" s="1"/>
  <c r="AH331" i="14"/>
  <c r="F328" i="18" s="1"/>
  <c r="AH415" i="14"/>
  <c r="F412" i="18" s="1"/>
  <c r="AH435" i="14"/>
  <c r="F432" i="18" s="1"/>
  <c r="AH344" i="14"/>
  <c r="F341" i="18" s="1"/>
  <c r="AH20" i="13"/>
  <c r="F17" i="17" s="1"/>
  <c r="AH12" i="13"/>
  <c r="F9" i="17" s="1"/>
  <c r="AH172" i="13"/>
  <c r="F169" i="17" s="1"/>
  <c r="AH113" i="13"/>
  <c r="F110" i="17" s="1"/>
  <c r="AH182" i="13"/>
  <c r="F179" i="17" s="1"/>
  <c r="AH120" i="13"/>
  <c r="F117" i="17" s="1"/>
  <c r="AH216" i="13"/>
  <c r="F213" i="17" s="1"/>
  <c r="AH80" i="13"/>
  <c r="F77" i="17" s="1"/>
  <c r="AH95" i="13"/>
  <c r="F92" i="17" s="1"/>
  <c r="AH59" i="13"/>
  <c r="F56" i="17" s="1"/>
  <c r="AH417" i="13"/>
  <c r="F414" i="17" s="1"/>
  <c r="AH96" i="13"/>
  <c r="F93" i="17" s="1"/>
  <c r="AH196" i="13"/>
  <c r="F193" i="17" s="1"/>
  <c r="AH273" i="13"/>
  <c r="F270" i="17" s="1"/>
  <c r="AH470" i="13"/>
  <c r="F467" i="17" s="1"/>
  <c r="AH350" i="13"/>
  <c r="F347" i="17" s="1"/>
  <c r="AH127" i="13"/>
  <c r="F124" i="17" s="1"/>
  <c r="AH457" i="13"/>
  <c r="F454" i="17" s="1"/>
  <c r="AH219" i="13"/>
  <c r="F216" i="17" s="1"/>
  <c r="AH197" i="13"/>
  <c r="F194" i="17" s="1"/>
  <c r="AH171" i="13"/>
  <c r="F168" i="17" s="1"/>
  <c r="AH151" i="13"/>
  <c r="F148" i="17" s="1"/>
  <c r="AH131" i="13"/>
  <c r="F128" i="17" s="1"/>
  <c r="AH125" i="13"/>
  <c r="F122" i="17" s="1"/>
  <c r="AH365" i="13"/>
  <c r="F362" i="17" s="1"/>
  <c r="AH334" i="13"/>
  <c r="F331" i="17" s="1"/>
  <c r="AH251" i="13"/>
  <c r="F248" i="17" s="1"/>
  <c r="AH341" i="13"/>
  <c r="F338" i="17" s="1"/>
  <c r="AH449" i="13"/>
  <c r="F446" i="17" s="1"/>
  <c r="AH363" i="13"/>
  <c r="F360" i="17" s="1"/>
  <c r="AH261" i="13"/>
  <c r="F258" i="17" s="1"/>
  <c r="AH404" i="13"/>
  <c r="F401" i="17" s="1"/>
  <c r="AH319" i="13"/>
  <c r="F316" i="17" s="1"/>
  <c r="AH413" i="13"/>
  <c r="F410" i="17" s="1"/>
  <c r="AH281" i="13"/>
  <c r="F278" i="17" s="1"/>
  <c r="AH490" i="13"/>
  <c r="F487" i="17" s="1"/>
  <c r="AH418" i="13"/>
  <c r="F415" i="17" s="1"/>
  <c r="AH372" i="13"/>
  <c r="F369" i="17" s="1"/>
  <c r="H63" i="7"/>
  <c r="A66" i="7"/>
  <c r="G92" i="4"/>
  <c r="H48" i="4"/>
  <c r="H47" i="4"/>
  <c r="H46" i="4"/>
  <c r="E40" i="4"/>
  <c r="F26" i="4" l="1"/>
  <c r="J26" i="4" s="1"/>
  <c r="L26" i="4" s="1"/>
  <c r="F29" i="4"/>
  <c r="J29" i="4" s="1"/>
  <c r="C8" i="20"/>
  <c r="F27" i="4"/>
  <c r="H64" i="7"/>
  <c r="A67" i="7"/>
  <c r="D8" i="20" l="1"/>
  <c r="J27" i="4"/>
  <c r="L27" i="4" s="1"/>
  <c r="M35" i="4"/>
  <c r="E87" i="4"/>
  <c r="L29" i="4"/>
  <c r="E86" i="4"/>
  <c r="H65" i="7"/>
  <c r="A68" i="7"/>
  <c r="B2" i="7"/>
  <c r="G17" i="5"/>
  <c r="G9" i="5"/>
  <c r="E84" i="4" l="1"/>
  <c r="L30" i="4"/>
  <c r="H66" i="7"/>
  <c r="A69" i="7"/>
  <c r="H67" i="7" l="1"/>
  <c r="A70" i="7"/>
  <c r="AC22" i="7"/>
  <c r="AC23" i="7" s="1"/>
  <c r="AC24" i="7" s="1"/>
  <c r="AC25" i="7" s="1"/>
  <c r="AC26" i="7" s="1"/>
  <c r="AC27" i="7" s="1"/>
  <c r="AC28" i="7" s="1"/>
  <c r="AC29" i="7" s="1"/>
  <c r="AC30" i="7" s="1"/>
  <c r="AC31" i="7" s="1"/>
  <c r="AC32" i="7" s="1"/>
  <c r="AC33" i="7" s="1"/>
  <c r="AC34" i="7" s="1"/>
  <c r="AC35" i="7" s="1"/>
  <c r="AC36" i="7" s="1"/>
  <c r="V22" i="7"/>
  <c r="V23" i="7" s="1"/>
  <c r="V24" i="7" s="1"/>
  <c r="V25" i="7" s="1"/>
  <c r="V26" i="7" s="1"/>
  <c r="V27" i="7" s="1"/>
  <c r="V28" i="7" s="1"/>
  <c r="O22" i="7"/>
  <c r="O23" i="7" s="1"/>
  <c r="O24" i="7" s="1"/>
  <c r="O25" i="7" s="1"/>
  <c r="O26" i="7" s="1"/>
  <c r="H22" i="7"/>
  <c r="H23" i="7" s="1"/>
  <c r="H24" i="7" s="1"/>
  <c r="H25" i="7" s="1"/>
  <c r="H26" i="7" s="1"/>
  <c r="H27" i="7" s="1"/>
  <c r="H28" i="7" s="1"/>
  <c r="H29" i="7" s="1"/>
  <c r="H30" i="7" s="1"/>
  <c r="H31" i="7" s="1"/>
  <c r="H32" i="7" s="1"/>
  <c r="H33" i="7" s="1"/>
  <c r="H34" i="7" s="1"/>
  <c r="H35" i="7" s="1"/>
  <c r="H36" i="7" s="1"/>
  <c r="H37" i="7" s="1"/>
  <c r="H38" i="7" s="1"/>
  <c r="H39" i="7" s="1"/>
  <c r="H40" i="7" s="1"/>
  <c r="H41" i="7" s="1"/>
  <c r="H42" i="7" s="1"/>
  <c r="H43" i="7" s="1"/>
  <c r="A22" i="7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H68" i="7" l="1"/>
  <c r="A71" i="7"/>
  <c r="C13" i="7"/>
  <c r="C14" i="7"/>
  <c r="C12" i="7"/>
  <c r="B28" i="5"/>
  <c r="B29" i="5" s="1"/>
  <c r="B30" i="5" s="1"/>
  <c r="B31" i="5" s="1"/>
  <c r="B32" i="5" s="1"/>
  <c r="B33" i="5" s="1"/>
  <c r="B34" i="5" s="1"/>
  <c r="B35" i="5" s="1"/>
  <c r="B36" i="5" s="1"/>
  <c r="B37" i="5" s="1"/>
  <c r="B38" i="5" s="1"/>
  <c r="B39" i="5" s="1"/>
  <c r="B40" i="5" s="1"/>
  <c r="B41" i="5" s="1"/>
  <c r="B42" i="5" s="1"/>
  <c r="B43" i="5" s="1"/>
  <c r="B44" i="5" s="1"/>
  <c r="B45" i="5" s="1"/>
  <c r="B46" i="5" s="1"/>
  <c r="B47" i="5" s="1"/>
  <c r="B48" i="5" s="1"/>
  <c r="B49" i="5" s="1"/>
  <c r="B50" i="5" s="1"/>
  <c r="B51" i="5" s="1"/>
  <c r="B52" i="5" s="1"/>
  <c r="B53" i="5" s="1"/>
  <c r="B54" i="5" s="1"/>
  <c r="B55" i="5" s="1"/>
  <c r="C43" i="7" a="1"/>
  <c r="C43" i="7" s="1"/>
  <c r="C26" i="7" a="1"/>
  <c r="C26" i="7" s="1"/>
  <c r="J36" i="7" a="1"/>
  <c r="J36" i="7" s="1"/>
  <c r="C42" i="7" a="1"/>
  <c r="C42" i="7" s="1"/>
  <c r="C23" i="7" a="1"/>
  <c r="C23" i="7" s="1"/>
  <c r="J37" i="7" a="1"/>
  <c r="J37" i="7" s="1"/>
  <c r="J21" i="7" a="1"/>
  <c r="J21" i="7" s="1"/>
  <c r="C37" i="7" a="1"/>
  <c r="C37" i="7" s="1"/>
  <c r="J26" i="7" a="1"/>
  <c r="J26" i="7" s="1"/>
  <c r="C32" i="7" a="1"/>
  <c r="C32" i="7" s="1"/>
  <c r="J28" i="7" a="1"/>
  <c r="J28" i="7" s="1"/>
  <c r="C21" i="7" a="1"/>
  <c r="C21" i="7" s="1"/>
  <c r="C48" i="7" a="1"/>
  <c r="C48" i="7" s="1"/>
  <c r="C28" i="7" a="1"/>
  <c r="C28" i="7" s="1"/>
  <c r="J29" i="7" a="1"/>
  <c r="J29" i="7" s="1"/>
  <c r="C39" i="7" a="1"/>
  <c r="C39" i="7" s="1"/>
  <c r="J42" i="7" a="1"/>
  <c r="J42" i="7" s="1"/>
  <c r="C44" i="7" a="1"/>
  <c r="C44" i="7" s="1"/>
  <c r="C27" i="7" a="1"/>
  <c r="C27" i="7" s="1"/>
  <c r="J34" i="7" a="1"/>
  <c r="J34" i="7" s="1"/>
  <c r="C49" i="7" a="1"/>
  <c r="C49" i="7" s="1"/>
  <c r="C38" i="7" a="1"/>
  <c r="C38" i="7" s="1"/>
  <c r="C33" i="7" a="1"/>
  <c r="C33" i="7" s="1"/>
  <c r="C22" i="7" a="1"/>
  <c r="C22" i="7" s="1"/>
  <c r="J27" i="7" a="1"/>
  <c r="J27" i="7" s="1"/>
  <c r="J35" i="7" a="1"/>
  <c r="J35" i="7" s="1"/>
  <c r="J43" i="7" a="1"/>
  <c r="J43" i="7" s="1"/>
  <c r="C36" i="7" a="1"/>
  <c r="C36" i="7" s="1"/>
  <c r="C46" i="7" a="1"/>
  <c r="C46" i="7" s="1"/>
  <c r="C41" i="7" a="1"/>
  <c r="C41" i="7" s="1"/>
  <c r="C30" i="7" a="1"/>
  <c r="C30" i="7" s="1"/>
  <c r="C25" i="7" a="1"/>
  <c r="C25" i="7" s="1"/>
  <c r="J23" i="7" a="1"/>
  <c r="J23" i="7" s="1"/>
  <c r="J31" i="7" a="1"/>
  <c r="J31" i="7" s="1"/>
  <c r="J39" i="7" a="1"/>
  <c r="J39" i="7" s="1"/>
  <c r="C40" i="7" a="1"/>
  <c r="C40" i="7" s="1"/>
  <c r="C35" i="7" a="1"/>
  <c r="C35" i="7" s="1"/>
  <c r="C24" i="7" a="1"/>
  <c r="C24" i="7" s="1"/>
  <c r="J24" i="7" a="1"/>
  <c r="J24" i="7" s="1"/>
  <c r="J32" i="7" a="1"/>
  <c r="J32" i="7" s="1"/>
  <c r="J40" i="7" a="1"/>
  <c r="J40" i="7" s="1"/>
  <c r="C47" i="7" a="1"/>
  <c r="C47" i="7" s="1"/>
  <c r="C31" i="7" a="1"/>
  <c r="C31" i="7" s="1"/>
  <c r="J22" i="7" a="1"/>
  <c r="J22" i="7" s="1"/>
  <c r="J30" i="7" a="1"/>
  <c r="J30" i="7" s="1"/>
  <c r="J38" i="7" a="1"/>
  <c r="J38" i="7" s="1"/>
  <c r="C45" i="7" a="1"/>
  <c r="C45" i="7" s="1"/>
  <c r="C34" i="7" a="1"/>
  <c r="C34" i="7" s="1"/>
  <c r="C29" i="7" a="1"/>
  <c r="C29" i="7" s="1"/>
  <c r="J25" i="7" a="1"/>
  <c r="J25" i="7" s="1"/>
  <c r="J33" i="7" a="1"/>
  <c r="J33" i="7" s="1"/>
  <c r="J41" i="7" a="1"/>
  <c r="J41" i="7" s="1"/>
  <c r="B21" i="7"/>
  <c r="B22" i="7" s="1"/>
  <c r="B23" i="7" s="1"/>
  <c r="B24" i="7" s="1"/>
  <c r="B25" i="7" s="1"/>
  <c r="B26" i="7" s="1"/>
  <c r="B27" i="7" s="1"/>
  <c r="B28" i="7" s="1"/>
  <c r="B29" i="7" s="1"/>
  <c r="B30" i="7" s="1"/>
  <c r="B31" i="7" s="1"/>
  <c r="B32" i="7" s="1"/>
  <c r="B33" i="7" s="1"/>
  <c r="B34" i="7" s="1"/>
  <c r="W21" i="7"/>
  <c r="W22" i="7" s="1"/>
  <c r="W23" i="7" s="1"/>
  <c r="W24" i="7" s="1"/>
  <c r="W25" i="7" s="1"/>
  <c r="W26" i="7" s="1"/>
  <c r="W27" i="7" s="1"/>
  <c r="W28" i="7" s="1"/>
  <c r="H44" i="7"/>
  <c r="H45" i="7" s="1"/>
  <c r="H46" i="7" s="1"/>
  <c r="H47" i="7" s="1"/>
  <c r="H48" i="7" s="1"/>
  <c r="H49" i="7" s="1"/>
  <c r="J49" i="7" s="1" a="1"/>
  <c r="J49" i="7" s="1"/>
  <c r="I21" i="7"/>
  <c r="C11" i="7"/>
  <c r="AD21" i="7"/>
  <c r="P21" i="7"/>
  <c r="H69" i="7" l="1"/>
  <c r="A72" i="7"/>
  <c r="J45" i="7" a="1"/>
  <c r="J45" i="7" s="1"/>
  <c r="J48" i="7" a="1"/>
  <c r="J48" i="7" s="1"/>
  <c r="J44" i="7" a="1"/>
  <c r="J44" i="7" s="1"/>
  <c r="J47" i="7" a="1"/>
  <c r="J47" i="7" s="1"/>
  <c r="J46" i="7" a="1"/>
  <c r="J46" i="7" s="1"/>
  <c r="B35" i="7"/>
  <c r="B36" i="7" s="1"/>
  <c r="B37" i="7" s="1"/>
  <c r="B38" i="7" s="1"/>
  <c r="B39" i="7" s="1"/>
  <c r="B40" i="7" s="1"/>
  <c r="B41" i="7" s="1"/>
  <c r="B42" i="7" s="1"/>
  <c r="B43" i="7" s="1"/>
  <c r="B44" i="7" s="1"/>
  <c r="B45" i="7" s="1"/>
  <c r="B46" i="7" s="1"/>
  <c r="B47" i="7" s="1"/>
  <c r="B48" i="7" s="1"/>
  <c r="B49" i="7" s="1"/>
  <c r="P22" i="7"/>
  <c r="P23" i="7" s="1"/>
  <c r="AD22" i="7"/>
  <c r="AD23" i="7" s="1"/>
  <c r="AD24" i="7" s="1"/>
  <c r="AD25" i="7" s="1"/>
  <c r="AD26" i="7" s="1"/>
  <c r="AD27" i="7" s="1"/>
  <c r="AD28" i="7" s="1"/>
  <c r="I22" i="7"/>
  <c r="I23" i="7" s="1"/>
  <c r="I24" i="7" s="1"/>
  <c r="I25" i="7" s="1"/>
  <c r="I26" i="7" s="1"/>
  <c r="I27" i="7" s="1"/>
  <c r="I28" i="7" s="1"/>
  <c r="I29" i="7" s="1"/>
  <c r="I30" i="7" s="1"/>
  <c r="I31" i="7" s="1"/>
  <c r="I32" i="7" s="1"/>
  <c r="I33" i="7" s="1"/>
  <c r="I34" i="7" s="1"/>
  <c r="H70" i="7" l="1"/>
  <c r="A73" i="7"/>
  <c r="AD29" i="7"/>
  <c r="AD30" i="7" s="1"/>
  <c r="AD31" i="7" s="1"/>
  <c r="AD32" i="7" s="1"/>
  <c r="AD33" i="7" s="1"/>
  <c r="AD34" i="7" s="1"/>
  <c r="AD35" i="7" s="1"/>
  <c r="AD36" i="7" s="1"/>
  <c r="I35" i="7"/>
  <c r="I36" i="7" s="1"/>
  <c r="I37" i="7" s="1"/>
  <c r="I38" i="7" s="1"/>
  <c r="I39" i="7" s="1"/>
  <c r="I40" i="7" s="1"/>
  <c r="I41" i="7" s="1"/>
  <c r="I42" i="7" s="1"/>
  <c r="I43" i="7" s="1"/>
  <c r="I44" i="7" s="1"/>
  <c r="I45" i="7" s="1"/>
  <c r="I46" i="7" s="1"/>
  <c r="I47" i="7" s="1"/>
  <c r="I48" i="7" s="1"/>
  <c r="I49" i="7" s="1"/>
  <c r="P24" i="7"/>
  <c r="P25" i="7" s="1"/>
  <c r="H71" i="7" l="1"/>
  <c r="A74" i="7"/>
  <c r="P26" i="7"/>
  <c r="H72" i="7" l="1"/>
  <c r="A75" i="7"/>
  <c r="E29" i="4"/>
  <c r="E28" i="4"/>
  <c r="E27" i="4"/>
  <c r="E26" i="4"/>
  <c r="H73" i="7" l="1"/>
  <c r="A76" i="7"/>
  <c r="G12" i="5"/>
  <c r="D13" i="5" s="1"/>
  <c r="H74" i="7" l="1"/>
  <c r="A77" i="7"/>
  <c r="G16" i="5"/>
  <c r="H75" i="7" l="1"/>
  <c r="A78" i="7"/>
  <c r="D11" i="7"/>
  <c r="D72" i="7" l="1"/>
  <c r="E72" i="7" s="1"/>
  <c r="D77" i="7"/>
  <c r="E77" i="7" s="1"/>
  <c r="D91" i="7"/>
  <c r="D73" i="7"/>
  <c r="E73" i="7" s="1"/>
  <c r="D92" i="7"/>
  <c r="D86" i="7"/>
  <c r="D56" i="7"/>
  <c r="E56" i="7" s="1"/>
  <c r="H28" i="23" s="1"/>
  <c r="D55" i="7"/>
  <c r="E55" i="7" s="1"/>
  <c r="D87" i="7"/>
  <c r="D82" i="7"/>
  <c r="D78" i="7"/>
  <c r="D84" i="7"/>
  <c r="D90" i="7"/>
  <c r="D79" i="7"/>
  <c r="D66" i="7"/>
  <c r="E66" i="7" s="1"/>
  <c r="D71" i="7"/>
  <c r="E71" i="7" s="1"/>
  <c r="D89" i="7"/>
  <c r="D62" i="7"/>
  <c r="E62" i="7" s="1"/>
  <c r="D60" i="7"/>
  <c r="E60" i="7" s="1"/>
  <c r="D57" i="7"/>
  <c r="E57" i="7" s="1"/>
  <c r="H29" i="23" s="1"/>
  <c r="D64" i="7"/>
  <c r="E64" i="7" s="1"/>
  <c r="D69" i="7"/>
  <c r="E69" i="7" s="1"/>
  <c r="D75" i="7"/>
  <c r="E75" i="7" s="1"/>
  <c r="D58" i="7"/>
  <c r="E58" i="7" s="1"/>
  <c r="H30" i="23" s="1"/>
  <c r="D83" i="7"/>
  <c r="D94" i="7"/>
  <c r="D61" i="7"/>
  <c r="E61" i="7" s="1"/>
  <c r="D59" i="7"/>
  <c r="E59" i="7" s="1"/>
  <c r="H31" i="23" s="1"/>
  <c r="D67" i="7"/>
  <c r="E67" i="7" s="1"/>
  <c r="D70" i="7"/>
  <c r="E70" i="7" s="1"/>
  <c r="D76" i="7"/>
  <c r="E76" i="7" s="1"/>
  <c r="D74" i="7"/>
  <c r="E74" i="7" s="1"/>
  <c r="D65" i="7"/>
  <c r="E65" i="7" s="1"/>
  <c r="D93" i="7"/>
  <c r="D68" i="7"/>
  <c r="E68" i="7" s="1"/>
  <c r="D63" i="7"/>
  <c r="E63" i="7" s="1"/>
  <c r="D85" i="7"/>
  <c r="D81" i="7"/>
  <c r="D88" i="7"/>
  <c r="D80" i="7"/>
  <c r="D24" i="7"/>
  <c r="D25" i="7"/>
  <c r="D26" i="7"/>
  <c r="E26" i="7" s="1"/>
  <c r="H32" i="5" s="1"/>
  <c r="D35" i="7"/>
  <c r="E35" i="7" s="1"/>
  <c r="H41" i="5" s="1"/>
  <c r="D44" i="7"/>
  <c r="E44" i="7" s="1"/>
  <c r="H50" i="5" s="1"/>
  <c r="D23" i="7"/>
  <c r="E23" i="7" s="1"/>
  <c r="H29" i="5" s="1"/>
  <c r="D32" i="7"/>
  <c r="E32" i="7" s="1"/>
  <c r="H38" i="5" s="1"/>
  <c r="D33" i="7"/>
  <c r="E33" i="7" s="1"/>
  <c r="H39" i="5" s="1"/>
  <c r="D34" i="7"/>
  <c r="D43" i="7"/>
  <c r="E43" i="7" s="1"/>
  <c r="H49" i="5" s="1"/>
  <c r="D31" i="7"/>
  <c r="E31" i="7" s="1"/>
  <c r="H37" i="5" s="1"/>
  <c r="D40" i="7"/>
  <c r="E40" i="7" s="1"/>
  <c r="H46" i="5" s="1"/>
  <c r="D41" i="7"/>
  <c r="E41" i="7" s="1"/>
  <c r="H47" i="5" s="1"/>
  <c r="D42" i="7"/>
  <c r="E42" i="7" s="1"/>
  <c r="H48" i="5" s="1"/>
  <c r="D39" i="7"/>
  <c r="E39" i="7" s="1"/>
  <c r="H45" i="5" s="1"/>
  <c r="D48" i="7"/>
  <c r="E48" i="7" s="1"/>
  <c r="H54" i="5" s="1"/>
  <c r="D49" i="7"/>
  <c r="D22" i="7"/>
  <c r="D29" i="7"/>
  <c r="E29" i="7" s="1"/>
  <c r="H35" i="5" s="1"/>
  <c r="D38" i="7"/>
  <c r="E38" i="7" s="1"/>
  <c r="H44" i="5" s="1"/>
  <c r="D37" i="7"/>
  <c r="E37" i="7" s="1"/>
  <c r="H43" i="5" s="1"/>
  <c r="D27" i="7"/>
  <c r="E27" i="7" s="1"/>
  <c r="H33" i="5" s="1"/>
  <c r="D36" i="7"/>
  <c r="E36" i="7" s="1"/>
  <c r="H42" i="5" s="1"/>
  <c r="D28" i="7"/>
  <c r="E28" i="7" s="1"/>
  <c r="H34" i="5" s="1"/>
  <c r="D46" i="7"/>
  <c r="D45" i="7"/>
  <c r="D47" i="7"/>
  <c r="E47" i="7" s="1"/>
  <c r="H53" i="5" s="1"/>
  <c r="D21" i="7"/>
  <c r="D30" i="7"/>
  <c r="E30" i="7" s="1"/>
  <c r="H36" i="5" s="1"/>
  <c r="H76" i="7"/>
  <c r="E78" i="7"/>
  <c r="A79" i="7"/>
  <c r="E45" i="7"/>
  <c r="H51" i="5" s="1"/>
  <c r="E22" i="7"/>
  <c r="H28" i="5" s="1"/>
  <c r="E21" i="7"/>
  <c r="H27" i="5" s="1"/>
  <c r="E46" i="7"/>
  <c r="H52" i="5" s="1"/>
  <c r="E25" i="7"/>
  <c r="H31" i="5" s="1"/>
  <c r="E49" i="7"/>
  <c r="H55" i="5" s="1"/>
  <c r="E34" i="7"/>
  <c r="H40" i="5" s="1"/>
  <c r="E24" i="7"/>
  <c r="H30" i="5" s="1"/>
  <c r="F30" i="4"/>
  <c r="J48" i="4"/>
  <c r="J46" i="4"/>
  <c r="J47" i="4"/>
  <c r="H46" i="23" l="1"/>
  <c r="H43" i="23"/>
  <c r="F55" i="7"/>
  <c r="F56" i="7" s="1"/>
  <c r="F57" i="7" s="1"/>
  <c r="F58" i="7" s="1"/>
  <c r="F59" i="7" s="1"/>
  <c r="F60" i="7" s="1"/>
  <c r="F61" i="7" s="1"/>
  <c r="F62" i="7" s="1"/>
  <c r="F63" i="7" s="1"/>
  <c r="F64" i="7" s="1"/>
  <c r="F65" i="7" s="1"/>
  <c r="F66" i="7" s="1"/>
  <c r="F67" i="7" s="1"/>
  <c r="F68" i="7" s="1"/>
  <c r="F69" i="7" s="1"/>
  <c r="F70" i="7" s="1"/>
  <c r="F71" i="7" s="1"/>
  <c r="F72" i="7" s="1"/>
  <c r="F73" i="7" s="1"/>
  <c r="F74" i="7" s="1"/>
  <c r="F75" i="7" s="1"/>
  <c r="F76" i="7" s="1"/>
  <c r="F77" i="7" s="1"/>
  <c r="F78" i="7" s="1"/>
  <c r="H27" i="23"/>
  <c r="H48" i="23"/>
  <c r="H38" i="23"/>
  <c r="H47" i="23"/>
  <c r="H42" i="23"/>
  <c r="H41" i="23"/>
  <c r="H39" i="23"/>
  <c r="H36" i="23"/>
  <c r="H45" i="23"/>
  <c r="H50" i="23"/>
  <c r="H33" i="23"/>
  <c r="H32" i="23"/>
  <c r="H35" i="23"/>
  <c r="H34" i="23"/>
  <c r="H49" i="23"/>
  <c r="H40" i="23"/>
  <c r="H37" i="23"/>
  <c r="H44" i="23"/>
  <c r="H77" i="7"/>
  <c r="A80" i="7"/>
  <c r="E79" i="7"/>
  <c r="H56" i="5"/>
  <c r="F21" i="7"/>
  <c r="F22" i="7" s="1"/>
  <c r="F79" i="7" l="1"/>
  <c r="H51" i="23"/>
  <c r="H78" i="7"/>
  <c r="E80" i="7"/>
  <c r="A81" i="7"/>
  <c r="F23" i="7"/>
  <c r="F24" i="7" s="1"/>
  <c r="F25" i="7" s="1"/>
  <c r="F26" i="7" s="1"/>
  <c r="F27" i="7" s="1"/>
  <c r="F28" i="7" s="1"/>
  <c r="F29" i="7" s="1"/>
  <c r="F30" i="7" s="1"/>
  <c r="F31" i="7" s="1"/>
  <c r="F32" i="7" s="1"/>
  <c r="F33" i="7" s="1"/>
  <c r="F34" i="7" s="1"/>
  <c r="F35" i="7" s="1"/>
  <c r="F36" i="7" s="1"/>
  <c r="F37" i="7" s="1"/>
  <c r="F38" i="7" s="1"/>
  <c r="F39" i="7" s="1"/>
  <c r="F40" i="7" s="1"/>
  <c r="F41" i="7" s="1"/>
  <c r="F42" i="7" s="1"/>
  <c r="F43" i="7" s="1"/>
  <c r="F44" i="7" s="1"/>
  <c r="F45" i="7" s="1"/>
  <c r="F46" i="7" s="1"/>
  <c r="F47" i="7" s="1"/>
  <c r="F48" i="7" s="1"/>
  <c r="F49" i="7" s="1"/>
  <c r="F80" i="7" l="1"/>
  <c r="H52" i="23"/>
  <c r="H79" i="7"/>
  <c r="E81" i="7"/>
  <c r="A82" i="7"/>
  <c r="D15" i="7"/>
  <c r="F81" i="7" l="1"/>
  <c r="H53" i="23"/>
  <c r="H80" i="7"/>
  <c r="E82" i="7"/>
  <c r="A83" i="7"/>
  <c r="G14" i="7"/>
  <c r="G12" i="7"/>
  <c r="G11" i="7"/>
  <c r="G13" i="7"/>
  <c r="Q28" i="7" l="1"/>
  <c r="R23" i="7" s="1"/>
  <c r="S23" i="7" s="1"/>
  <c r="R21" i="7"/>
  <c r="R22" i="7"/>
  <c r="S22" i="7" s="1"/>
  <c r="AF25" i="7"/>
  <c r="AG25" i="7" s="1"/>
  <c r="AF34" i="7"/>
  <c r="AG34" i="7" s="1"/>
  <c r="AF27" i="7"/>
  <c r="AF35" i="7"/>
  <c r="AF28" i="7"/>
  <c r="AE38" i="7"/>
  <c r="AF33" i="7" s="1"/>
  <c r="AG33" i="7" s="1"/>
  <c r="Y27" i="7"/>
  <c r="Y28" i="7"/>
  <c r="Y22" i="7"/>
  <c r="Z22" i="7" s="1"/>
  <c r="X30" i="7"/>
  <c r="Y24" i="7" s="1"/>
  <c r="Z24" i="7" s="1"/>
  <c r="F82" i="7"/>
  <c r="H54" i="23"/>
  <c r="K71" i="7"/>
  <c r="L71" i="7" s="1"/>
  <c r="F43" i="23" s="1"/>
  <c r="G43" i="23" s="1"/>
  <c r="K77" i="7"/>
  <c r="L77" i="7" s="1"/>
  <c r="K84" i="7"/>
  <c r="K88" i="7"/>
  <c r="K81" i="7"/>
  <c r="K72" i="7"/>
  <c r="L72" i="7" s="1"/>
  <c r="F44" i="23" s="1"/>
  <c r="G44" i="23" s="1"/>
  <c r="K63" i="7"/>
  <c r="L63" i="7" s="1"/>
  <c r="F35" i="23" s="1"/>
  <c r="K69" i="7"/>
  <c r="L69" i="7" s="1"/>
  <c r="F41" i="23" s="1"/>
  <c r="K76" i="7"/>
  <c r="L76" i="7" s="1"/>
  <c r="K80" i="7"/>
  <c r="L80" i="7" s="1"/>
  <c r="K94" i="7"/>
  <c r="K57" i="7"/>
  <c r="L57" i="7" s="1"/>
  <c r="F29" i="23" s="1"/>
  <c r="K68" i="7"/>
  <c r="L68" i="7" s="1"/>
  <c r="F40" i="23" s="1"/>
  <c r="K60" i="7"/>
  <c r="L60" i="7" s="1"/>
  <c r="F32" i="23" s="1"/>
  <c r="K83" i="7"/>
  <c r="K90" i="7"/>
  <c r="K89" i="7"/>
  <c r="K64" i="7"/>
  <c r="L64" i="7" s="1"/>
  <c r="F36" i="23" s="1"/>
  <c r="K78" i="7"/>
  <c r="L78" i="7" s="1"/>
  <c r="K75" i="7"/>
  <c r="L75" i="7" s="1"/>
  <c r="F47" i="23" s="1"/>
  <c r="G47" i="23" s="1"/>
  <c r="K73" i="7"/>
  <c r="L73" i="7" s="1"/>
  <c r="F45" i="23" s="1"/>
  <c r="G45" i="23" s="1"/>
  <c r="K70" i="7"/>
  <c r="L70" i="7" s="1"/>
  <c r="F42" i="23" s="1"/>
  <c r="K56" i="7"/>
  <c r="L56" i="7" s="1"/>
  <c r="F28" i="23" s="1"/>
  <c r="K67" i="7"/>
  <c r="L67" i="7" s="1"/>
  <c r="F39" i="23" s="1"/>
  <c r="K65" i="7"/>
  <c r="L65" i="7" s="1"/>
  <c r="F37" i="23" s="1"/>
  <c r="K62" i="7"/>
  <c r="L62" i="7" s="1"/>
  <c r="F34" i="23" s="1"/>
  <c r="K61" i="7"/>
  <c r="L61" i="7" s="1"/>
  <c r="F33" i="23" s="1"/>
  <c r="K91" i="7"/>
  <c r="K86" i="7"/>
  <c r="K74" i="7"/>
  <c r="L74" i="7" s="1"/>
  <c r="F46" i="23" s="1"/>
  <c r="G46" i="23" s="1"/>
  <c r="K87" i="7"/>
  <c r="K93" i="7"/>
  <c r="K59" i="7"/>
  <c r="L59" i="7" s="1"/>
  <c r="F31" i="23" s="1"/>
  <c r="K58" i="7"/>
  <c r="L58" i="7" s="1"/>
  <c r="F30" i="23" s="1"/>
  <c r="K55" i="7"/>
  <c r="L55" i="7" s="1"/>
  <c r="K82" i="7"/>
  <c r="K66" i="7"/>
  <c r="L66" i="7" s="1"/>
  <c r="F38" i="23" s="1"/>
  <c r="K79" i="7"/>
  <c r="L79" i="7" s="1"/>
  <c r="K85" i="7"/>
  <c r="K92" i="7"/>
  <c r="K44" i="7"/>
  <c r="L44" i="7" s="1"/>
  <c r="F50" i="5" s="1"/>
  <c r="G50" i="5" s="1"/>
  <c r="K27" i="7"/>
  <c r="L27" i="7" s="1"/>
  <c r="F33" i="5" s="1"/>
  <c r="K26" i="7"/>
  <c r="L26" i="7" s="1"/>
  <c r="F32" i="5" s="1"/>
  <c r="K35" i="7"/>
  <c r="L35" i="7" s="1"/>
  <c r="F41" i="5" s="1"/>
  <c r="K25" i="7"/>
  <c r="L25" i="7" s="1"/>
  <c r="F31" i="5" s="1"/>
  <c r="K34" i="7"/>
  <c r="L34" i="7" s="1"/>
  <c r="F40" i="5" s="1"/>
  <c r="K43" i="7"/>
  <c r="L43" i="7" s="1"/>
  <c r="F49" i="5" s="1"/>
  <c r="G49" i="5" s="1"/>
  <c r="K24" i="7"/>
  <c r="L24" i="7" s="1"/>
  <c r="F30" i="5" s="1"/>
  <c r="K33" i="7"/>
  <c r="L33" i="7" s="1"/>
  <c r="F39" i="5" s="1"/>
  <c r="K42" i="7"/>
  <c r="L42" i="7" s="1"/>
  <c r="F48" i="5" s="1"/>
  <c r="G48" i="5" s="1"/>
  <c r="K29" i="7"/>
  <c r="L29" i="7" s="1"/>
  <c r="F35" i="5" s="1"/>
  <c r="K30" i="7"/>
  <c r="L30" i="7" s="1"/>
  <c r="F36" i="5" s="1"/>
  <c r="K31" i="7"/>
  <c r="L31" i="7" s="1"/>
  <c r="F37" i="5" s="1"/>
  <c r="K40" i="7"/>
  <c r="L40" i="7" s="1"/>
  <c r="F46" i="5" s="1"/>
  <c r="G46" i="5" s="1"/>
  <c r="K49" i="7"/>
  <c r="L49" i="7" s="1"/>
  <c r="F55" i="5" s="1"/>
  <c r="G55" i="5" s="1"/>
  <c r="K37" i="7"/>
  <c r="L37" i="7" s="1"/>
  <c r="F43" i="5" s="1"/>
  <c r="G43" i="5" s="1"/>
  <c r="K38" i="7"/>
  <c r="L38" i="7" s="1"/>
  <c r="F44" i="5" s="1"/>
  <c r="G44" i="5" s="1"/>
  <c r="K48" i="7"/>
  <c r="L48" i="7" s="1"/>
  <c r="F54" i="5" s="1"/>
  <c r="G54" i="5" s="1"/>
  <c r="K36" i="7"/>
  <c r="L36" i="7" s="1"/>
  <c r="F42" i="5" s="1"/>
  <c r="K45" i="7"/>
  <c r="L45" i="7" s="1"/>
  <c r="F51" i="5" s="1"/>
  <c r="G51" i="5" s="1"/>
  <c r="K47" i="7"/>
  <c r="L47" i="7" s="1"/>
  <c r="F53" i="5" s="1"/>
  <c r="G53" i="5" s="1"/>
  <c r="K21" i="7"/>
  <c r="L21" i="7" s="1"/>
  <c r="F27" i="5" s="1"/>
  <c r="K28" i="7"/>
  <c r="L28" i="7" s="1"/>
  <c r="F34" i="5" s="1"/>
  <c r="K39" i="7"/>
  <c r="L39" i="7" s="1"/>
  <c r="F45" i="5" s="1"/>
  <c r="G45" i="5" s="1"/>
  <c r="K46" i="7"/>
  <c r="L46" i="7" s="1"/>
  <c r="F52" i="5" s="1"/>
  <c r="G52" i="5" s="1"/>
  <c r="K22" i="7"/>
  <c r="L22" i="7" s="1"/>
  <c r="F28" i="5" s="1"/>
  <c r="K23" i="7"/>
  <c r="L23" i="7" s="1"/>
  <c r="F29" i="5" s="1"/>
  <c r="K32" i="7"/>
  <c r="L32" i="7" s="1"/>
  <c r="F38" i="5" s="1"/>
  <c r="K41" i="7"/>
  <c r="L41" i="7" s="1"/>
  <c r="F47" i="5" s="1"/>
  <c r="G47" i="5" s="1"/>
  <c r="H81" i="7"/>
  <c r="A84" i="7"/>
  <c r="E83" i="7"/>
  <c r="S21" i="7"/>
  <c r="T21" i="7" s="1"/>
  <c r="G15" i="7"/>
  <c r="AF24" i="7" l="1"/>
  <c r="AG24" i="7" s="1"/>
  <c r="Y21" i="7"/>
  <c r="AF31" i="7"/>
  <c r="AG31" i="7" s="1"/>
  <c r="E37" i="5" s="1"/>
  <c r="G37" i="5" s="1"/>
  <c r="AF30" i="7"/>
  <c r="AG30" i="7" s="1"/>
  <c r="E36" i="5" s="1"/>
  <c r="G36" i="5" s="1"/>
  <c r="AF22" i="7"/>
  <c r="AF23" i="7"/>
  <c r="AG23" i="7" s="1"/>
  <c r="E29" i="5" s="1"/>
  <c r="AF21" i="7"/>
  <c r="AG21" i="7" s="1"/>
  <c r="AH21" i="7" s="1"/>
  <c r="AF32" i="7"/>
  <c r="AG32" i="7" s="1"/>
  <c r="E38" i="5" s="1"/>
  <c r="G38" i="5" s="1"/>
  <c r="AF36" i="7"/>
  <c r="AG36" i="7" s="1"/>
  <c r="E42" i="5" s="1"/>
  <c r="G42" i="5" s="1"/>
  <c r="R26" i="7"/>
  <c r="S26" i="7" s="1"/>
  <c r="C32" i="5" s="1"/>
  <c r="Y26" i="7"/>
  <c r="R25" i="7"/>
  <c r="S25" i="7" s="1"/>
  <c r="C31" i="5" s="1"/>
  <c r="Y25" i="7"/>
  <c r="Z25" i="7" s="1"/>
  <c r="D31" i="5" s="1"/>
  <c r="AF26" i="7"/>
  <c r="AG26" i="7" s="1"/>
  <c r="E32" i="5" s="1"/>
  <c r="R24" i="7"/>
  <c r="S24" i="7" s="1"/>
  <c r="C30" i="5" s="1"/>
  <c r="Y23" i="7"/>
  <c r="Z23" i="7" s="1"/>
  <c r="D29" i="5" s="1"/>
  <c r="AF29" i="7"/>
  <c r="AG29" i="7" s="1"/>
  <c r="E35" i="5" s="1"/>
  <c r="G35" i="5" s="1"/>
  <c r="Z27" i="7"/>
  <c r="D33" i="5" s="1"/>
  <c r="Z28" i="7"/>
  <c r="AG35" i="7"/>
  <c r="E41" i="5" s="1"/>
  <c r="G41" i="5" s="1"/>
  <c r="AG22" i="7"/>
  <c r="E28" i="5" s="1"/>
  <c r="Z26" i="7"/>
  <c r="D32" i="5" s="1"/>
  <c r="AG27" i="7"/>
  <c r="E33" i="5" s="1"/>
  <c r="AG28" i="7"/>
  <c r="E34" i="5" s="1"/>
  <c r="Z21" i="7"/>
  <c r="AA21" i="7" s="1"/>
  <c r="D33" i="23"/>
  <c r="D32" i="23"/>
  <c r="D34" i="23"/>
  <c r="D34" i="5"/>
  <c r="D31" i="23"/>
  <c r="D29" i="23"/>
  <c r="D30" i="23"/>
  <c r="D30" i="5"/>
  <c r="D28" i="23"/>
  <c r="D28" i="5"/>
  <c r="F83" i="7"/>
  <c r="H55" i="23"/>
  <c r="E42" i="23"/>
  <c r="G42" i="23" s="1"/>
  <c r="F51" i="23"/>
  <c r="G51" i="23" s="1"/>
  <c r="E30" i="5"/>
  <c r="E30" i="23"/>
  <c r="E28" i="23"/>
  <c r="C32" i="23"/>
  <c r="E40" i="5"/>
  <c r="G40" i="5" s="1"/>
  <c r="E40" i="23"/>
  <c r="G40" i="23" s="1"/>
  <c r="C28" i="5"/>
  <c r="C28" i="23"/>
  <c r="E32" i="23"/>
  <c r="E33" i="23"/>
  <c r="C30" i="23"/>
  <c r="F52" i="23"/>
  <c r="G52" i="23" s="1"/>
  <c r="E38" i="23"/>
  <c r="G38" i="23" s="1"/>
  <c r="E35" i="23"/>
  <c r="G35" i="23" s="1"/>
  <c r="C31" i="23"/>
  <c r="M55" i="7"/>
  <c r="M56" i="7" s="1"/>
  <c r="M57" i="7" s="1"/>
  <c r="M58" i="7" s="1"/>
  <c r="M59" i="7" s="1"/>
  <c r="M60" i="7" s="1"/>
  <c r="M61" i="7" s="1"/>
  <c r="M62" i="7" s="1"/>
  <c r="M63" i="7" s="1"/>
  <c r="M64" i="7" s="1"/>
  <c r="M65" i="7" s="1"/>
  <c r="M66" i="7" s="1"/>
  <c r="M67" i="7" s="1"/>
  <c r="M68" i="7" s="1"/>
  <c r="M69" i="7" s="1"/>
  <c r="M70" i="7" s="1"/>
  <c r="M71" i="7" s="1"/>
  <c r="M72" i="7" s="1"/>
  <c r="M73" i="7" s="1"/>
  <c r="M74" i="7" s="1"/>
  <c r="M75" i="7" s="1"/>
  <c r="M76" i="7" s="1"/>
  <c r="M77" i="7" s="1"/>
  <c r="M78" i="7" s="1"/>
  <c r="M79" i="7" s="1"/>
  <c r="M80" i="7" s="1"/>
  <c r="F27" i="23"/>
  <c r="F50" i="23"/>
  <c r="G50" i="23" s="1"/>
  <c r="E37" i="23"/>
  <c r="G37" i="23" s="1"/>
  <c r="E36" i="23"/>
  <c r="G36" i="23" s="1"/>
  <c r="C29" i="5"/>
  <c r="C29" i="23"/>
  <c r="F49" i="23"/>
  <c r="G49" i="23" s="1"/>
  <c r="E31" i="5"/>
  <c r="E31" i="23"/>
  <c r="E41" i="23"/>
  <c r="G41" i="23" s="1"/>
  <c r="E39" i="5"/>
  <c r="G39" i="5" s="1"/>
  <c r="E39" i="23"/>
  <c r="G39" i="23" s="1"/>
  <c r="E29" i="23"/>
  <c r="E34" i="23"/>
  <c r="F48" i="23"/>
  <c r="G48" i="23" s="1"/>
  <c r="H82" i="7"/>
  <c r="L81" i="7"/>
  <c r="E84" i="7"/>
  <c r="A85" i="7"/>
  <c r="D27" i="23"/>
  <c r="C27" i="23"/>
  <c r="E27" i="23"/>
  <c r="F56" i="5"/>
  <c r="M21" i="7"/>
  <c r="G33" i="5" l="1"/>
  <c r="G34" i="23"/>
  <c r="G33" i="23"/>
  <c r="G31" i="5"/>
  <c r="D68" i="23"/>
  <c r="G29" i="5"/>
  <c r="G34" i="5"/>
  <c r="G30" i="5"/>
  <c r="G28" i="5"/>
  <c r="F84" i="7"/>
  <c r="H56" i="23"/>
  <c r="G32" i="5"/>
  <c r="G31" i="23"/>
  <c r="M81" i="7"/>
  <c r="F53" i="23"/>
  <c r="G53" i="23" s="1"/>
  <c r="G28" i="23"/>
  <c r="E68" i="23"/>
  <c r="G32" i="23"/>
  <c r="G29" i="23"/>
  <c r="G30" i="23"/>
  <c r="C68" i="23"/>
  <c r="G27" i="23"/>
  <c r="AH22" i="7"/>
  <c r="AH23" i="7" s="1"/>
  <c r="AH24" i="7" s="1"/>
  <c r="AH25" i="7" s="1"/>
  <c r="AH26" i="7" s="1"/>
  <c r="AH27" i="7" s="1"/>
  <c r="AH28" i="7" s="1"/>
  <c r="AH29" i="7" s="1"/>
  <c r="AH30" i="7" s="1"/>
  <c r="AH31" i="7" s="1"/>
  <c r="AH32" i="7" s="1"/>
  <c r="AH33" i="7" s="1"/>
  <c r="AH34" i="7" s="1"/>
  <c r="AH35" i="7" s="1"/>
  <c r="AH36" i="7" s="1"/>
  <c r="E27" i="5"/>
  <c r="T22" i="7"/>
  <c r="T23" i="7" s="1"/>
  <c r="T24" i="7" s="1"/>
  <c r="T25" i="7" s="1"/>
  <c r="T26" i="7" s="1"/>
  <c r="K12" i="7" s="1"/>
  <c r="C27" i="5"/>
  <c r="AA22" i="7"/>
  <c r="AA23" i="7" s="1"/>
  <c r="AA24" i="7" s="1"/>
  <c r="AA25" i="7" s="1"/>
  <c r="AA26" i="7" s="1"/>
  <c r="AA27" i="7" s="1"/>
  <c r="AA28" i="7" s="1"/>
  <c r="D27" i="5"/>
  <c r="M22" i="7"/>
  <c r="M23" i="7" s="1"/>
  <c r="M24" i="7" s="1"/>
  <c r="M25" i="7" s="1"/>
  <c r="M26" i="7" s="1"/>
  <c r="M27" i="7" s="1"/>
  <c r="M28" i="7" s="1"/>
  <c r="M29" i="7" s="1"/>
  <c r="M30" i="7" s="1"/>
  <c r="M31" i="7" s="1"/>
  <c r="M32" i="7" s="1"/>
  <c r="M33" i="7" s="1"/>
  <c r="M34" i="7" s="1"/>
  <c r="M35" i="7" s="1"/>
  <c r="M36" i="7" s="1"/>
  <c r="M37" i="7" s="1"/>
  <c r="M38" i="7" s="1"/>
  <c r="M39" i="7" s="1"/>
  <c r="M40" i="7" s="1"/>
  <c r="M41" i="7" s="1"/>
  <c r="M42" i="7" s="1"/>
  <c r="M43" i="7" s="1"/>
  <c r="M44" i="7" s="1"/>
  <c r="M45" i="7" s="1"/>
  <c r="M46" i="7" s="1"/>
  <c r="M47" i="7" s="1"/>
  <c r="M48" i="7" s="1"/>
  <c r="M49" i="7" s="1"/>
  <c r="K11" i="7"/>
  <c r="L82" i="7"/>
  <c r="H83" i="7"/>
  <c r="E85" i="7"/>
  <c r="A86" i="7"/>
  <c r="K13" i="7"/>
  <c r="D56" i="5" l="1"/>
  <c r="F85" i="7"/>
  <c r="H57" i="23"/>
  <c r="G22" i="23"/>
  <c r="G23" i="23" s="1"/>
  <c r="M82" i="7"/>
  <c r="F54" i="23"/>
  <c r="G19" i="23"/>
  <c r="G20" i="23" s="1"/>
  <c r="G27" i="5"/>
  <c r="G22" i="5" s="1"/>
  <c r="G23" i="5" s="1"/>
  <c r="L83" i="7"/>
  <c r="H84" i="7"/>
  <c r="E86" i="7"/>
  <c r="A87" i="7"/>
  <c r="K14" i="7"/>
  <c r="E56" i="5" s="1"/>
  <c r="C56" i="5"/>
  <c r="F86" i="7" l="1"/>
  <c r="H58" i="23"/>
  <c r="M83" i="7"/>
  <c r="F55" i="23"/>
  <c r="G55" i="23" s="1"/>
  <c r="G54" i="23"/>
  <c r="G56" i="5"/>
  <c r="G19" i="5"/>
  <c r="G20" i="5" s="1"/>
  <c r="L84" i="7"/>
  <c r="H85" i="7"/>
  <c r="A88" i="7"/>
  <c r="E87" i="7"/>
  <c r="K15" i="7"/>
  <c r="F87" i="7" l="1"/>
  <c r="H59" i="23"/>
  <c r="M84" i="7"/>
  <c r="F56" i="23"/>
  <c r="L85" i="7"/>
  <c r="H86" i="7"/>
  <c r="E88" i="7"/>
  <c r="A89" i="7"/>
  <c r="J30" i="4"/>
  <c r="E88" i="4"/>
  <c r="F88" i="7" l="1"/>
  <c r="H60" i="23"/>
  <c r="M85" i="7"/>
  <c r="F57" i="23"/>
  <c r="G57" i="23" s="1"/>
  <c r="G56" i="23"/>
  <c r="L86" i="7"/>
  <c r="H87" i="7"/>
  <c r="A90" i="7"/>
  <c r="E89" i="7"/>
  <c r="F89" i="7" l="1"/>
  <c r="H61" i="23"/>
  <c r="M86" i="7"/>
  <c r="F58" i="23"/>
  <c r="L87" i="7"/>
  <c r="H88" i="7"/>
  <c r="E90" i="7"/>
  <c r="A91" i="7"/>
  <c r="F90" i="7" l="1"/>
  <c r="H62" i="23"/>
  <c r="M87" i="7"/>
  <c r="F59" i="23"/>
  <c r="G59" i="23" s="1"/>
  <c r="G58" i="23"/>
  <c r="H89" i="7"/>
  <c r="L88" i="7"/>
  <c r="E91" i="7"/>
  <c r="A92" i="7"/>
  <c r="F91" i="7" l="1"/>
  <c r="H63" i="23"/>
  <c r="M88" i="7"/>
  <c r="F60" i="23"/>
  <c r="G60" i="23" s="1"/>
  <c r="H90" i="7"/>
  <c r="L89" i="7"/>
  <c r="A93" i="7"/>
  <c r="E92" i="7"/>
  <c r="F92" i="7" l="1"/>
  <c r="H64" i="23"/>
  <c r="M89" i="7"/>
  <c r="F61" i="23"/>
  <c r="G61" i="23" s="1"/>
  <c r="L90" i="7"/>
  <c r="H91" i="7"/>
  <c r="E93" i="7"/>
  <c r="A94" i="7"/>
  <c r="E94" i="7" s="1"/>
  <c r="H66" i="23" s="1"/>
  <c r="F93" i="7" l="1"/>
  <c r="H65" i="23"/>
  <c r="H68" i="23" s="1"/>
  <c r="M90" i="7"/>
  <c r="F62" i="23"/>
  <c r="G62" i="23" s="1"/>
  <c r="F94" i="7"/>
  <c r="L91" i="7"/>
  <c r="H92" i="7"/>
  <c r="M91" i="7" l="1"/>
  <c r="F63" i="23"/>
  <c r="G63" i="23" s="1"/>
  <c r="L92" i="7"/>
  <c r="H93" i="7"/>
  <c r="M92" i="7" l="1"/>
  <c r="F64" i="23"/>
  <c r="G64" i="23" s="1"/>
  <c r="L93" i="7"/>
  <c r="H94" i="7"/>
  <c r="L94" i="7" s="1"/>
  <c r="F66" i="23" s="1"/>
  <c r="G66" i="23" l="1"/>
  <c r="M93" i="7"/>
  <c r="F65" i="23"/>
  <c r="G65" i="23" s="1"/>
  <c r="M94" i="7"/>
  <c r="F68" i="23" l="1"/>
  <c r="G68" i="23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<sst xmlns="http://schemas.openxmlformats.org/spreadsheetml/2006/main" count="600" uniqueCount="337">
  <si>
    <t>5-Year Asset</t>
  </si>
  <si>
    <t>200 DB</t>
  </si>
  <si>
    <t>Convention</t>
  </si>
  <si>
    <t>Yes / No</t>
  </si>
  <si>
    <t>Half-Year</t>
  </si>
  <si>
    <t>Mid-Qtr (Q1)</t>
  </si>
  <si>
    <t>Mid-Qtr (Q2)</t>
  </si>
  <si>
    <t>Mid-Qtr (Q3)</t>
  </si>
  <si>
    <t>Mid-Qtr (Q4)</t>
  </si>
  <si>
    <t>--</t>
  </si>
  <si>
    <t>Yes</t>
  </si>
  <si>
    <t>No</t>
  </si>
  <si>
    <t>7-Year Asset</t>
  </si>
  <si>
    <t>15-Year Asset</t>
  </si>
  <si>
    <t>150 DB</t>
  </si>
  <si>
    <t xml:space="preserve">Page 180 </t>
  </si>
  <si>
    <t>27.5-Year Asset</t>
  </si>
  <si>
    <t>SL</t>
  </si>
  <si>
    <t>Mid-Month Convention</t>
  </si>
  <si>
    <t>Month In Service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</si>
  <si>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</si>
  <si>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</si>
  <si>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</si>
  <si>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</si>
  <si>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</si>
  <si>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</si>
  <si>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</si>
  <si>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</si>
  <si>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</si>
  <si>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</si>
  <si>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</si>
  <si>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</si>
  <si>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Residential Rental Property</t>
  </si>
  <si>
    <t>Year No.</t>
  </si>
  <si>
    <t>Property Address:</t>
  </si>
  <si>
    <t>Date Placed in Service</t>
  </si>
  <si>
    <t>Occupancy Type:</t>
  </si>
  <si>
    <t>Building Use:</t>
  </si>
  <si>
    <t>Based on these results, the Federal Tax Depreciation Schedule should be revised as follows:</t>
  </si>
  <si>
    <t>Asset ID</t>
  </si>
  <si>
    <t>Property Description</t>
  </si>
  <si>
    <t>Date Acquired</t>
  </si>
  <si>
    <t>Basis</t>
  </si>
  <si>
    <t>Life (Years)</t>
  </si>
  <si>
    <t>Depr Method</t>
  </si>
  <si>
    <t>Conv</t>
  </si>
  <si>
    <t>Building</t>
  </si>
  <si>
    <t>Asset Class 57.0 - Distributive Trades and Services</t>
  </si>
  <si>
    <t>200DB</t>
  </si>
  <si>
    <t>Asset Class 0.11 - Office Furniture, Fixtures and Equipment</t>
  </si>
  <si>
    <t>Asset Class 0.30 - Land Improvements</t>
  </si>
  <si>
    <t>150DB</t>
  </si>
  <si>
    <t>Totals</t>
  </si>
  <si>
    <t>Original Basis</t>
  </si>
  <si>
    <t>5-Year Property</t>
  </si>
  <si>
    <t>7-Year Property</t>
  </si>
  <si>
    <t>15-Year Property</t>
  </si>
  <si>
    <t>27.5-Year Property</t>
  </si>
  <si>
    <t>Method</t>
  </si>
  <si>
    <t>Estimated Additional Depreciation Expense:</t>
  </si>
  <si>
    <t>USTAGI estimates the following results of the Cost Segregation Study:</t>
  </si>
  <si>
    <t>Tax Year</t>
  </si>
  <si>
    <t>Total</t>
  </si>
  <si>
    <t>Residential</t>
  </si>
  <si>
    <t>Cash Method</t>
  </si>
  <si>
    <t>Study Meta Data</t>
  </si>
  <si>
    <t>Property Address</t>
  </si>
  <si>
    <t>Analysis Date</t>
  </si>
  <si>
    <t>Basis (excluding land value)</t>
  </si>
  <si>
    <t>Study Tax Year</t>
  </si>
  <si>
    <t>Building Use</t>
  </si>
  <si>
    <t>Reclassified Basis</t>
  </si>
  <si>
    <t>Mid-Month</t>
  </si>
  <si>
    <t>Post Modeling Calculation</t>
  </si>
  <si>
    <t>Per Modeling Calculation</t>
  </si>
  <si>
    <t>Life (years)</t>
  </si>
  <si>
    <t>Life</t>
  </si>
  <si>
    <t>TOTALS</t>
  </si>
  <si>
    <t>Building (Pre CS Study)</t>
  </si>
  <si>
    <t>Building (Post CS Study)</t>
  </si>
  <si>
    <t>Personal Property (5 Year)</t>
  </si>
  <si>
    <t>Personal Property (7 Year)</t>
  </si>
  <si>
    <t>Land Improvements (15 Year)</t>
  </si>
  <si>
    <t>27.5 Yr SL</t>
  </si>
  <si>
    <t>5 Yr 200 DB</t>
  </si>
  <si>
    <t>7 Yr 200 DB</t>
  </si>
  <si>
    <t>15 Yr 150 DB</t>
  </si>
  <si>
    <t>Year</t>
  </si>
  <si>
    <t>27.5-Year Rate</t>
  </si>
  <si>
    <t>Annual Depreciation</t>
  </si>
  <si>
    <t>Cumulative Depreciation</t>
  </si>
  <si>
    <t>Adj Basis</t>
  </si>
  <si>
    <t>5-Year Rate</t>
  </si>
  <si>
    <t>7-Year Rate</t>
  </si>
  <si>
    <t>15-Year Rate</t>
  </si>
  <si>
    <t>Condo</t>
  </si>
  <si>
    <t>Bonus Depreciation</t>
  </si>
  <si>
    <t>None</t>
  </si>
  <si>
    <t>Land Allocation:</t>
  </si>
  <si>
    <t>Date Placed in Service:</t>
  </si>
  <si>
    <t>Property Type</t>
  </si>
  <si>
    <t>Guideline</t>
  </si>
  <si>
    <t>Dep. Life</t>
  </si>
  <si>
    <t>Total Accelerated</t>
  </si>
  <si>
    <t>39-yr or
 27.5-yr</t>
  </si>
  <si>
    <t>15-yr</t>
  </si>
  <si>
    <t>7-yr</t>
  </si>
  <si>
    <t>5-yr</t>
  </si>
  <si>
    <t>Assisted Living</t>
  </si>
  <si>
    <t>Auction Facility</t>
  </si>
  <si>
    <t>Bank</t>
  </si>
  <si>
    <t>Car Dealer</t>
  </si>
  <si>
    <t>Car Wash</t>
  </si>
  <si>
    <t>Car-Truck Repair</t>
  </si>
  <si>
    <t>Casino</t>
  </si>
  <si>
    <t>Cinemas</t>
  </si>
  <si>
    <t>Data Center</t>
  </si>
  <si>
    <t>Daycare Facility</t>
  </si>
  <si>
    <t>Distribution Facility</t>
  </si>
  <si>
    <t>Drug Store</t>
  </si>
  <si>
    <t>Fitness Center</t>
  </si>
  <si>
    <t>Funeral Home</t>
  </si>
  <si>
    <t>Gas Station/Convenience greater than 50% gross revenue fm gas</t>
  </si>
  <si>
    <t>Golf Course</t>
  </si>
  <si>
    <t>Grocery Store</t>
  </si>
  <si>
    <t>Health Spa</t>
  </si>
  <si>
    <t>Hospital</t>
  </si>
  <si>
    <t>Hotel - Full Service</t>
  </si>
  <si>
    <t>Hotel - Ltd Service</t>
  </si>
  <si>
    <t>Lube/Oil Change Facility</t>
  </si>
  <si>
    <t>Mall - Regional</t>
  </si>
  <si>
    <t>Mall - Strip</t>
  </si>
  <si>
    <t>Marina</t>
  </si>
  <si>
    <t>Medical Center</t>
  </si>
  <si>
    <t>Medical/Dental Office</t>
  </si>
  <si>
    <t>Medical/Dental TI only</t>
  </si>
  <si>
    <t>Mfg - High Tech</t>
  </si>
  <si>
    <t>Mfg of Aerospace Products</t>
  </si>
  <si>
    <t>Mfg of Apparel</t>
  </si>
  <si>
    <t>Mfg of Athletic, Jewelry &amp; Other Goods</t>
  </si>
  <si>
    <t>Mfg of Cement</t>
  </si>
  <si>
    <t>Mfg of Chemicals &amp; Allied Products</t>
  </si>
  <si>
    <t>Mfg of Converted Paper &amp; Pulp Products</t>
  </si>
  <si>
    <t>Mfg of Electrical and Non-Elec Machinery</t>
  </si>
  <si>
    <t>Mfg of Electronic Components, Prod &amp; Sys</t>
  </si>
  <si>
    <t>Mfg of Fabricated Metal Products</t>
  </si>
  <si>
    <t>Mfg of Finished Plastic Products</t>
  </si>
  <si>
    <t>Mfg of Food &amp; Kindred Products</t>
  </si>
  <si>
    <t>Mfg of Foundry Products</t>
  </si>
  <si>
    <t>Mfg of Glass Products</t>
  </si>
  <si>
    <t>Mfg of Knitted Goods</t>
  </si>
  <si>
    <t>Mfg of Leather and Leather Products</t>
  </si>
  <si>
    <t>Mfg of Motor Vehicles</t>
  </si>
  <si>
    <t>Mfg of Non-woven Fabrics</t>
  </si>
  <si>
    <t>Mfg of Other Stone &amp; Clay Products</t>
  </si>
  <si>
    <t>Mfg of Primary Nonferrous Metals</t>
  </si>
  <si>
    <t>Mfg of Primary Steel Mill Products</t>
  </si>
  <si>
    <t>Mfg of Pulp &amp; Paper</t>
  </si>
  <si>
    <t>Mfg of Rubber Products</t>
  </si>
  <si>
    <t>Mfg of Textured Yarns</t>
  </si>
  <si>
    <t>Mfg of Tobacco and Tobacco Products</t>
  </si>
  <si>
    <t>Mfg of Wood Products &amp; Furniture</t>
  </si>
  <si>
    <t>Mfg of Yarn, Thread, and Woven Fabric</t>
  </si>
  <si>
    <t>Mobile Home Park</t>
  </si>
  <si>
    <t>Motor Transportation - Freight</t>
  </si>
  <si>
    <t>Multifamily - Garden Style</t>
  </si>
  <si>
    <t>Multifamily - High Rise</t>
  </si>
  <si>
    <t>Natural Gas Production Plant</t>
  </si>
  <si>
    <t>Nursing Home</t>
  </si>
  <si>
    <t>Office &amp; Warehouse</t>
  </si>
  <si>
    <t>Office Building</t>
  </si>
  <si>
    <t>Office Condo</t>
  </si>
  <si>
    <t>Office Park</t>
  </si>
  <si>
    <t>Parking Structure</t>
  </si>
  <si>
    <t>Pharmaceutical Plant</t>
  </si>
  <si>
    <t>Printing, Publishing &amp; Allied Industries</t>
  </si>
  <si>
    <t>R&amp;D Facility</t>
  </si>
  <si>
    <t>Recreation</t>
  </si>
  <si>
    <t>Resort</t>
  </si>
  <si>
    <t>Restaurant - Franchise</t>
  </si>
  <si>
    <t>Restaurant - High End</t>
  </si>
  <si>
    <t>Restaurant - Quick Service</t>
  </si>
  <si>
    <t>Restaurant - With Lease</t>
  </si>
  <si>
    <t>Retail - Big Box</t>
  </si>
  <si>
    <t>Retail Store</t>
  </si>
  <si>
    <t>School, for profit</t>
  </si>
  <si>
    <t>School, non-profit</t>
  </si>
  <si>
    <t>Self Storage Facility</t>
  </si>
  <si>
    <t>Shopping Center with TI</t>
  </si>
  <si>
    <t>Shopping Center w/o TI</t>
  </si>
  <si>
    <t>Shopping Center w/o TI, Supermarket Anchor</t>
  </si>
  <si>
    <t>Truck Stop</t>
  </si>
  <si>
    <t>Veterinary Clinic</t>
  </si>
  <si>
    <t>Warehouse Facility</t>
  </si>
  <si>
    <t>Warehouse Facility, Manufacturing</t>
  </si>
  <si>
    <t>Form 3115 - Attachment</t>
  </si>
  <si>
    <t>For Property Located at:</t>
  </si>
  <si>
    <t>Part II: Information For All Requests:</t>
  </si>
  <si>
    <t>Question 14:</t>
  </si>
  <si>
    <t>a)</t>
  </si>
  <si>
    <t>The following items were reclassified as follows:</t>
  </si>
  <si>
    <t>Item</t>
  </si>
  <si>
    <t>Asset Class 0.11 -  Office Furniture, Fixtures, &amp; Equipment</t>
  </si>
  <si>
    <t>b)</t>
  </si>
  <si>
    <t>The property was currently being depreciated as Section 1250 property, and part of the building's original basis.</t>
  </si>
  <si>
    <t>c)</t>
  </si>
  <si>
    <t>The applicant proposes to reclassify the above property as personal property under 26 CFR 1.168.</t>
  </si>
  <si>
    <t>d)</t>
  </si>
  <si>
    <t>The applicant's present overall method of accounting is the</t>
  </si>
  <si>
    <t>The applicant's trade or business is:</t>
  </si>
  <si>
    <t>Business Activity Code:</t>
  </si>
  <si>
    <t>Part IV: Section 481(a) Adjustment</t>
  </si>
  <si>
    <t>Question 26</t>
  </si>
  <si>
    <t>Deducting, under Section 481(a), the catchup depreciation for the assets being changed are as follows:</t>
  </si>
  <si>
    <t>Catchup Depreciation</t>
  </si>
  <si>
    <t>Total 481(a)</t>
  </si>
  <si>
    <t>Schedule E: Change In Depreciation or Amortization</t>
  </si>
  <si>
    <t>Question 4(a):</t>
  </si>
  <si>
    <t>See response to Question 14, above.</t>
  </si>
  <si>
    <t>The property is used as a</t>
  </si>
  <si>
    <t>Question 5:</t>
  </si>
  <si>
    <t>Question 7:</t>
  </si>
  <si>
    <t>The property is presently being depreciated under Code Section 167 or 168.</t>
  </si>
  <si>
    <t>The current applicable asset classes used include: See response to Question 14, above.</t>
  </si>
  <si>
    <t>Based on the facts and circumstances, each item was appropriately classified under MACRS.</t>
  </si>
  <si>
    <t>Life (Yrs.)</t>
  </si>
  <si>
    <t>57.00 Distributive Trades and Services</t>
  </si>
  <si>
    <t>0.11 Office Furniture, Fixtures, and Equipment</t>
  </si>
  <si>
    <t>0.3 Land Improvements</t>
  </si>
  <si>
    <t>e)</t>
  </si>
  <si>
    <t>See response to Question 7d, above.</t>
  </si>
  <si>
    <t>f)</t>
  </si>
  <si>
    <t>g)</t>
  </si>
  <si>
    <t>h)</t>
  </si>
  <si>
    <t>The property will be in various multiple asset accounts.</t>
  </si>
  <si>
    <t>Estimate Input</t>
  </si>
  <si>
    <t>Cost Segregation Estimate</t>
  </si>
  <si>
    <t>861 E 800 S, Salt Lake City, UT 84102</t>
  </si>
  <si>
    <t>US Tax Advisors Group, Inc. | 1220 Rosecrans St., Ste 542, San Diego, CA 92106 | (888) 263-1663 | info@ustagi.com</t>
  </si>
  <si>
    <t>Improvements included in the Study:</t>
  </si>
  <si>
    <t>Enclosed is the result of a US Tax Advisors Group, Inc. (USTAGI) Construction Cost Modeling Calculation which utilizes a national construction cost database to model the building’s quantities and costs. The data is then statistically segregated, as appropriate, between section 1245 and 1250 property.</t>
  </si>
  <si>
    <t>This Construction Cost Modeling Calculation along with the Schedules represent the Cost Segregation Report. If the property was placed into service in a prior tax year you will need to file Form 3115 along with the Form 3115 Attachment.</t>
  </si>
  <si>
    <t>Tax Savings Benefit at a 40% Income Tax Rate:</t>
  </si>
  <si>
    <t xml:space="preserve">            US Tax Advisors Group, Inc. Modeling Calculation</t>
  </si>
  <si>
    <t>Cost Basis:</t>
  </si>
  <si>
    <t>Basis for Cost Segregation:</t>
  </si>
  <si>
    <t>Yes, additional first-year depreciation allowance as provided by §168(k) will apply.</t>
  </si>
  <si>
    <t>Building Basis:</t>
  </si>
  <si>
    <t>Question 15(a):</t>
  </si>
  <si>
    <t>Question 16:</t>
  </si>
  <si>
    <t xml:space="preserve">Under its present method, the Applicant is claiming less depreciation than allowable on certain assets. The code section which the Applicant will depreciate or amortize </t>
  </si>
  <si>
    <t>property is under §168. Major categories of expenditures examined are below:</t>
  </si>
  <si>
    <t>Personal Property</t>
  </si>
  <si>
    <t>The Applicant has depreciated personal property such as carpeting, vinyl composite tile flooring, raised flooring, dedicated special purpose plumbing fixtures, dedicated</t>
  </si>
  <si>
    <t xml:space="preserve">special purpose electrical wiring and fixtures, decorative lighting, millwork and cabinetry, countertops as either residential real property with a 27.5-year GDS or </t>
  </si>
  <si>
    <t>nonresidential real property with a 39-year GDS. According to Asset class 57.0, Distributive Trades and Services these assets are appropriately reassigned a recovery</t>
  </si>
  <si>
    <t>period of 5-years GDS (half-year convention using 200 percent declining balance method). Additional first-year deprecation allowance as provided by §168(k) will apply</t>
  </si>
  <si>
    <t xml:space="preserve">for qualified assets.
</t>
  </si>
  <si>
    <t>General Land Improvements</t>
  </si>
  <si>
    <t>The Applicant has depreciated land improvements such as site lights, site stormwater drainage, paving and hardscaping, and landscaping as either residential real</t>
  </si>
  <si>
    <t>property with a 27.5-year GDS or nonresidential real property with a 39-year GDS. According to Asset class 00.3 Land Improvements, these assets are appropriately</t>
  </si>
  <si>
    <t xml:space="preserve">reassigned a recovery period of 15-years GDS (half-year convention using 150 percent declining balance method). Additional first-year deprecation allowance as </t>
  </si>
  <si>
    <t>provided by §168(k) will apply for qualified assets.</t>
  </si>
  <si>
    <t>See response to Question 16a, above.</t>
  </si>
  <si>
    <t>Depreciation Adjustment</t>
  </si>
  <si>
    <t>Repro. Cost New</t>
  </si>
  <si>
    <t>Total Cost</t>
  </si>
  <si>
    <t>Source</t>
  </si>
  <si>
    <t>RCN</t>
  </si>
  <si>
    <t>BASIS</t>
  </si>
  <si>
    <t>Quantity</t>
  </si>
  <si>
    <t>LineNumber</t>
  </si>
  <si>
    <t>Description</t>
  </si>
  <si>
    <t>Unit</t>
  </si>
  <si>
    <t>Cost Source</t>
  </si>
  <si>
    <t>Unit Cost Lines</t>
  </si>
  <si>
    <t>Recovery Period Summary</t>
  </si>
  <si>
    <t>Depreciation Method:</t>
  </si>
  <si>
    <t>Recovery Period - Property Type</t>
  </si>
  <si>
    <t>MACRS</t>
  </si>
  <si>
    <t>Dep Method</t>
  </si>
  <si>
    <r>
      <t xml:space="preserve">5 Years: </t>
    </r>
    <r>
      <rPr>
        <sz val="10"/>
        <color rgb="FF000000"/>
        <rFont val="Arial"/>
        <family val="2"/>
      </rPr>
      <t>1245 Property - Distributive Trades &amp; Services</t>
    </r>
  </si>
  <si>
    <t>200% DB</t>
  </si>
  <si>
    <r>
      <t xml:space="preserve">15 Years: </t>
    </r>
    <r>
      <rPr>
        <sz val="10"/>
        <color rgb="FF000000"/>
        <rFont val="Arial"/>
        <family val="2"/>
      </rPr>
      <t>1245 &amp; 1250 Property - Land Improvements</t>
    </r>
  </si>
  <si>
    <t>150% DB</t>
  </si>
  <si>
    <r>
      <t xml:space="preserve">27.5 Years: </t>
    </r>
    <r>
      <rPr>
        <sz val="10"/>
        <color rgb="FF000000"/>
        <rFont val="Arial"/>
        <family val="2"/>
      </rPr>
      <t>1250 Real Property</t>
    </r>
  </si>
  <si>
    <t>Total Depreciable Basis</t>
  </si>
  <si>
    <t>In-Service Date</t>
  </si>
  <si>
    <t>Address</t>
  </si>
  <si>
    <t>Rec Period</t>
  </si>
  <si>
    <t>RCN #</t>
  </si>
  <si>
    <t>Accelerated #</t>
  </si>
  <si>
    <t>Yield</t>
  </si>
  <si>
    <t>15 year</t>
  </si>
  <si>
    <t>5 year</t>
  </si>
  <si>
    <t>Less Depreciation</t>
  </si>
  <si>
    <t>5 Years Depr.        with CSS</t>
  </si>
  <si>
    <t>7 Years Depr.        with CSS</t>
  </si>
  <si>
    <t>15 Years Depr.       with CSS</t>
  </si>
  <si>
    <t>Depr.               without CSS</t>
  </si>
  <si>
    <t>27.5 Years  Depr.   with CSS</t>
  </si>
  <si>
    <t>Per Depreciation Schedule</t>
  </si>
  <si>
    <t>Depr.                        with CSS</t>
  </si>
  <si>
    <t>Bonus</t>
  </si>
  <si>
    <t>STR Condo</t>
  </si>
  <si>
    <t>39-Year Asset</t>
  </si>
  <si>
    <t>Nonresidential Rental Property</t>
  </si>
  <si>
    <t>39 Years  Depr.   with CSS</t>
  </si>
  <si>
    <t>39 Yr SL</t>
  </si>
  <si>
    <t>39-Year Rate</t>
  </si>
  <si>
    <t>Total Accelerated:</t>
  </si>
  <si>
    <t>Auto Repair</t>
  </si>
  <si>
    <t>Strip Mall</t>
  </si>
  <si>
    <t>5-Yr</t>
  </si>
  <si>
    <t>15-Yr</t>
  </si>
  <si>
    <t>Custom</t>
  </si>
  <si>
    <t>Single Family Residence Economy</t>
  </si>
  <si>
    <t>STR Single Family Residence Economy</t>
  </si>
  <si>
    <t>Single Family Residence Builders Choice</t>
  </si>
  <si>
    <t>STR Single Family Residence Builders Choice</t>
  </si>
  <si>
    <t>Single Family Residence Custom</t>
  </si>
  <si>
    <t>STR Single Family Residence Custom</t>
  </si>
  <si>
    <t>Multifamily Residence Economy</t>
  </si>
  <si>
    <t>Multifamily Residence Builders Choice</t>
  </si>
  <si>
    <t>Assisted Living Facility</t>
  </si>
  <si>
    <t>Single Family Residence</t>
  </si>
  <si>
    <t>STR Single Family Residence</t>
  </si>
  <si>
    <t>Multifamily Residence</t>
  </si>
  <si>
    <t>Hotel</t>
  </si>
  <si>
    <t>Restaurant</t>
  </si>
  <si>
    <t>Duplex</t>
  </si>
  <si>
    <t>Triplex</t>
  </si>
  <si>
    <t>4-Plex</t>
  </si>
  <si>
    <t>Townhome</t>
  </si>
  <si>
    <t>Apartment</t>
  </si>
  <si>
    <t>Mixed-Use</t>
  </si>
  <si>
    <t>Warehouse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</si>
</sst>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6">
    <numFmt numFmtId="5" formatCode="&quot;$&quot;#,##0_);\(&quot;$&quot;#,##0\)"/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0"/>
    <numFmt numFmtId="165" formatCode="[$-409]mmmm\ d\,\ yyyy;@"/>
    <numFmt numFmtId="166" formatCode="&quot;$&quot;#,##0"/>
    <numFmt numFmtId="167" formatCode="_(&quot;$&quot;* #,##0.0_);_(&quot;$&quot;* \(#,##0.0\);_(&quot;$&quot;* &quot;-&quot;?_);_(@_)"/>
    <numFmt numFmtId="168" formatCode="m/d/yy;@"/>
    <numFmt numFmtId="169" formatCode="_([$$-409]* #,##0.00_);_([$$-409]* \(#,##0.00\);_([$$-409]* &quot;-&quot;??_);_(@_)"/>
    <numFmt numFmtId="170" formatCode="0.00000"/>
    <numFmt numFmtId="171" formatCode="\$#,##0_);\(\$#,##0\)"/>
    <numFmt numFmtId="172" formatCode="00.0"/>
    <numFmt numFmtId="173" formatCode="&quot;$&quot;#,##0.00"/>
    <numFmt numFmtId="174" formatCode="mm/dd/yyyy;@"/>
  </numFmts>
  <fonts count="5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4"/>
      <color theme="0"/>
      <name val="Arial"/>
      <family val="2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1"/>
      <name val="Arial"/>
      <family val="2"/>
    </font>
    <font>
      <sz val="8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sz val="11"/>
      <name val="Calibri"/>
      <family val="2"/>
      <scheme val="minor"/>
    </font>
    <font>
      <i/>
      <sz val="1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1"/>
      <name val="Arial"/>
      <family val="2"/>
    </font>
    <font>
      <b/>
      <sz val="9"/>
      <color rgb="FFFF0000"/>
      <name val="Arial"/>
      <family val="2"/>
    </font>
    <font>
      <b/>
      <sz val="9"/>
      <color theme="1"/>
      <name val="Arial"/>
      <family val="2"/>
    </font>
    <font>
      <b/>
      <sz val="9"/>
      <color theme="0"/>
      <name val="Arial"/>
      <family val="2"/>
    </font>
    <font>
      <b/>
      <u/>
      <sz val="9"/>
      <color theme="1"/>
      <name val="Arial"/>
      <family val="2"/>
    </font>
    <font>
      <sz val="9"/>
      <name val="Arial"/>
      <family val="2"/>
    </font>
    <font>
      <b/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0"/>
      <name val="Arial"/>
      <family val="2"/>
    </font>
    <font>
      <b/>
      <sz val="12"/>
      <name val="Arial"/>
      <family val="2"/>
    </font>
    <font>
      <b/>
      <sz val="10"/>
      <name val="Tahoma"/>
      <family val="2"/>
    </font>
    <font>
      <sz val="10"/>
      <color rgb="FF000000"/>
      <name val="Arial"/>
      <family val="2"/>
    </font>
    <font>
      <b/>
      <sz val="12"/>
      <color rgb="FF000000"/>
      <name val="Arial"/>
      <family val="2"/>
    </font>
    <font>
      <b/>
      <sz val="10"/>
      <color rgb="FF000000"/>
      <name val="Arial"/>
      <family val="2"/>
    </font>
    <font>
      <b/>
      <sz val="10"/>
      <color rgb="FF000000"/>
      <name val="Calibri"/>
      <family val="2"/>
      <scheme val="minor"/>
    </font>
    <font>
      <b/>
      <sz val="10"/>
      <color theme="0"/>
      <name val="Cambria"/>
      <family val="1"/>
    </font>
    <font>
      <sz val="10"/>
      <color theme="1"/>
      <name val="Cambria"/>
      <family val="1"/>
    </font>
    <font>
      <b/>
      <sz val="10"/>
      <color theme="1"/>
      <name val="Cambria"/>
      <family val="1"/>
    </font>
    <font>
      <b/>
      <sz val="8"/>
      <color rgb="FF000000"/>
      <name val="Arial"/>
      <family val="2"/>
    </font>
    <font>
      <b/>
      <sz val="10"/>
      <color rgb="FF000000"/>
      <name val="Cambria"/>
      <family val="1"/>
    </font>
    <font>
      <sz val="10"/>
      <color rgb="FF000000"/>
      <name val="Cambria"/>
      <family val="1"/>
    </font>
    <font>
      <sz val="11"/>
      <color rgb="FF000000"/>
      <name val="Calibri"/>
      <family val="2"/>
    </font>
    <font>
      <sz val="8"/>
      <color rgb="FF000000"/>
      <name val="Arial"/>
      <family val="2"/>
    </font>
    <font>
      <sz val="10"/>
      <color rgb="FF1F1F1F"/>
      <name val="&quot;Google Sans&quot;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sz val="10"/>
      <color rgb="FFFF0000"/>
      <name val="Arial"/>
      <family val="2"/>
    </font>
    <font>
      <sz val="12"/>
      <color theme="1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65"/>
        <bgColor theme="6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theme="1"/>
      </patternFill>
    </fill>
    <fill>
      <patternFill patternType="solid">
        <fgColor rgb="FFDDDCA3"/>
        <bgColor indexed="64"/>
      </patternFill>
    </fill>
    <fill>
      <patternFill patternType="solid">
        <fgColor rgb="FF548235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EFEFE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</borders>
  <cellStyleXfs count="10">
    <xf numFmtId="0" fontId="0" fillId="0" borderId="0"/>
    <xf numFmtId="0" fontId="2" fillId="0" borderId="0"/>
    <xf numFmtId="44" fontId="2" fillId="0" borderId="0" applyFont="0" applyFill="0" applyBorder="0" applyAlignment="0" applyProtection="0"/>
    <xf numFmtId="0" fontId="1" fillId="0" borderId="0"/>
    <xf numFmtId="0" fontId="26" fillId="0" borderId="0"/>
    <xf numFmtId="43" fontId="26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50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336">
    <xf numFmtId="0" fontId="0" fillId="0" borderId="0" xfId="0"/>
    <xf numFmtId="0" fontId="3" fillId="2" borderId="0" xfId="1" applyFont="1" applyFill="1"/>
    <xf numFmtId="0" fontId="2" fillId="0" borderId="0" xfId="1"/>
    <xf numFmtId="0" fontId="4" fillId="0" borderId="0" xfId="1" applyFont="1"/>
    <xf numFmtId="0" fontId="2" fillId="3" borderId="0" xfId="1" applyFill="1"/>
    <xf numFmtId="0" fontId="2" fillId="3" borderId="0" xfId="1" quotePrefix="1" applyFill="1"/>
    <xf numFmtId="164" fontId="2" fillId="0" borderId="0" xfId="1" applyNumberFormat="1"/>
    <xf numFmtId="0" fontId="5" fillId="2" borderId="0" xfId="1" applyFont="1" applyFill="1"/>
    <xf numFmtId="0" fontId="6" fillId="2" borderId="0" xfId="1" applyFont="1" applyFill="1" applyAlignment="1">
      <alignment horizontal="center"/>
    </xf>
    <xf numFmtId="0" fontId="7" fillId="0" borderId="0" xfId="1" applyFont="1"/>
    <xf numFmtId="0" fontId="2" fillId="0" borderId="0" xfId="1" applyAlignment="1">
      <alignment wrapText="1"/>
    </xf>
    <xf numFmtId="0" fontId="9" fillId="0" borderId="0" xfId="1" applyFont="1" applyAlignment="1">
      <alignment vertical="top" wrapText="1"/>
    </xf>
    <xf numFmtId="0" fontId="10" fillId="0" borderId="0" xfId="1" applyFont="1" applyAlignment="1">
      <alignment wrapText="1"/>
    </xf>
    <xf numFmtId="0" fontId="2" fillId="0" borderId="0" xfId="1" applyAlignment="1">
      <alignment horizontal="center"/>
    </xf>
    <xf numFmtId="0" fontId="2" fillId="0" borderId="0" xfId="1" applyAlignment="1">
      <alignment vertical="top"/>
    </xf>
    <xf numFmtId="0" fontId="2" fillId="0" borderId="0" xfId="1" applyAlignment="1">
      <alignment horizontal="center" vertical="center" wrapText="1"/>
    </xf>
    <xf numFmtId="5" fontId="0" fillId="9" borderId="0" xfId="2" applyNumberFormat="1" applyFont="1" applyFill="1" applyAlignment="1">
      <alignment horizontal="left"/>
    </xf>
    <xf numFmtId="0" fontId="2" fillId="9" borderId="0" xfId="1" applyFill="1" applyAlignment="1">
      <alignment horizontal="left"/>
    </xf>
    <xf numFmtId="0" fontId="14" fillId="0" borderId="0" xfId="1" applyFont="1"/>
    <xf numFmtId="0" fontId="3" fillId="2" borderId="0" xfId="1" applyFont="1" applyFill="1" applyAlignment="1">
      <alignment horizontal="center" wrapText="1"/>
    </xf>
    <xf numFmtId="0" fontId="15" fillId="0" borderId="0" xfId="1" applyFont="1"/>
    <xf numFmtId="6" fontId="15" fillId="0" borderId="0" xfId="1" applyNumberFormat="1" applyFont="1"/>
    <xf numFmtId="0" fontId="4" fillId="0" borderId="2" xfId="1" applyFont="1" applyBorder="1"/>
    <xf numFmtId="0" fontId="15" fillId="0" borderId="2" xfId="1" applyFont="1" applyBorder="1"/>
    <xf numFmtId="6" fontId="15" fillId="0" borderId="2" xfId="1" applyNumberFormat="1" applyFont="1" applyBorder="1"/>
    <xf numFmtId="0" fontId="7" fillId="0" borderId="3" xfId="1" applyFont="1" applyBorder="1"/>
    <xf numFmtId="0" fontId="7" fillId="0" borderId="4" xfId="1" applyFont="1" applyBorder="1"/>
    <xf numFmtId="0" fontId="7" fillId="0" borderId="5" xfId="1" applyFont="1" applyBorder="1"/>
    <xf numFmtId="0" fontId="7" fillId="0" borderId="3" xfId="1" applyFont="1" applyBorder="1" applyAlignment="1">
      <alignment horizontal="center"/>
    </xf>
    <xf numFmtId="0" fontId="16" fillId="0" borderId="4" xfId="1" applyFont="1" applyBorder="1"/>
    <xf numFmtId="4" fontId="7" fillId="0" borderId="4" xfId="1" applyNumberFormat="1" applyFont="1" applyBorder="1"/>
    <xf numFmtId="0" fontId="3" fillId="10" borderId="6" xfId="1" applyFont="1" applyFill="1" applyBorder="1" applyAlignment="1">
      <alignment horizontal="center"/>
    </xf>
    <xf numFmtId="0" fontId="3" fillId="10" borderId="0" xfId="1" applyFont="1" applyFill="1" applyAlignment="1">
      <alignment horizontal="center"/>
    </xf>
    <xf numFmtId="0" fontId="3" fillId="10" borderId="7" xfId="1" applyFont="1" applyFill="1" applyBorder="1" applyAlignment="1">
      <alignment horizontal="center"/>
    </xf>
    <xf numFmtId="170" fontId="2" fillId="0" borderId="0" xfId="1" applyNumberFormat="1"/>
    <xf numFmtId="0" fontId="0" fillId="0" borderId="0" xfId="0" applyAlignment="1">
      <alignment horizontal="left"/>
    </xf>
    <xf numFmtId="0" fontId="9" fillId="0" borderId="10" xfId="1" applyFont="1" applyBorder="1" applyAlignment="1">
      <alignment vertical="center" wrapText="1"/>
    </xf>
    <xf numFmtId="172" fontId="9" fillId="0" borderId="10" xfId="1" applyNumberFormat="1" applyFont="1" applyBorder="1" applyAlignment="1">
      <alignment horizontal="center" vertical="center" wrapText="1"/>
    </xf>
    <xf numFmtId="0" fontId="9" fillId="0" borderId="10" xfId="1" applyFont="1" applyBorder="1" applyAlignment="1">
      <alignment horizontal="center" vertical="center" wrapText="1"/>
    </xf>
    <xf numFmtId="9" fontId="9" fillId="0" borderId="10" xfId="1" applyNumberFormat="1" applyFont="1" applyBorder="1" applyAlignment="1">
      <alignment horizontal="center" vertical="center" wrapText="1"/>
    </xf>
    <xf numFmtId="172" fontId="2" fillId="0" borderId="0" xfId="1" applyNumberFormat="1"/>
    <xf numFmtId="6" fontId="10" fillId="0" borderId="0" xfId="1" applyNumberFormat="1" applyFont="1"/>
    <xf numFmtId="0" fontId="19" fillId="0" borderId="0" xfId="0" applyFont="1"/>
    <xf numFmtId="0" fontId="2" fillId="5" borderId="0" xfId="1" applyFill="1" applyAlignment="1">
      <alignment horizontal="left"/>
    </xf>
    <xf numFmtId="14" fontId="2" fillId="5" borderId="0" xfId="1" applyNumberFormat="1" applyFill="1" applyAlignment="1">
      <alignment horizontal="left"/>
    </xf>
    <xf numFmtId="5" fontId="0" fillId="5" borderId="0" xfId="2" applyNumberFormat="1" applyFont="1" applyFill="1" applyAlignment="1">
      <alignment horizontal="left"/>
    </xf>
    <xf numFmtId="0" fontId="2" fillId="5" borderId="0" xfId="1" applyFill="1"/>
    <xf numFmtId="164" fontId="15" fillId="0" borderId="2" xfId="1" applyNumberFormat="1" applyFont="1" applyBorder="1"/>
    <xf numFmtId="0" fontId="1" fillId="0" borderId="0" xfId="1" applyFont="1"/>
    <xf numFmtId="0" fontId="3" fillId="2" borderId="0" xfId="1" applyFont="1" applyFill="1" applyAlignment="1">
      <alignment horizontal="center"/>
    </xf>
    <xf numFmtId="0" fontId="19" fillId="0" borderId="0" xfId="0" applyFont="1" applyAlignment="1">
      <alignment horizontal="left" vertical="center"/>
    </xf>
    <xf numFmtId="0" fontId="12" fillId="0" borderId="0" xfId="1" applyFont="1" applyAlignment="1">
      <alignment wrapText="1"/>
    </xf>
    <xf numFmtId="0" fontId="12" fillId="0" borderId="0" xfId="1" applyFont="1"/>
    <xf numFmtId="0" fontId="19" fillId="0" borderId="0" xfId="1" applyFont="1" applyAlignment="1">
      <alignment wrapText="1"/>
    </xf>
    <xf numFmtId="0" fontId="18" fillId="0" borderId="0" xfId="1" applyFont="1" applyAlignment="1">
      <alignment wrapText="1"/>
    </xf>
    <xf numFmtId="0" fontId="18" fillId="0" borderId="0" xfId="1" applyFont="1"/>
    <xf numFmtId="0" fontId="18" fillId="0" borderId="0" xfId="1" applyFont="1" applyAlignment="1">
      <alignment vertical="top" wrapText="1"/>
    </xf>
    <xf numFmtId="0" fontId="19" fillId="0" borderId="0" xfId="1" applyFont="1"/>
    <xf numFmtId="165" fontId="19" fillId="0" borderId="0" xfId="1" applyNumberFormat="1" applyFont="1"/>
    <xf numFmtId="0" fontId="19" fillId="0" borderId="0" xfId="1" applyFont="1" applyAlignment="1">
      <alignment horizontal="left"/>
    </xf>
    <xf numFmtId="166" fontId="19" fillId="0" borderId="0" xfId="1" applyNumberFormat="1" applyFont="1" applyAlignment="1">
      <alignment horizontal="left"/>
    </xf>
    <xf numFmtId="165" fontId="19" fillId="0" borderId="0" xfId="1" applyNumberFormat="1" applyFont="1" applyAlignment="1">
      <alignment horizontal="left"/>
    </xf>
    <xf numFmtId="6" fontId="19" fillId="0" borderId="0" xfId="1" applyNumberFormat="1" applyFont="1" applyAlignment="1">
      <alignment horizontal="left"/>
    </xf>
    <xf numFmtId="6" fontId="19" fillId="0" borderId="0" xfId="1" applyNumberFormat="1" applyFont="1"/>
    <xf numFmtId="167" fontId="19" fillId="0" borderId="0" xfId="1" applyNumberFormat="1" applyFont="1"/>
    <xf numFmtId="168" fontId="21" fillId="0" borderId="0" xfId="1" applyNumberFormat="1" applyFont="1" applyAlignment="1">
      <alignment horizontal="right"/>
    </xf>
    <xf numFmtId="3" fontId="19" fillId="0" borderId="0" xfId="1" applyNumberFormat="1" applyFont="1" applyAlignment="1">
      <alignment horizontal="right"/>
    </xf>
    <xf numFmtId="0" fontId="23" fillId="0" borderId="0" xfId="0" applyFont="1" applyAlignment="1">
      <alignment horizontal="left"/>
    </xf>
    <xf numFmtId="0" fontId="19" fillId="0" borderId="0" xfId="0" applyFont="1" applyAlignment="1">
      <alignment vertical="top"/>
    </xf>
    <xf numFmtId="6" fontId="19" fillId="0" borderId="0" xfId="0" applyNumberFormat="1" applyFont="1" applyAlignment="1">
      <alignment horizontal="center"/>
    </xf>
    <xf numFmtId="0" fontId="19" fillId="0" borderId="1" xfId="0" applyFont="1" applyBorder="1" applyAlignment="1">
      <alignment horizontal="center"/>
    </xf>
    <xf numFmtId="0" fontId="19" fillId="0" borderId="0" xfId="0" applyFont="1" applyAlignment="1">
      <alignment horizontal="center"/>
    </xf>
    <xf numFmtId="0" fontId="19" fillId="0" borderId="0" xfId="1" applyFont="1" applyAlignment="1">
      <alignment vertical="center"/>
    </xf>
    <xf numFmtId="0" fontId="19" fillId="0" borderId="0" xfId="1" applyFont="1" applyAlignment="1">
      <alignment vertical="center" wrapText="1"/>
    </xf>
    <xf numFmtId="0" fontId="19" fillId="0" borderId="0" xfId="1" applyFont="1" applyAlignment="1">
      <alignment horizontal="right" vertical="center"/>
    </xf>
    <xf numFmtId="10" fontId="19" fillId="0" borderId="0" xfId="1" applyNumberFormat="1" applyFont="1" applyAlignment="1">
      <alignment vertical="center"/>
    </xf>
    <xf numFmtId="6" fontId="19" fillId="0" borderId="0" xfId="1" applyNumberFormat="1" applyFont="1" applyAlignment="1">
      <alignment horizontal="left" vertical="center"/>
    </xf>
    <xf numFmtId="166" fontId="19" fillId="0" borderId="0" xfId="1" applyNumberFormat="1" applyFont="1" applyAlignment="1">
      <alignment horizontal="right" vertical="center"/>
    </xf>
    <xf numFmtId="0" fontId="22" fillId="4" borderId="0" xfId="0" applyFont="1" applyFill="1" applyAlignment="1">
      <alignment horizontal="center" vertical="center" wrapText="1"/>
    </xf>
    <xf numFmtId="0" fontId="19" fillId="0" borderId="0" xfId="1" applyFont="1" applyAlignment="1">
      <alignment horizontal="center" vertical="center" wrapText="1"/>
    </xf>
    <xf numFmtId="0" fontId="18" fillId="0" borderId="0" xfId="1" applyFont="1" applyAlignment="1">
      <alignment horizontal="center" vertical="center" wrapText="1"/>
    </xf>
    <xf numFmtId="0" fontId="19" fillId="7" borderId="0" xfId="1" applyFont="1" applyFill="1" applyAlignment="1">
      <alignment horizontal="center" vertical="center"/>
    </xf>
    <xf numFmtId="169" fontId="19" fillId="7" borderId="0" xfId="2" applyNumberFormat="1" applyFont="1" applyFill="1" applyBorder="1" applyAlignment="1">
      <alignment vertical="center"/>
    </xf>
    <xf numFmtId="169" fontId="19" fillId="7" borderId="0" xfId="1" applyNumberFormat="1" applyFont="1" applyFill="1" applyAlignment="1">
      <alignment vertical="center"/>
    </xf>
    <xf numFmtId="0" fontId="19" fillId="6" borderId="0" xfId="1" applyFont="1" applyFill="1" applyAlignment="1">
      <alignment horizontal="center" vertical="center"/>
    </xf>
    <xf numFmtId="169" fontId="19" fillId="6" borderId="0" xfId="2" applyNumberFormat="1" applyFont="1" applyFill="1" applyBorder="1" applyAlignment="1">
      <alignment vertical="center"/>
    </xf>
    <xf numFmtId="169" fontId="19" fillId="6" borderId="0" xfId="1" applyNumberFormat="1" applyFont="1" applyFill="1" applyAlignment="1">
      <alignment vertical="center"/>
    </xf>
    <xf numFmtId="0" fontId="19" fillId="8" borderId="0" xfId="1" applyFont="1" applyFill="1" applyAlignment="1">
      <alignment horizontal="center" vertical="center"/>
    </xf>
    <xf numFmtId="169" fontId="19" fillId="8" borderId="0" xfId="1" applyNumberFormat="1" applyFont="1" applyFill="1" applyAlignment="1">
      <alignment vertical="center"/>
    </xf>
    <xf numFmtId="169" fontId="24" fillId="6" borderId="0" xfId="1" applyNumberFormat="1" applyFont="1" applyFill="1" applyAlignment="1">
      <alignment vertical="center"/>
    </xf>
    <xf numFmtId="0" fontId="21" fillId="6" borderId="0" xfId="1" applyFont="1" applyFill="1" applyAlignment="1">
      <alignment horizontal="center" vertical="center" wrapText="1"/>
    </xf>
    <xf numFmtId="169" fontId="21" fillId="6" borderId="0" xfId="1" applyNumberFormat="1" applyFont="1" applyFill="1" applyAlignment="1">
      <alignment vertical="center" wrapText="1"/>
    </xf>
    <xf numFmtId="0" fontId="21" fillId="0" borderId="0" xfId="1" applyFont="1" applyAlignment="1">
      <alignment wrapText="1"/>
    </xf>
    <xf numFmtId="0" fontId="25" fillId="0" borderId="0" xfId="1" applyFont="1" applyAlignment="1">
      <alignment wrapText="1"/>
    </xf>
    <xf numFmtId="0" fontId="11" fillId="0" borderId="0" xfId="1" applyFont="1" applyAlignment="1">
      <alignment horizontal="left"/>
    </xf>
    <xf numFmtId="14" fontId="1" fillId="0" borderId="0" xfId="1" applyNumberFormat="1" applyFont="1"/>
    <xf numFmtId="164" fontId="1" fillId="0" borderId="0" xfId="1" applyNumberFormat="1" applyFont="1" applyAlignment="1">
      <alignment vertical="center"/>
    </xf>
    <xf numFmtId="171" fontId="1" fillId="0" borderId="0" xfId="1" applyNumberFormat="1" applyFont="1" applyAlignment="1">
      <alignment vertical="center"/>
    </xf>
    <xf numFmtId="0" fontId="11" fillId="0" borderId="0" xfId="1" applyFont="1"/>
    <xf numFmtId="0" fontId="1" fillId="0" borderId="0" xfId="1" applyFont="1" applyAlignment="1">
      <alignment horizontal="center"/>
    </xf>
    <xf numFmtId="164" fontId="1" fillId="0" borderId="0" xfId="1" applyNumberFormat="1" applyFont="1"/>
    <xf numFmtId="6" fontId="1" fillId="0" borderId="0" xfId="2" applyNumberFormat="1" applyFont="1"/>
    <xf numFmtId="6" fontId="1" fillId="0" borderId="0" xfId="1" applyNumberFormat="1" applyFont="1"/>
    <xf numFmtId="170" fontId="1" fillId="0" borderId="0" xfId="1" applyNumberFormat="1" applyFont="1"/>
    <xf numFmtId="44" fontId="1" fillId="0" borderId="0" xfId="1" applyNumberFormat="1" applyFont="1"/>
    <xf numFmtId="0" fontId="19" fillId="0" borderId="0" xfId="1" applyFont="1" applyAlignment="1">
      <alignment horizontal="left" vertical="center"/>
    </xf>
    <xf numFmtId="0" fontId="12" fillId="0" borderId="0" xfId="1" applyFont="1" applyAlignment="1">
      <alignment vertical="center" wrapText="1"/>
    </xf>
    <xf numFmtId="0" fontId="19" fillId="0" borderId="0" xfId="3" applyFont="1"/>
    <xf numFmtId="14" fontId="1" fillId="9" borderId="0" xfId="3" applyNumberFormat="1" applyFill="1" applyAlignment="1">
      <alignment horizontal="left"/>
    </xf>
    <xf numFmtId="0" fontId="1" fillId="0" borderId="0" xfId="3"/>
    <xf numFmtId="0" fontId="1" fillId="0" borderId="0" xfId="3" quotePrefix="1"/>
    <xf numFmtId="0" fontId="19" fillId="0" borderId="0" xfId="3" applyFont="1" applyAlignment="1">
      <alignment horizontal="left"/>
    </xf>
    <xf numFmtId="0" fontId="21" fillId="0" borderId="1" xfId="0" applyFont="1" applyBorder="1"/>
    <xf numFmtId="0" fontId="21" fillId="0" borderId="11" xfId="0" applyFont="1" applyBorder="1"/>
    <xf numFmtId="0" fontId="19" fillId="0" borderId="0" xfId="0" applyFont="1" applyAlignment="1">
      <alignment horizontal="left"/>
    </xf>
    <xf numFmtId="169" fontId="21" fillId="7" borderId="0" xfId="1" applyNumberFormat="1" applyFont="1" applyFill="1" applyAlignment="1">
      <alignment horizontal="center" vertical="center"/>
    </xf>
    <xf numFmtId="169" fontId="21" fillId="6" borderId="0" xfId="1" applyNumberFormat="1" applyFont="1" applyFill="1" applyAlignment="1">
      <alignment horizontal="center" vertical="center"/>
    </xf>
    <xf numFmtId="169" fontId="21" fillId="8" borderId="0" xfId="1" applyNumberFormat="1" applyFont="1" applyFill="1" applyAlignment="1">
      <alignment horizontal="center" vertical="center"/>
    </xf>
    <xf numFmtId="0" fontId="1" fillId="0" borderId="0" xfId="3" applyAlignment="1">
      <alignment wrapText="1"/>
    </xf>
    <xf numFmtId="0" fontId="1" fillId="0" borderId="0" xfId="3" applyAlignment="1">
      <alignment horizontal="center" vertical="center" wrapText="1"/>
    </xf>
    <xf numFmtId="0" fontId="10" fillId="0" borderId="0" xfId="3" applyFont="1" applyAlignment="1">
      <alignment wrapText="1"/>
    </xf>
    <xf numFmtId="0" fontId="19" fillId="7" borderId="0" xfId="1" applyFont="1" applyFill="1" applyAlignment="1">
      <alignment vertical="center" wrapText="1"/>
    </xf>
    <xf numFmtId="0" fontId="20" fillId="0" borderId="0" xfId="1" applyFont="1" applyAlignment="1">
      <alignment horizontal="left" wrapText="1"/>
    </xf>
    <xf numFmtId="6" fontId="20" fillId="0" borderId="0" xfId="1" applyNumberFormat="1" applyFont="1" applyAlignment="1">
      <alignment horizontal="left" wrapText="1"/>
    </xf>
    <xf numFmtId="0" fontId="27" fillId="0" borderId="0" xfId="4" applyFont="1" applyAlignment="1">
      <alignment horizontal="left"/>
    </xf>
    <xf numFmtId="43" fontId="28" fillId="0" borderId="0" xfId="5" applyFont="1" applyAlignment="1">
      <alignment horizontal="left"/>
    </xf>
    <xf numFmtId="2" fontId="26" fillId="0" borderId="0" xfId="4" applyNumberFormat="1"/>
    <xf numFmtId="43" fontId="29" fillId="0" borderId="0" xfId="5" applyFont="1" applyAlignment="1">
      <alignment horizontal="left"/>
    </xf>
    <xf numFmtId="0" fontId="26" fillId="0" borderId="0" xfId="4"/>
    <xf numFmtId="43" fontId="30" fillId="0" borderId="0" xfId="5" applyFont="1" applyAlignment="1"/>
    <xf numFmtId="0" fontId="31" fillId="0" borderId="0" xfId="4" applyFont="1"/>
    <xf numFmtId="0" fontId="32" fillId="0" borderId="0" xfId="4" applyFont="1" applyAlignment="1">
      <alignment horizontal="left"/>
    </xf>
    <xf numFmtId="0" fontId="27" fillId="0" borderId="0" xfId="4" applyFont="1" applyAlignment="1">
      <alignment horizontal="left" vertical="top" wrapText="1"/>
    </xf>
    <xf numFmtId="43" fontId="28" fillId="0" borderId="0" xfId="5" applyFont="1" applyAlignment="1">
      <alignment horizontal="center"/>
    </xf>
    <xf numFmtId="0" fontId="31" fillId="0" borderId="0" xfId="4" applyFont="1" applyAlignment="1">
      <alignment horizontal="center" wrapText="1"/>
    </xf>
    <xf numFmtId="49" fontId="31" fillId="0" borderId="0" xfId="4" applyNumberFormat="1" applyFont="1" applyAlignment="1">
      <alignment horizontal="left"/>
    </xf>
    <xf numFmtId="0" fontId="31" fillId="0" borderId="0" xfId="4" applyFont="1" applyAlignment="1">
      <alignment wrapText="1"/>
    </xf>
    <xf numFmtId="44" fontId="31" fillId="0" borderId="0" xfId="4" applyNumberFormat="1" applyFont="1" applyAlignment="1">
      <alignment horizontal="right"/>
    </xf>
    <xf numFmtId="0" fontId="33" fillId="0" borderId="0" xfId="4" applyFont="1" applyAlignment="1">
      <alignment horizontal="left" wrapText="1"/>
    </xf>
    <xf numFmtId="44" fontId="27" fillId="0" borderId="0" xfId="4" applyNumberFormat="1" applyFont="1" applyAlignment="1">
      <alignment horizontal="right"/>
    </xf>
    <xf numFmtId="43" fontId="26" fillId="0" borderId="0" xfId="5" applyFont="1" applyAlignment="1"/>
    <xf numFmtId="2" fontId="28" fillId="0" borderId="0" xfId="4" applyNumberFormat="1" applyFont="1" applyAlignment="1">
      <alignment horizontal="left"/>
    </xf>
    <xf numFmtId="43" fontId="29" fillId="0" borderId="0" xfId="5" applyFont="1" applyAlignment="1"/>
    <xf numFmtId="2" fontId="30" fillId="0" borderId="0" xfId="4" applyNumberFormat="1" applyFont="1"/>
    <xf numFmtId="2" fontId="29" fillId="0" borderId="0" xfId="4" applyNumberFormat="1" applyFont="1"/>
    <xf numFmtId="43" fontId="0" fillId="0" borderId="0" xfId="5" applyFont="1" applyAlignment="1"/>
    <xf numFmtId="0" fontId="35" fillId="0" borderId="0" xfId="4" applyFont="1" applyAlignment="1">
      <alignment vertical="top"/>
    </xf>
    <xf numFmtId="0" fontId="34" fillId="0" borderId="0" xfId="4" applyFont="1" applyAlignment="1">
      <alignment vertical="top"/>
    </xf>
    <xf numFmtId="0" fontId="34" fillId="0" borderId="0" xfId="4" applyFont="1" applyAlignment="1">
      <alignment vertical="top" wrapText="1"/>
    </xf>
    <xf numFmtId="0" fontId="34" fillId="0" borderId="0" xfId="4" applyFont="1" applyAlignment="1">
      <alignment horizontal="center" vertical="top"/>
    </xf>
    <xf numFmtId="43" fontId="34" fillId="0" borderId="0" xfId="5" applyFont="1" applyAlignment="1">
      <alignment vertical="top"/>
    </xf>
    <xf numFmtId="0" fontId="36" fillId="0" borderId="0" xfId="4" applyFont="1" applyAlignment="1">
      <alignment vertical="top"/>
    </xf>
    <xf numFmtId="0" fontId="36" fillId="0" borderId="2" xfId="4" applyFont="1" applyBorder="1" applyAlignment="1">
      <alignment horizontal="center" vertical="top"/>
    </xf>
    <xf numFmtId="0" fontId="36" fillId="0" borderId="2" xfId="4" applyFont="1" applyBorder="1" applyAlignment="1">
      <alignment horizontal="center" vertical="top" wrapText="1"/>
    </xf>
    <xf numFmtId="43" fontId="36" fillId="0" borderId="2" xfId="5" applyFont="1" applyBorder="1" applyAlignment="1">
      <alignment horizontal="center" vertical="top"/>
    </xf>
    <xf numFmtId="0" fontId="37" fillId="0" borderId="0" xfId="4" applyFont="1" applyAlignment="1">
      <alignment horizontal="center"/>
    </xf>
    <xf numFmtId="0" fontId="34" fillId="0" borderId="0" xfId="5" applyNumberFormat="1" applyFont="1" applyAlignment="1">
      <alignment vertical="top"/>
    </xf>
    <xf numFmtId="0" fontId="38" fillId="4" borderId="12" xfId="1" applyFont="1" applyFill="1" applyBorder="1" applyAlignment="1">
      <alignment horizontal="center" wrapText="1"/>
    </xf>
    <xf numFmtId="0" fontId="38" fillId="4" borderId="13" xfId="1" applyFont="1" applyFill="1" applyBorder="1" applyAlignment="1">
      <alignment horizontal="center" wrapText="1"/>
    </xf>
    <xf numFmtId="0" fontId="39" fillId="0" borderId="15" xfId="1" applyFont="1" applyBorder="1" applyAlignment="1">
      <alignment horizontal="center"/>
    </xf>
    <xf numFmtId="0" fontId="39" fillId="0" borderId="0" xfId="1" applyFont="1" applyAlignment="1">
      <alignment horizontal="center"/>
    </xf>
    <xf numFmtId="14" fontId="39" fillId="0" borderId="0" xfId="1" applyNumberFormat="1" applyFont="1" applyAlignment="1">
      <alignment horizontal="center"/>
    </xf>
    <xf numFmtId="6" fontId="39" fillId="0" borderId="0" xfId="1" applyNumberFormat="1" applyFont="1" applyAlignment="1">
      <alignment horizontal="center"/>
    </xf>
    <xf numFmtId="0" fontId="39" fillId="6" borderId="15" xfId="1" applyFont="1" applyFill="1" applyBorder="1" applyAlignment="1">
      <alignment horizontal="center"/>
    </xf>
    <xf numFmtId="14" fontId="39" fillId="6" borderId="0" xfId="1" applyNumberFormat="1" applyFont="1" applyFill="1" applyAlignment="1">
      <alignment horizontal="center"/>
    </xf>
    <xf numFmtId="6" fontId="39" fillId="6" borderId="0" xfId="1" applyNumberFormat="1" applyFont="1" applyFill="1" applyAlignment="1">
      <alignment horizontal="center"/>
    </xf>
    <xf numFmtId="0" fontId="39" fillId="6" borderId="0" xfId="1" applyFont="1" applyFill="1" applyAlignment="1">
      <alignment horizontal="center"/>
    </xf>
    <xf numFmtId="0" fontId="40" fillId="0" borderId="17" xfId="1" applyFont="1" applyBorder="1" applyAlignment="1">
      <alignment horizontal="center"/>
    </xf>
    <xf numFmtId="0" fontId="40" fillId="0" borderId="18" xfId="1" applyFont="1" applyBorder="1" applyAlignment="1">
      <alignment horizontal="center"/>
    </xf>
    <xf numFmtId="6" fontId="40" fillId="0" borderId="18" xfId="1" applyNumberFormat="1" applyFont="1" applyBorder="1" applyAlignment="1">
      <alignment horizontal="center"/>
    </xf>
    <xf numFmtId="0" fontId="41" fillId="0" borderId="0" xfId="0" applyFont="1" applyAlignment="1">
      <alignment vertical="top"/>
    </xf>
    <xf numFmtId="0" fontId="42" fillId="0" borderId="0" xfId="0" applyFont="1" applyAlignment="1">
      <alignment horizontal="right"/>
    </xf>
    <xf numFmtId="0" fontId="43" fillId="0" borderId="0" xfId="0" applyFont="1" applyAlignment="1">
      <alignment horizontal="right"/>
    </xf>
    <xf numFmtId="0" fontId="42" fillId="0" borderId="0" xfId="0" applyFont="1" applyAlignment="1">
      <alignment vertical="top"/>
    </xf>
    <xf numFmtId="0" fontId="42" fillId="0" borderId="0" xfId="0" applyFont="1" applyAlignment="1">
      <alignment horizontal="center"/>
    </xf>
    <xf numFmtId="0" fontId="44" fillId="0" borderId="0" xfId="0" applyFont="1"/>
    <xf numFmtId="0" fontId="45" fillId="0" borderId="0" xfId="0" applyFont="1" applyAlignment="1">
      <alignment horizontal="center"/>
    </xf>
    <xf numFmtId="0" fontId="45" fillId="0" borderId="0" xfId="0" applyFont="1" applyAlignment="1">
      <alignment horizontal="right" vertical="top"/>
    </xf>
    <xf numFmtId="0" fontId="35" fillId="0" borderId="0" xfId="0" applyFont="1" applyAlignment="1">
      <alignment horizontal="right"/>
    </xf>
    <xf numFmtId="0" fontId="46" fillId="13" borderId="0" xfId="0" applyFont="1" applyFill="1" applyAlignment="1">
      <alignment horizontal="right"/>
    </xf>
    <xf numFmtId="0" fontId="34" fillId="0" borderId="0" xfId="0" applyFont="1" applyAlignment="1">
      <alignment horizontal="right"/>
    </xf>
    <xf numFmtId="0" fontId="29" fillId="0" borderId="0" xfId="0" applyFont="1" applyAlignment="1">
      <alignment horizontal="right"/>
    </xf>
    <xf numFmtId="165" fontId="29" fillId="0" borderId="0" xfId="3" applyNumberFormat="1" applyFont="1"/>
    <xf numFmtId="166" fontId="29" fillId="0" borderId="0" xfId="3" applyNumberFormat="1" applyFont="1" applyAlignment="1">
      <alignment horizontal="right"/>
    </xf>
    <xf numFmtId="0" fontId="47" fillId="0" borderId="0" xfId="0" applyFont="1" applyAlignment="1">
      <alignment vertical="top"/>
    </xf>
    <xf numFmtId="0" fontId="47" fillId="0" borderId="0" xfId="0" applyFont="1" applyAlignment="1">
      <alignment horizontal="left"/>
    </xf>
    <xf numFmtId="0" fontId="48" fillId="0" borderId="0" xfId="0" applyFont="1" applyAlignment="1">
      <alignment horizontal="center"/>
    </xf>
    <xf numFmtId="0" fontId="47" fillId="0" borderId="0" xfId="0" applyFont="1" applyAlignment="1">
      <alignment horizontal="center"/>
    </xf>
    <xf numFmtId="0" fontId="48" fillId="0" borderId="0" xfId="0" applyFont="1" applyAlignment="1">
      <alignment horizontal="right" vertical="top"/>
    </xf>
    <xf numFmtId="0" fontId="36" fillId="0" borderId="0" xfId="0" applyFont="1" applyAlignment="1">
      <alignment horizontal="left"/>
    </xf>
    <xf numFmtId="0" fontId="36" fillId="0" borderId="20" xfId="0" applyFont="1" applyBorder="1" applyAlignment="1">
      <alignment horizontal="left"/>
    </xf>
    <xf numFmtId="0" fontId="36" fillId="0" borderId="20" xfId="0" applyFont="1" applyBorder="1" applyAlignment="1">
      <alignment horizontal="center"/>
    </xf>
    <xf numFmtId="0" fontId="34" fillId="0" borderId="0" xfId="0" applyFont="1" applyAlignment="1">
      <alignment horizontal="center"/>
    </xf>
    <xf numFmtId="0" fontId="34" fillId="0" borderId="0" xfId="0" applyFont="1" applyAlignment="1">
      <alignment horizontal="right" vertical="top"/>
    </xf>
    <xf numFmtId="0" fontId="36" fillId="0" borderId="0" xfId="0" applyFont="1" applyAlignment="1">
      <alignment vertical="top"/>
    </xf>
    <xf numFmtId="173" fontId="34" fillId="0" borderId="0" xfId="0" applyNumberFormat="1" applyFont="1" applyAlignment="1">
      <alignment horizontal="center"/>
    </xf>
    <xf numFmtId="173" fontId="36" fillId="0" borderId="21" xfId="0" applyNumberFormat="1" applyFont="1" applyBorder="1" applyAlignment="1">
      <alignment horizontal="center"/>
    </xf>
    <xf numFmtId="0" fontId="36" fillId="0" borderId="21" xfId="0" applyFont="1" applyBorder="1" applyAlignment="1">
      <alignment horizontal="center"/>
    </xf>
    <xf numFmtId="0" fontId="29" fillId="14" borderId="0" xfId="0" applyFont="1" applyFill="1" applyAlignment="1">
      <alignment horizontal="right" wrapText="1"/>
    </xf>
    <xf numFmtId="0" fontId="29" fillId="0" borderId="0" xfId="0" applyFont="1" applyAlignment="1">
      <alignment wrapText="1"/>
    </xf>
    <xf numFmtId="0" fontId="29" fillId="14" borderId="0" xfId="0" applyFont="1" applyFill="1" applyAlignment="1">
      <alignment horizontal="center" wrapText="1"/>
    </xf>
    <xf numFmtId="0" fontId="29" fillId="0" borderId="0" xfId="0" applyFont="1" applyAlignment="1">
      <alignment horizontal="right" wrapText="1"/>
    </xf>
    <xf numFmtId="8" fontId="49" fillId="0" borderId="0" xfId="0" applyNumberFormat="1" applyFont="1" applyAlignment="1">
      <alignment horizontal="center" wrapText="1"/>
    </xf>
    <xf numFmtId="8" fontId="29" fillId="0" borderId="0" xfId="0" applyNumberFormat="1" applyFont="1" applyAlignment="1">
      <alignment horizontal="center" wrapText="1"/>
    </xf>
    <xf numFmtId="10" fontId="29" fillId="0" borderId="0" xfId="0" applyNumberFormat="1" applyFont="1" applyAlignment="1">
      <alignment horizontal="center" wrapText="1"/>
    </xf>
    <xf numFmtId="43" fontId="29" fillId="0" borderId="0" xfId="0" applyNumberFormat="1" applyFont="1" applyAlignment="1">
      <alignment wrapText="1"/>
    </xf>
    <xf numFmtId="8" fontId="29" fillId="5" borderId="0" xfId="0" applyNumberFormat="1" applyFont="1" applyFill="1" applyAlignment="1">
      <alignment horizontal="center" wrapText="1"/>
    </xf>
    <xf numFmtId="10" fontId="29" fillId="5" borderId="0" xfId="0" applyNumberFormat="1" applyFont="1" applyFill="1" applyAlignment="1">
      <alignment horizontal="center" wrapText="1"/>
    </xf>
    <xf numFmtId="0" fontId="29" fillId="0" borderId="1" xfId="0" applyFont="1" applyBorder="1" applyAlignment="1">
      <alignment horizontal="right" wrapText="1"/>
    </xf>
    <xf numFmtId="8" fontId="49" fillId="0" borderId="1" xfId="0" applyNumberFormat="1" applyFont="1" applyBorder="1" applyAlignment="1">
      <alignment horizontal="center" wrapText="1"/>
    </xf>
    <xf numFmtId="8" fontId="29" fillId="5" borderId="1" xfId="0" applyNumberFormat="1" applyFont="1" applyFill="1" applyBorder="1" applyAlignment="1">
      <alignment horizontal="center" wrapText="1"/>
    </xf>
    <xf numFmtId="10" fontId="29" fillId="5" borderId="1" xfId="0" applyNumberFormat="1" applyFont="1" applyFill="1" applyBorder="1" applyAlignment="1">
      <alignment horizontal="center" wrapText="1"/>
    </xf>
    <xf numFmtId="8" fontId="31" fillId="0" borderId="0" xfId="0" applyNumberFormat="1" applyFont="1" applyAlignment="1">
      <alignment horizontal="center" wrapText="1"/>
    </xf>
    <xf numFmtId="8" fontId="34" fillId="5" borderId="0" xfId="0" applyNumberFormat="1" applyFont="1" applyFill="1" applyAlignment="1">
      <alignment horizontal="center" wrapText="1"/>
    </xf>
    <xf numFmtId="0" fontId="49" fillId="0" borderId="0" xfId="0" applyFont="1" applyAlignment="1">
      <alignment wrapText="1"/>
    </xf>
    <xf numFmtId="9" fontId="29" fillId="0" borderId="0" xfId="6" applyFont="1" applyBorder="1" applyAlignment="1">
      <alignment wrapText="1"/>
    </xf>
    <xf numFmtId="0" fontId="29" fillId="15" borderId="0" xfId="0" applyFont="1" applyFill="1" applyAlignment="1">
      <alignment wrapText="1"/>
    </xf>
    <xf numFmtId="0" fontId="22" fillId="16" borderId="0" xfId="0" applyFont="1" applyFill="1" applyAlignment="1">
      <alignment horizontal="center" vertical="center" wrapText="1"/>
    </xf>
    <xf numFmtId="0" fontId="22" fillId="2" borderId="0" xfId="0" applyFont="1" applyFill="1" applyAlignment="1">
      <alignment horizontal="center" vertical="center" wrapText="1"/>
    </xf>
    <xf numFmtId="10" fontId="19" fillId="0" borderId="0" xfId="3" applyNumberFormat="1" applyFont="1" applyAlignment="1">
      <alignment vertical="center"/>
    </xf>
    <xf numFmtId="0" fontId="19" fillId="0" borderId="0" xfId="3" applyFont="1" applyAlignment="1">
      <alignment vertical="center"/>
    </xf>
    <xf numFmtId="0" fontId="10" fillId="0" borderId="0" xfId="3" applyFont="1"/>
    <xf numFmtId="174" fontId="1" fillId="0" borderId="0" xfId="3" quotePrefix="1" applyNumberFormat="1"/>
    <xf numFmtId="174" fontId="1" fillId="0" borderId="0" xfId="3" applyNumberFormat="1"/>
    <xf numFmtId="9" fontId="1" fillId="0" borderId="0" xfId="8" applyFont="1"/>
    <xf numFmtId="9" fontId="1" fillId="0" borderId="0" xfId="3" applyNumberFormat="1"/>
    <xf numFmtId="0" fontId="3" fillId="2" borderId="0" xfId="3" applyFont="1" applyFill="1"/>
    <xf numFmtId="0" fontId="7" fillId="0" borderId="0" xfId="3" applyFont="1"/>
    <xf numFmtId="0" fontId="4" fillId="0" borderId="0" xfId="3" applyFont="1"/>
    <xf numFmtId="0" fontId="12" fillId="0" borderId="0" xfId="3" applyFont="1" applyAlignment="1">
      <alignment vertical="center" wrapText="1"/>
    </xf>
    <xf numFmtId="0" fontId="12" fillId="0" borderId="0" xfId="3" applyFont="1" applyAlignment="1">
      <alignment vertical="center"/>
    </xf>
    <xf numFmtId="0" fontId="19" fillId="0" borderId="0" xfId="3" applyFont="1" applyAlignment="1">
      <alignment vertical="center" wrapText="1"/>
    </xf>
    <xf numFmtId="0" fontId="18" fillId="0" borderId="0" xfId="3" applyFont="1"/>
    <xf numFmtId="0" fontId="19" fillId="0" borderId="0" xfId="3" applyFont="1" applyAlignment="1">
      <alignment horizontal="right" vertical="center"/>
    </xf>
    <xf numFmtId="0" fontId="18" fillId="0" borderId="0" xfId="3" applyFont="1" applyAlignment="1">
      <alignment wrapText="1"/>
    </xf>
    <xf numFmtId="0" fontId="19" fillId="0" borderId="0" xfId="3" applyFont="1" applyAlignment="1">
      <alignment horizontal="left" vertical="center"/>
    </xf>
    <xf numFmtId="166" fontId="19" fillId="0" borderId="0" xfId="3" applyNumberFormat="1" applyFont="1" applyAlignment="1">
      <alignment horizontal="right" vertical="center"/>
    </xf>
    <xf numFmtId="0" fontId="18" fillId="7" borderId="0" xfId="3" applyFont="1" applyFill="1" applyAlignment="1">
      <alignment vertical="center" wrapText="1"/>
    </xf>
    <xf numFmtId="0" fontId="18" fillId="0" borderId="0" xfId="3" applyFont="1" applyAlignment="1">
      <alignment horizontal="center" vertical="center" wrapText="1"/>
    </xf>
    <xf numFmtId="0" fontId="19" fillId="7" borderId="0" xfId="3" applyFont="1" applyFill="1" applyAlignment="1">
      <alignment horizontal="center" vertical="center"/>
    </xf>
    <xf numFmtId="169" fontId="19" fillId="7" borderId="0" xfId="9" applyNumberFormat="1" applyFont="1" applyFill="1" applyBorder="1" applyAlignment="1">
      <alignment vertical="center"/>
    </xf>
    <xf numFmtId="169" fontId="19" fillId="7" borderId="0" xfId="3" applyNumberFormat="1" applyFont="1" applyFill="1" applyAlignment="1">
      <alignment vertical="center"/>
    </xf>
    <xf numFmtId="169" fontId="21" fillId="7" borderId="0" xfId="3" applyNumberFormat="1" applyFont="1" applyFill="1" applyAlignment="1">
      <alignment horizontal="center" vertical="center"/>
    </xf>
    <xf numFmtId="0" fontId="19" fillId="6" borderId="0" xfId="3" applyFont="1" applyFill="1" applyAlignment="1">
      <alignment horizontal="center" vertical="center"/>
    </xf>
    <xf numFmtId="169" fontId="19" fillId="6" borderId="0" xfId="9" applyNumberFormat="1" applyFont="1" applyFill="1" applyBorder="1" applyAlignment="1">
      <alignment vertical="center"/>
    </xf>
    <xf numFmtId="169" fontId="19" fillId="6" borderId="0" xfId="3" applyNumberFormat="1" applyFont="1" applyFill="1" applyAlignment="1">
      <alignment vertical="center"/>
    </xf>
    <xf numFmtId="169" fontId="21" fillId="6" borderId="0" xfId="3" applyNumberFormat="1" applyFont="1" applyFill="1" applyAlignment="1">
      <alignment horizontal="center" vertical="center"/>
    </xf>
    <xf numFmtId="0" fontId="19" fillId="8" borderId="0" xfId="3" applyFont="1" applyFill="1" applyAlignment="1">
      <alignment horizontal="center" vertical="center"/>
    </xf>
    <xf numFmtId="169" fontId="19" fillId="8" borderId="0" xfId="3" applyNumberFormat="1" applyFont="1" applyFill="1" applyAlignment="1">
      <alignment vertical="center"/>
    </xf>
    <xf numFmtId="169" fontId="21" fillId="8" borderId="0" xfId="3" applyNumberFormat="1" applyFont="1" applyFill="1" applyAlignment="1">
      <alignment horizontal="center" vertical="center"/>
    </xf>
    <xf numFmtId="169" fontId="24" fillId="6" borderId="0" xfId="3" applyNumberFormat="1" applyFont="1" applyFill="1" applyAlignment="1">
      <alignment vertical="center"/>
    </xf>
    <xf numFmtId="0" fontId="21" fillId="6" borderId="0" xfId="3" applyFont="1" applyFill="1" applyAlignment="1">
      <alignment horizontal="center" vertical="center" wrapText="1"/>
    </xf>
    <xf numFmtId="169" fontId="21" fillId="6" borderId="0" xfId="3" applyNumberFormat="1" applyFont="1" applyFill="1" applyAlignment="1">
      <alignment vertical="center" wrapText="1"/>
    </xf>
    <xf numFmtId="0" fontId="21" fillId="0" borderId="0" xfId="3" applyFont="1" applyAlignment="1">
      <alignment vertical="center" wrapText="1"/>
    </xf>
    <xf numFmtId="0" fontId="25" fillId="0" borderId="0" xfId="3" applyFont="1" applyAlignment="1">
      <alignment wrapText="1"/>
    </xf>
    <xf numFmtId="0" fontId="7" fillId="0" borderId="3" xfId="3" applyFont="1" applyBorder="1"/>
    <xf numFmtId="0" fontId="7" fillId="0" borderId="4" xfId="3" applyFont="1" applyBorder="1"/>
    <xf numFmtId="0" fontId="7" fillId="0" borderId="5" xfId="3" applyFont="1" applyBorder="1"/>
    <xf numFmtId="0" fontId="3" fillId="10" borderId="6" xfId="3" applyFont="1" applyFill="1" applyBorder="1" applyAlignment="1">
      <alignment horizontal="center"/>
    </xf>
    <xf numFmtId="0" fontId="3" fillId="10" borderId="0" xfId="3" applyFont="1" applyFill="1" applyAlignment="1">
      <alignment horizontal="center"/>
    </xf>
    <xf numFmtId="0" fontId="3" fillId="10" borderId="7" xfId="3" applyFont="1" applyFill="1" applyBorder="1" applyAlignment="1">
      <alignment horizontal="center"/>
    </xf>
    <xf numFmtId="0" fontId="1" fillId="0" borderId="0" xfId="3" applyAlignment="1">
      <alignment horizontal="center"/>
    </xf>
    <xf numFmtId="170" fontId="1" fillId="0" borderId="0" xfId="3" applyNumberFormat="1"/>
    <xf numFmtId="6" fontId="1" fillId="0" borderId="0" xfId="9" applyNumberFormat="1" applyFont="1"/>
    <xf numFmtId="6" fontId="1" fillId="0" borderId="0" xfId="3" applyNumberFormat="1"/>
    <xf numFmtId="0" fontId="7" fillId="0" borderId="3" xfId="3" applyFont="1" applyBorder="1" applyAlignment="1">
      <alignment horizontal="center"/>
    </xf>
    <xf numFmtId="0" fontId="16" fillId="0" borderId="4" xfId="3" applyFont="1" applyBorder="1"/>
    <xf numFmtId="6" fontId="21" fillId="0" borderId="0" xfId="1" applyNumberFormat="1" applyFont="1" applyAlignment="1">
      <alignment wrapText="1"/>
    </xf>
    <xf numFmtId="165" fontId="29" fillId="0" borderId="0" xfId="0" applyNumberFormat="1" applyFont="1" applyAlignment="1">
      <alignment horizontal="left" vertical="center"/>
    </xf>
    <xf numFmtId="0" fontId="29" fillId="0" borderId="0" xfId="0" applyFont="1" applyAlignment="1">
      <alignment horizontal="left" vertical="center"/>
    </xf>
    <xf numFmtId="0" fontId="9" fillId="0" borderId="0" xfId="0" applyFont="1"/>
    <xf numFmtId="9" fontId="10" fillId="0" borderId="0" xfId="3" applyNumberFormat="1" applyFont="1"/>
    <xf numFmtId="6" fontId="10" fillId="0" borderId="0" xfId="9" applyNumberFormat="1" applyFont="1" applyBorder="1"/>
    <xf numFmtId="0" fontId="10" fillId="0" borderId="0" xfId="1" applyFont="1"/>
    <xf numFmtId="0" fontId="10" fillId="0" borderId="0" xfId="3" applyFont="1" applyAlignment="1">
      <alignment horizontal="center"/>
    </xf>
    <xf numFmtId="0" fontId="21" fillId="5" borderId="0" xfId="1" applyFont="1" applyFill="1" applyAlignment="1">
      <alignment horizontal="left" wrapText="1"/>
    </xf>
    <xf numFmtId="0" fontId="1" fillId="5" borderId="0" xfId="3" applyFill="1"/>
    <xf numFmtId="9" fontId="1" fillId="5" borderId="0" xfId="8" applyFont="1" applyFill="1"/>
    <xf numFmtId="0" fontId="3" fillId="2" borderId="1" xfId="1" applyFont="1" applyFill="1" applyBorder="1" applyAlignment="1">
      <alignment horizontal="center"/>
    </xf>
    <xf numFmtId="0" fontId="3" fillId="2" borderId="0" xfId="1" applyFont="1" applyFill="1" applyAlignment="1">
      <alignment horizontal="center"/>
    </xf>
    <xf numFmtId="0" fontId="2" fillId="9" borderId="0" xfId="1" applyFill="1" applyAlignment="1">
      <alignment horizontal="left" vertical="top"/>
    </xf>
    <xf numFmtId="0" fontId="3" fillId="2" borderId="0" xfId="3" applyFont="1" applyFill="1" applyAlignment="1">
      <alignment horizontal="center"/>
    </xf>
    <xf numFmtId="0" fontId="3" fillId="2" borderId="1" xfId="3" applyFont="1" applyFill="1" applyBorder="1" applyAlignment="1">
      <alignment horizontal="center"/>
    </xf>
    <xf numFmtId="0" fontId="10" fillId="0" borderId="0" xfId="3" applyFont="1" applyAlignment="1">
      <alignment horizontal="center"/>
    </xf>
    <xf numFmtId="0" fontId="39" fillId="6" borderId="0" xfId="1" applyFont="1" applyFill="1" applyAlignment="1">
      <alignment horizontal="center" wrapText="1"/>
    </xf>
    <xf numFmtId="166" fontId="39" fillId="6" borderId="0" xfId="1" applyNumberFormat="1" applyFont="1" applyFill="1" applyAlignment="1">
      <alignment horizontal="center"/>
    </xf>
    <xf numFmtId="0" fontId="38" fillId="4" borderId="13" xfId="1" applyFont="1" applyFill="1" applyBorder="1" applyAlignment="1">
      <alignment horizontal="center" wrapText="1"/>
    </xf>
    <xf numFmtId="0" fontId="39" fillId="0" borderId="0" xfId="1" applyFont="1" applyAlignment="1">
      <alignment horizontal="center"/>
    </xf>
    <xf numFmtId="166" fontId="39" fillId="0" borderId="0" xfId="1" applyNumberFormat="1" applyFont="1" applyAlignment="1">
      <alignment horizontal="center"/>
    </xf>
    <xf numFmtId="0" fontId="12" fillId="0" borderId="0" xfId="1" applyFont="1" applyAlignment="1">
      <alignment horizontal="center" wrapText="1"/>
    </xf>
    <xf numFmtId="0" fontId="39" fillId="0" borderId="0" xfId="1" applyFont="1" applyAlignment="1">
      <alignment horizontal="center" wrapText="1"/>
    </xf>
    <xf numFmtId="0" fontId="19" fillId="0" borderId="0" xfId="1" applyFont="1" applyAlignment="1">
      <alignment wrapText="1"/>
    </xf>
    <xf numFmtId="0" fontId="18" fillId="0" borderId="0" xfId="1" applyFont="1" applyAlignment="1">
      <alignment horizontal="center" wrapText="1"/>
    </xf>
    <xf numFmtId="165" fontId="19" fillId="0" borderId="0" xfId="1" applyNumberFormat="1" applyFont="1" applyAlignment="1">
      <alignment horizontal="left"/>
    </xf>
    <xf numFmtId="0" fontId="8" fillId="12" borderId="0" xfId="3" applyFont="1" applyFill="1" applyAlignment="1">
      <alignment horizontal="center" vertical="center" wrapText="1"/>
    </xf>
    <xf numFmtId="0" fontId="19" fillId="0" borderId="0" xfId="1" applyFont="1" applyAlignment="1">
      <alignment horizontal="left" vertical="top" wrapText="1"/>
    </xf>
    <xf numFmtId="0" fontId="38" fillId="4" borderId="13" xfId="3" applyFont="1" applyFill="1" applyBorder="1" applyAlignment="1">
      <alignment horizontal="center" wrapText="1"/>
    </xf>
    <xf numFmtId="0" fontId="38" fillId="4" borderId="14" xfId="3" applyFont="1" applyFill="1" applyBorder="1" applyAlignment="1">
      <alignment horizontal="center" wrapText="1"/>
    </xf>
    <xf numFmtId="6" fontId="39" fillId="0" borderId="0" xfId="3" applyNumberFormat="1" applyFont="1" applyAlignment="1">
      <alignment horizontal="center"/>
    </xf>
    <xf numFmtId="6" fontId="39" fillId="0" borderId="16" xfId="3" applyNumberFormat="1" applyFont="1" applyBorder="1" applyAlignment="1">
      <alignment horizontal="center"/>
    </xf>
    <xf numFmtId="6" fontId="39" fillId="6" borderId="0" xfId="3" applyNumberFormat="1" applyFont="1" applyFill="1" applyAlignment="1">
      <alignment horizontal="center"/>
    </xf>
    <xf numFmtId="6" fontId="39" fillId="6" borderId="16" xfId="3" applyNumberFormat="1" applyFont="1" applyFill="1" applyBorder="1" applyAlignment="1">
      <alignment horizontal="center"/>
    </xf>
    <xf numFmtId="6" fontId="40" fillId="0" borderId="18" xfId="3" applyNumberFormat="1" applyFont="1" applyBorder="1" applyAlignment="1">
      <alignment horizontal="center"/>
    </xf>
    <xf numFmtId="6" fontId="40" fillId="0" borderId="19" xfId="3" applyNumberFormat="1" applyFont="1" applyBorder="1" applyAlignment="1">
      <alignment horizontal="center"/>
    </xf>
    <xf numFmtId="0" fontId="40" fillId="0" borderId="18" xfId="1" applyFont="1" applyBorder="1" applyAlignment="1">
      <alignment horizontal="center"/>
    </xf>
    <xf numFmtId="6" fontId="40" fillId="0" borderId="18" xfId="1" applyNumberFormat="1" applyFont="1" applyBorder="1" applyAlignment="1">
      <alignment horizontal="center"/>
    </xf>
    <xf numFmtId="14" fontId="19" fillId="0" borderId="0" xfId="0" applyNumberFormat="1" applyFont="1" applyAlignment="1">
      <alignment horizontal="center"/>
    </xf>
    <xf numFmtId="6" fontId="19" fillId="0" borderId="0" xfId="0" applyNumberFormat="1" applyFont="1" applyAlignment="1">
      <alignment horizontal="center"/>
    </xf>
    <xf numFmtId="0" fontId="21" fillId="0" borderId="0" xfId="0" applyFont="1" applyAlignment="1">
      <alignment horizontal="center"/>
    </xf>
    <xf numFmtId="0" fontId="23" fillId="0" borderId="0" xfId="0" applyFont="1" applyAlignment="1">
      <alignment horizontal="left"/>
    </xf>
    <xf numFmtId="0" fontId="19" fillId="0" borderId="0" xfId="0" applyFont="1" applyAlignment="1">
      <alignment horizontal="left"/>
    </xf>
    <xf numFmtId="0" fontId="19" fillId="0" borderId="0" xfId="0" applyFont="1" applyAlignment="1">
      <alignment horizontal="left" wrapText="1"/>
    </xf>
    <xf numFmtId="0" fontId="21" fillId="0" borderId="1" xfId="0" applyFont="1" applyBorder="1" applyAlignment="1">
      <alignment horizontal="center"/>
    </xf>
    <xf numFmtId="0" fontId="21" fillId="0" borderId="1" xfId="0" applyFont="1" applyBorder="1" applyAlignment="1">
      <alignment horizontal="center" wrapText="1"/>
    </xf>
    <xf numFmtId="0" fontId="19" fillId="0" borderId="0" xfId="0" applyFont="1"/>
    <xf numFmtId="0" fontId="19" fillId="0" borderId="0" xfId="0" applyFont="1" applyAlignment="1">
      <alignment horizontal="left" vertical="center"/>
    </xf>
    <xf numFmtId="0" fontId="19" fillId="5" borderId="0" xfId="0" applyFont="1" applyFill="1" applyAlignment="1">
      <alignment horizontal="center"/>
    </xf>
    <xf numFmtId="0" fontId="21" fillId="0" borderId="11" xfId="0" applyFont="1" applyBorder="1" applyAlignment="1">
      <alignment horizontal="left"/>
    </xf>
    <xf numFmtId="6" fontId="21" fillId="0" borderId="11" xfId="0" applyNumberFormat="1" applyFont="1" applyBorder="1" applyAlignment="1">
      <alignment horizontal="center"/>
    </xf>
    <xf numFmtId="0" fontId="12" fillId="0" borderId="0" xfId="1" applyFont="1" applyAlignment="1">
      <alignment horizontal="center" vertical="center" wrapText="1"/>
    </xf>
    <xf numFmtId="0" fontId="19" fillId="0" borderId="0" xfId="1" applyFont="1" applyAlignment="1">
      <alignment horizontal="center" vertical="center"/>
    </xf>
    <xf numFmtId="0" fontId="19" fillId="0" borderId="0" xfId="1" applyFont="1" applyAlignment="1">
      <alignment horizontal="left" vertical="center"/>
    </xf>
    <xf numFmtId="0" fontId="8" fillId="4" borderId="0" xfId="1" applyFont="1" applyFill="1" applyAlignment="1">
      <alignment horizontal="center" vertical="center" wrapText="1"/>
    </xf>
    <xf numFmtId="165" fontId="19" fillId="0" borderId="0" xfId="1" applyNumberFormat="1" applyFont="1" applyAlignment="1">
      <alignment vertical="center"/>
    </xf>
    <xf numFmtId="0" fontId="12" fillId="0" borderId="0" xfId="3" applyFont="1" applyAlignment="1">
      <alignment horizontal="center" vertical="center" wrapText="1"/>
    </xf>
    <xf numFmtId="0" fontId="8" fillId="4" borderId="0" xfId="3" applyFont="1" applyFill="1" applyAlignment="1">
      <alignment horizontal="center" vertical="center" wrapText="1"/>
    </xf>
    <xf numFmtId="165" fontId="19" fillId="0" borderId="0" xfId="3" applyNumberFormat="1" applyFont="1" applyAlignment="1">
      <alignment vertical="center"/>
    </xf>
    <xf numFmtId="0" fontId="19" fillId="0" borderId="0" xfId="3" applyFont="1" applyAlignment="1">
      <alignment horizontal="left" vertical="center"/>
    </xf>
    <xf numFmtId="0" fontId="19" fillId="0" borderId="0" xfId="3" applyFont="1" applyAlignment="1">
      <alignment horizontal="center" vertical="center"/>
    </xf>
    <xf numFmtId="0" fontId="41" fillId="0" borderId="0" xfId="0" applyFont="1" applyAlignment="1">
      <alignment horizontal="center" vertical="top"/>
    </xf>
    <xf numFmtId="0" fontId="45" fillId="0" borderId="0" xfId="0" applyFont="1" applyAlignment="1">
      <alignment horizontal="center" wrapText="1"/>
    </xf>
    <xf numFmtId="0" fontId="0" fillId="0" borderId="0" xfId="0"/>
    <xf numFmtId="0" fontId="17" fillId="11" borderId="8" xfId="1" applyFont="1" applyFill="1" applyBorder="1" applyAlignment="1">
      <alignment horizontal="center" vertical="center" wrapText="1"/>
    </xf>
    <xf numFmtId="0" fontId="17" fillId="11" borderId="9" xfId="1" applyFont="1" applyFill="1" applyBorder="1" applyAlignment="1">
      <alignment horizontal="center" vertical="center" wrapText="1"/>
    </xf>
    <xf numFmtId="172" fontId="17" fillId="11" borderId="8" xfId="1" applyNumberFormat="1" applyFont="1" applyFill="1" applyBorder="1" applyAlignment="1">
      <alignment horizontal="center" vertical="center" wrapText="1"/>
    </xf>
    <xf numFmtId="172" fontId="17" fillId="11" borderId="9" xfId="1" applyNumberFormat="1" applyFont="1" applyFill="1" applyBorder="1" applyAlignment="1">
      <alignment horizontal="center" vertical="center" wrapText="1"/>
    </xf>
  </cellXfs>
  <cellStyles count="10">
    <cellStyle name="Comma 2" xfId="5" xr:uid="{6CFF9C4B-C8FC-D940-B46A-714B356E776D}"/>
    <cellStyle name="Currency 2" xfId="2" xr:uid="{09073356-2124-5F44-9CD5-74F3A7992795}"/>
    <cellStyle name="Currency 2 2" xfId="9" xr:uid="{6AC78EFF-AD42-C94C-8234-1D3B5569E59B}"/>
    <cellStyle name="Currency 3" xfId="7" xr:uid="{F336A41A-AD04-9146-A31C-4005C8E5196C}"/>
    <cellStyle name="Normal" xfId="0" builtinId="0"/>
    <cellStyle name="Normal 2" xfId="1" xr:uid="{0B419F3E-7E1A-7B4F-9319-21D265F06AB3}"/>
    <cellStyle name="Normal 2 2" xfId="3" xr:uid="{07F7AFA5-45B8-7E4E-971A-BAC6F49884D1}"/>
    <cellStyle name="Normal 3" xfId="4" xr:uid="{591E3FF4-CBBD-F947-BFBA-C5F1ED48548D}"/>
    <cellStyle name="Percent" xfId="8" builtinId="5"/>
    <cellStyle name="Percent 2" xfId="6" xr:uid="{7BF01EE4-9F33-6647-AE77-1F215A1B61C4}"/>
  </cellStyles>
  <dxfs count="82"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10" formatCode="&quot;$&quot;#,##0_);[Red]\(&quot;$&quot;#,##0\)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10" formatCode="&quot;$&quot;#,##0_);[Red]\(&quot;$&quot;#,##0\)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10" formatCode="&quot;$&quot;#,##0_);[Red]\(&quot;$&quot;#,##0\)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170" formatCode="0.0000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10" formatCode="&quot;$&quot;#,##0_);[Red]\(&quot;$&quot;#,##0\)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10" formatCode="&quot;$&quot;#,##0_);[Red]\(&quot;$&quot;#,##0\)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10" formatCode="&quot;$&quot;#,##0_);[Red]\(&quot;$&quot;#,##0\)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170" formatCode="0.0000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border outline="0">
        <top style="thin">
          <color rgb="FF000000"/>
        </top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1"/>
          <bgColor theme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10" formatCode="&quot;$&quot;#,##0_);[Red]\(&quot;$&quot;#,##0\)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10" formatCode="&quot;$&quot;#,##0_);[Red]\(&quot;$&quot;#,##0\)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10" formatCode="&quot;$&quot;#,##0_);[Red]\(&quot;$&quot;#,##0\)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164" formatCode="0.000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border outline="0">
        <top style="thin">
          <color rgb="FF000000"/>
        </top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1"/>
          <bgColor theme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10" formatCode="&quot;$&quot;#,##0_);[Red]\(&quot;$&quot;#,##0\)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10" formatCode="&quot;$&quot;#,##0_);[Red]\(&quot;$&quot;#,##0\)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10" formatCode="&quot;$&quot;#,##0_);[Red]\(&quot;$&quot;#,##0\)"/>
      <fill>
        <patternFill patternType="none">
          <fgColor indexed="64"/>
          <bgColor auto="1"/>
        </patternFill>
      </fill>
    </dxf>
    <dxf>
      <numFmt numFmtId="170" formatCode="0.00000"/>
    </dxf>
    <dxf>
      <numFmt numFmtId="0" formatCode="General"/>
      <fill>
        <patternFill patternType="none">
          <fgColor indexed="64"/>
          <bgColor auto="1"/>
        </patternFill>
      </fill>
    </dxf>
    <dxf>
      <alignment horizontal="center" vertical="bottom" textRotation="0" wrapText="0" indent="0" justifyLastLine="0" shrinkToFit="0" readingOrder="0"/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1"/>
          <bgColor theme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10" formatCode="&quot;$&quot;#,##0_);[Red]\(&quot;$&quot;#,##0\)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10" formatCode="&quot;$&quot;#,##0_);[Red]\(&quot;$&quot;#,##0\)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10" formatCode="&quot;$&quot;#,##0_);[Red]\(&quot;$&quot;#,##0\)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164" formatCode="0.000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border outline="0">
        <top style="thin">
          <color rgb="FF000000"/>
        </top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1"/>
          <bgColor theme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10" formatCode="&quot;$&quot;#,##0_);[Red]\(&quot;$&quot;#,##0\)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10" formatCode="&quot;$&quot;#,##0_);[Red]\(&quot;$&quot;#,##0\)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10" formatCode="&quot;$&quot;#,##0_);[Red]\(&quot;$&quot;#,##0\)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164" formatCode="0.000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10" formatCode="&quot;$&quot;#,##0_);[Red]\(&quot;$&quot;#,##0\)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10" formatCode="&quot;$&quot;#,##0_);[Red]\(&quot;$&quot;#,##0\)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10" formatCode="&quot;$&quot;#,##0_);[Red]\(&quot;$&quot;#,##0\)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170" formatCode="0.0000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ill>
        <patternFill patternType="solid">
          <fgColor theme="6"/>
        </patternFill>
      </fill>
    </dxf>
  </dxfs>
  <tableStyles count="1" defaultTableStyle="TableStyleMedium2" defaultPivotStyle="PivotStyleLight16">
    <tableStyle name="Table Style 1" pivot="0" count="1" xr9:uid="{BEBC39DB-13A7-8941-9C39-480FAAC01518}">
      <tableStyleElement type="wholeTable" dxfId="81"/>
    </tableStyle>
  </tableStyles>
  <colors>
    <mruColors>
      <color rgb="FF33781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microsoft.com/office/2017/06/relationships/rdRichValueStructure" Target="richData/rdrichvaluestructure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microsoft.com/office/2017/06/relationships/rdRichValue" Target="richData/rdrichvalue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microsoft.com/office/2022/10/relationships/richValueRel" Target="richData/richValueRel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29F6976-D0C8-574E-AC58-3DCF5027AEC3}" name="_27.5_Year_Post_CS" displayName="_27.5_Year_Post_CS" ref="H20:M49" totalsRowShown="0" headerRowDxfId="80" dataDxfId="79">
  <autoFilter ref="H20:M49" xr:uid="{00000000-0009-0000-0100-00000B000000}"/>
  <tableColumns count="6">
    <tableColumn id="1" xr3:uid="{C797EFCA-23BF-F14B-820A-1D2498F88AC3}" name="Year No." dataDxfId="78"/>
    <tableColumn id="2" xr3:uid="{8F2DFFCA-3CCF-CC49-A146-2ADF2B2F38F7}" name="Year" dataDxfId="77"/>
    <tableColumn id="3" xr3:uid="{42A486DD-4164-4046-99EE-8E2C6462216E}" name="27.5-Year Rate" dataDxfId="76" dataCellStyle="Normal 2">
      <calculatedColumnFormula array="1">INDEX('27.5-Year'!$A$1:$M$32,MATCH(_27.5_Year_Post_CS[[#This Row],[Year No.]],'27.5-Year'!$A:$A,0),MONTH('Study Data'!$B$6)+1)</calculatedColumnFormula>
    </tableColumn>
    <tableColumn id="4" xr3:uid="{87FEFCA0-6E71-5D4C-8B60-06952226B029}" name="Adj Basis" dataDxfId="75">
      <calculatedColumnFormula>IF($E$11=27.5,$G$11,0)</calculatedColumnFormula>
    </tableColumn>
    <tableColumn id="5" xr3:uid="{1E369C04-7208-CC42-9468-0BAD61775B6A}" name="Annual Depreciation" dataDxfId="74">
      <calculatedColumnFormula>_27.5_Year_Post_CS[[#This Row],[Adj Basis]]*_27.5_Year_Post_CS[[#This Row],[27.5-Year Rate]]</calculatedColumnFormula>
    </tableColumn>
    <tableColumn id="6" xr3:uid="{2141667B-EF1E-3D40-8DC2-2B94E0574818}" name="Cumulative Depreciation" dataDxfId="73">
      <calculatedColumnFormula>SUM(L21+M20)</calculatedColumnFormula>
    </tableColumn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EA86A34-79B7-C74F-88C8-D7FE6B2B0B52}" name="_15_Year_Post_CS" displayName="_15_Year_Post_CS" ref="AC20:AH36" totalsRowShown="0" headerRowDxfId="72" dataDxfId="71">
  <autoFilter ref="AC20:AH36" xr:uid="{00000000-0009-0000-0100-00000C000000}"/>
  <tableColumns count="6">
    <tableColumn id="1" xr3:uid="{7D813B56-28B1-E04B-B387-E5954DD3BDB3}" name="Year No." dataDxfId="70"/>
    <tableColumn id="2" xr3:uid="{623E28BD-F261-FE46-AB61-3E511B161F97}" name="Year" dataDxfId="69"/>
    <tableColumn id="3" xr3:uid="{B0217E17-BA55-AD42-9F6F-1D4919B44677}" name="15-Year Rate" dataDxfId="68"/>
    <tableColumn id="4" xr3:uid="{D40E24F4-0E77-3547-8786-6E1A9B3FE461}" name="Basis" dataDxfId="67">
      <calculatedColumnFormula>$G$14-$AE$38</calculatedColumnFormula>
    </tableColumn>
    <tableColumn id="5" xr3:uid="{0412F4FE-EAE7-564B-BC55-A2684122FDCE}" name="Annual Depreciation" dataDxfId="66">
      <calculatedColumnFormula>_15_Year_Post_CS[[#This Row],[Basis]]*_15_Year_Post_CS[[#This Row],[15-Year Rate]]</calculatedColumnFormula>
    </tableColumn>
    <tableColumn id="6" xr3:uid="{18D2CE31-A00C-CB44-A08E-19448AC04E5E}" name="Cumulative Depreciation" dataDxfId="65">
      <calculatedColumnFormula>AG21</calculatedColumnFormula>
    </tableColumn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E744B87-7AD7-384D-97D3-32B1DBFAA144}" name="_7_Year_Post_CS" displayName="_7_Year_Post_CS" ref="V20:AA28" totalsRowShown="0" headerRowDxfId="64" dataDxfId="63" tableBorderDxfId="62">
  <autoFilter ref="V20:AA28" xr:uid="{00000000-0009-0000-0100-00000D000000}"/>
  <tableColumns count="6">
    <tableColumn id="1" xr3:uid="{D656486D-7B6F-F84C-9BF6-E3F37D47D88A}" name="Year No." dataDxfId="61"/>
    <tableColumn id="2" xr3:uid="{9E4E59AE-2838-7244-AFA1-3FAC6841938F}" name="Year" dataDxfId="60"/>
    <tableColumn id="3" xr3:uid="{6E2ADFBF-FDBE-434E-9C21-CD0DF8779DBC}" name="7-Year Rate" dataDxfId="59"/>
    <tableColumn id="4" xr3:uid="{EC3B059C-15A5-0E42-9EA4-834AC1B8B5FE}" name="Basis" dataDxfId="58">
      <calculatedColumnFormula>$G$13-$X$30</calculatedColumnFormula>
    </tableColumn>
    <tableColumn id="5" xr3:uid="{A38E92C5-0B19-0A43-82D9-A40C71E1EE2C}" name="Annual Depreciation" dataDxfId="57">
      <calculatedColumnFormula>_7_Year_Post_CS[[#This Row],[Basis]]*_7_Year_Post_CS[[#This Row],[7-Year Rate]]</calculatedColumnFormula>
    </tableColumn>
    <tableColumn id="6" xr3:uid="{AA49796D-FC85-2645-9D13-A22BA76E77DC}" name="Cumulative Depreciation" dataDxfId="56">
      <calculatedColumnFormula>Z21</calculatedColumnFormula>
    </tableColumn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2AD628B-0562-2345-B76E-8C3772CE7E10}" name="_27.5_Year_Original" displayName="_27.5_Year_Original" ref="A20:F49" totalsRowShown="0" headerRowDxfId="55" tableBorderDxfId="54">
  <autoFilter ref="A20:F49" xr:uid="{00000000-0009-0000-0100-00000F000000}"/>
  <tableColumns count="6">
    <tableColumn id="1" xr3:uid="{F3CBFD10-AD92-DF45-8903-A3600C97D5D3}" name="Year No." dataDxfId="53"/>
    <tableColumn id="2" xr3:uid="{E2E3944A-BDA5-CD4F-A36C-DEB0E82FEF5B}" name="Year" dataDxfId="52">
      <calculatedColumnFormula>YEAR(#REF!)</calculatedColumnFormula>
    </tableColumn>
    <tableColumn id="3" xr3:uid="{E45C979F-196B-C84E-8F20-BF94F6924451}" name="27.5-Year Rate" dataDxfId="51">
      <calculatedColumnFormula array="1">INDEX('27.5-Year'!$A$1:$M$32,MATCH(_27.5_Year_Original[[#This Row],[Year No.]],'27.5-Year'!$A:$A,0),MONTH('Study Data'!$B$6)+1)</calculatedColumnFormula>
    </tableColumn>
    <tableColumn id="4" xr3:uid="{55E96B1A-478D-DD40-80BF-AB81DB3D803B}" name="Original Basis" dataDxfId="50">
      <calculatedColumnFormula>IF($E$11=27.5,$D$11,0)</calculatedColumnFormula>
    </tableColumn>
    <tableColumn id="5" xr3:uid="{87B8AB6B-B0C3-6B40-B98F-ECB2056999D2}" name="Annual Depreciation" dataDxfId="49">
      <calculatedColumnFormula>_27.5_Year_Original[[#This Row],[Original Basis]]*_27.5_Year_Original[[#This Row],[27.5-Year Rate]]</calculatedColumnFormula>
    </tableColumn>
    <tableColumn id="6" xr3:uid="{0745D138-55EB-FA46-B3E7-0856B738E002}" name="Cumulative Depreciation" dataDxfId="48">
      <calculatedColumnFormula>SUM(E21+F20)</calculatedColumnFormula>
    </tableColumn>
  </tableColumns>
  <tableStyleInfo name="TableStyleLight8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2494B6CD-9009-B840-BB0B-5F35349F2E93}" name="_5_Year_Post_CS" displayName="_5_Year_Post_CS" ref="O20:T26" totalsRowShown="0" headerRowDxfId="47" dataDxfId="46" tableBorderDxfId="45">
  <autoFilter ref="O20:T26" xr:uid="{00000000-0009-0000-0100-00000E000000}"/>
  <tableColumns count="6">
    <tableColumn id="1" xr3:uid="{4D5D7ADB-EAA3-BC48-B53E-26FB6DFAF31B}" name="Year No." dataDxfId="44"/>
    <tableColumn id="2" xr3:uid="{C614775D-841C-6044-8C93-FF610B1D6B3C}" name="Year" dataDxfId="43"/>
    <tableColumn id="3" xr3:uid="{7C7468EC-9404-ED44-AE66-54DBE5E22FD5}" name="5-Year Rate" dataDxfId="42"/>
    <tableColumn id="4" xr3:uid="{58C96BFE-8EC6-3344-B6EC-FA24BF58C312}" name="Basis" dataDxfId="41">
      <calculatedColumnFormula>$G$12-$Q$28</calculatedColumnFormula>
    </tableColumn>
    <tableColumn id="5" xr3:uid="{A8C31B7F-7FFA-7144-8940-E4533FD307BB}" name="Annual Depreciation" dataDxfId="40">
      <calculatedColumnFormula>_5_Year_Post_CS[[#This Row],[Basis]]*_5_Year_Post_CS[[#This Row],[5-Year Rate]]</calculatedColumnFormula>
    </tableColumn>
    <tableColumn id="6" xr3:uid="{3378CAA4-17C1-F44F-8F35-E69E79E97186}" name="Cumulative Depreciation" dataDxfId="39">
      <calculatedColumnFormula>SUM(S21+T20)</calculatedColumnFormula>
    </tableColumn>
  </tableColumns>
  <tableStyleInfo name="TableStyleLight8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2669C1A0-F38A-2243-9512-996BDF8DA4BA}" name="_27.5_Year_Original11" displayName="_27.5_Year_Original11" ref="A54:F94" totalsRowShown="0" headerRowDxfId="38" dataDxfId="37" tableBorderDxfId="36">
  <autoFilter ref="A54:F94" xr:uid="{2669C1A0-F38A-2243-9512-996BDF8DA4BA}"/>
  <tableColumns count="6">
    <tableColumn id="1" xr3:uid="{3B2AAF64-12C8-3741-AEDB-919BE6C06006}" name="Year No." dataDxfId="35"/>
    <tableColumn id="2" xr3:uid="{14A98D33-7DC7-D345-B204-DE16DB49A46E}" name="Year" dataDxfId="34">
      <calculatedColumnFormula>YEAR(#REF!)</calculatedColumnFormula>
    </tableColumn>
    <tableColumn id="3" xr3:uid="{470529C4-FECA-8B45-941C-51FB2AA85C4F}" name="39-Year Rate" dataDxfId="33" dataCellStyle="Normal 2">
      <calculatedColumnFormula array="1">INDEX('39-Year'!$A$1:$M$43,MATCH(_27.5_Year_Original11[[#This Row],[Year No.]],'39-Year'!$A:$A,0),MONTH($B$6)+1)</calculatedColumnFormula>
    </tableColumn>
    <tableColumn id="4" xr3:uid="{EF3B7DC7-F794-8E43-9975-B865715B518D}" name="Original Basis" dataDxfId="32">
      <calculatedColumnFormula>IF($E$11=39,$D$11,0)</calculatedColumnFormula>
    </tableColumn>
    <tableColumn id="5" xr3:uid="{920210E7-D9A7-054B-AEEB-73684BF50779}" name="Annual Depreciation" dataDxfId="31">
      <calculatedColumnFormula>_27.5_Year_Original11[[#This Row],[Original Basis]]*_27.5_Year_Original11[[#This Row],[39-Year Rate]]</calculatedColumnFormula>
    </tableColumn>
    <tableColumn id="6" xr3:uid="{2A50ACEE-CC83-E142-AB7C-3694F271C68E}" name="Cumulative Depreciation" dataDxfId="30">
      <calculatedColumnFormula>SUM(E55+F54)</calculatedColumnFormula>
    </tableColumn>
  </tableColumns>
  <tableStyleInfo name="TableStyleLight8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44273089-40B8-FE4F-A456-84EA1DCDD710}" name="_39_Year_Post_CS12" displayName="_39_Year_Post_CS12" ref="H54:M94" totalsRowShown="0" headerRowDxfId="29" dataDxfId="28">
  <autoFilter ref="H54:M94" xr:uid="{44273089-40B8-FE4F-A456-84EA1DCDD710}"/>
  <tableColumns count="6">
    <tableColumn id="1" xr3:uid="{87069133-A737-FF49-9C31-B2067E3745D5}" name="Year No." dataDxfId="27"/>
    <tableColumn id="2" xr3:uid="{D635C697-35CE-E84B-823E-0409A720EE67}" name="Year" dataDxfId="26"/>
    <tableColumn id="3" xr3:uid="{18826207-0A71-9E40-8152-E1C52DBA4B90}" name="39-Year Rate" dataDxfId="25" dataCellStyle="Normal 2 2">
      <calculatedColumnFormula array="1">INDEX('39-Year'!$A$1:$M$43,MATCH(_39_Year_Post_CS12[[#This Row],[Year No.]],'39-Year'!$A:$A,0),MONTH($B$6)+1)</calculatedColumnFormula>
    </tableColumn>
    <tableColumn id="4" xr3:uid="{06C2623C-9FAD-874F-AB05-24B0341A8537}" name="Adj Basis" dataDxfId="24">
      <calculatedColumnFormula>IF($E$11=39,$G$11,0)</calculatedColumnFormula>
    </tableColumn>
    <tableColumn id="5" xr3:uid="{2D1D0ABF-830F-7245-B206-87BC5236326C}" name="Annual Depreciation" dataDxfId="23">
      <calculatedColumnFormula>_39_Year_Post_CS12[[#This Row],[Adj Basis]]*_39_Year_Post_CS12[[#This Row],[39-Year Rate]]</calculatedColumnFormula>
    </tableColumn>
    <tableColumn id="6" xr3:uid="{172FB392-D866-534B-88E7-774BF7070A99}" name="Cumulative Depreciation" dataDxfId="22">
      <calculatedColumnFormula>SUM(L55+M54)</calculatedColumnFormula>
    </tableColumn>
  </tableColumns>
  <tableStyleInfo name="TableStyleLight8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5F204A0-5306-0D4D-AC60-E832B52FC1D3}" name="_27.5_Year" displayName="_27.5_Year" ref="A2:M32" totalsRowShown="0">
  <autoFilter ref="A2:M32" xr:uid="{00000000-0009-0000-0100-000005000000}"/>
  <tableColumns count="13">
    <tableColumn id="1" xr3:uid="{8C64302A-D05D-584C-BB09-18993C56206F}" name="Month In Service"/>
    <tableColumn id="2" xr3:uid="{23186BBF-3596-C045-BE74-85E2D839ECC4}" name="January"/>
    <tableColumn id="3" xr3:uid="{856E71DD-E806-8941-934E-1B4C2A572EB4}" name="February"/>
    <tableColumn id="4" xr3:uid="{0543A230-03E4-E24E-A703-F6A451D766C7}" name="March"/>
    <tableColumn id="5" xr3:uid="{62F6255A-4B5F-7C45-962F-9FD98A024F7D}" name="April"/>
    <tableColumn id="6" xr3:uid="{D69459AB-17F3-C44C-B773-5C65586C417B}" name="May"/>
    <tableColumn id="7" xr3:uid="{42BEE047-34CF-9C4A-8EAF-80285DD94285}" name="June"/>
    <tableColumn id="8" xr3:uid="{2177504A-87D1-1041-B5CF-843731D1914A}" name="July"/>
    <tableColumn id="9" xr3:uid="{556F23EB-7695-724F-A17D-01C1606C5DD8}" name="August"/>
    <tableColumn id="10" xr3:uid="{B8EE57A9-9387-2045-A051-F1555A052700}" name="September"/>
    <tableColumn id="11" xr3:uid="{B2431678-F4F0-174F-8B0F-EC9625BB5BA6}" name="October"/>
    <tableColumn id="12" xr3:uid="{81E54249-B6FF-1C46-BBEB-D7135959DC6C}" name="November"/>
    <tableColumn id="13" xr3:uid="{991FC865-9413-7048-AB0F-7CABA7CECD56}" name="December"/>
  </tableColumns>
  <tableStyleInfo name="TableStyleLight8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F761E2D3-10A6-C647-A2BA-D348A1F34D16}" name="_27.5_Year13" displayName="_27.5_Year13" ref="A2:M43" totalsRowShown="0">
  <autoFilter ref="A2:M43" xr:uid="{00000000-0009-0000-0100-000005000000}"/>
  <tableColumns count="13">
    <tableColumn id="1" xr3:uid="{7C8A949C-82CC-2A4E-8A6B-3CF0D350B91A}" name="Month In Service"/>
    <tableColumn id="2" xr3:uid="{0951FF48-1B35-2D41-AAEA-E44DB0B9C69C}" name="January"/>
    <tableColumn id="3" xr3:uid="{6D4E4A17-0802-1A43-A46F-000AA94ECFED}" name="February"/>
    <tableColumn id="4" xr3:uid="{E0BB2CA4-25AF-8F43-9DB4-34177FD50200}" name="March"/>
    <tableColumn id="5" xr3:uid="{5ECB39C7-AA97-524A-BB82-DD53C33F8A9D}" name="April"/>
    <tableColumn id="6" xr3:uid="{9465048B-BE41-F649-BCD7-591691E5EF3D}" name="May"/>
    <tableColumn id="7" xr3:uid="{4DDCBE5F-7AA8-AD47-AA32-49589764BB9D}" name="June"/>
    <tableColumn id="8" xr3:uid="{C398A3C1-8700-6E45-9DD0-034265FA446F}" name="July"/>
    <tableColumn id="9" xr3:uid="{3F966489-6E39-BC47-A337-3E9490E304C8}" name="August"/>
    <tableColumn id="10" xr3:uid="{A4D51D73-0326-AB4A-B60B-9704DE648202}" name="September"/>
    <tableColumn id="11" xr3:uid="{47BEE464-9E59-FC4F-88AF-4993FFD58FBC}" name="October"/>
    <tableColumn id="12" xr3:uid="{4C466F65-D34B-444F-BB81-49E8B65A1DD3}" name="November"/>
    <tableColumn id="13" xr3:uid="{2146B34D-8D28-4943-838B-BFED5AD602F2}" name="December"/>
  </tableColumns>
  <tableStyleInfo name="TableStyleLight8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25FC93-1521-4F46-946A-25AE88280077}" name="_5_Year" displayName="_5_Year" ref="A2:F8" totalsRowShown="0">
  <autoFilter ref="A2:F8" xr:uid="{00000000-0009-0000-0100-000002000000}"/>
  <tableColumns count="6">
    <tableColumn id="1" xr3:uid="{52F25C3A-B20F-9B44-BB52-F733E4FD62EB}" name="Convention"/>
    <tableColumn id="2" xr3:uid="{EAE02F57-C062-4E45-999A-BD7B98016FD9}" name="Half-Year" dataDxfId="21"/>
    <tableColumn id="3" xr3:uid="{607C1022-6B06-DD41-82E7-43F1E0CC540F}" name="Mid-Qtr (Q1)" dataDxfId="20"/>
    <tableColumn id="4" xr3:uid="{5F73DB1C-758B-0E4E-9D5F-81D389A96158}" name="Mid-Qtr (Q2)" dataDxfId="19"/>
    <tableColumn id="5" xr3:uid="{5EDE1579-1B96-A441-9715-2AE1586FA213}" name="Mid-Qtr (Q3)" dataDxfId="18"/>
    <tableColumn id="6" xr3:uid="{8E10A951-07F1-E142-BA1F-1FEEF1A6DCA4}" name="Mid-Qtr (Q4)" dataDxfId="17"/>
  </tableColumns>
  <tableStyleInfo name="TableStyleLight8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27B942E-41FB-3747-A18D-800A51D931CC}" name="_7_Year" displayName="_7_Year" ref="A12:F20" totalsRowShown="0">
  <autoFilter ref="A12:F20" xr:uid="{00000000-0009-0000-0100-000003000000}"/>
  <tableColumns count="6">
    <tableColumn id="1" xr3:uid="{BD50E415-09C9-E548-B28F-3FE2EDB12464}" name="Convention"/>
    <tableColumn id="2" xr3:uid="{17015F7E-86BE-1D4A-B2C7-E0E01B80DB11}" name="Half-Year" dataDxfId="16"/>
    <tableColumn id="3" xr3:uid="{682BEC90-2024-BC49-824A-76000BD8DFC5}" name="Mid-Qtr (Q1)" dataDxfId="15"/>
    <tableColumn id="4" xr3:uid="{B55CDDEE-830C-644A-ADBD-A93D9715CFF2}" name="Mid-Qtr (Q2)" dataDxfId="14"/>
    <tableColumn id="5" xr3:uid="{0CF4B0F0-1FCE-824E-80BA-85F57DAF21DD}" name="Mid-Qtr (Q3)" dataDxfId="13"/>
    <tableColumn id="6" xr3:uid="{A495532F-8246-0249-8E0B-FBC9EA977E4D}" name="Mid-Qtr (Q4)" dataDxfId="12"/>
  </tableColumns>
  <tableStyleInfo name="TableStyleLight8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5769D35-3DFA-6D44-86F0-B656C789B56F}" name="_15_Year" displayName="_15_Year" ref="A24:F40" totalsRowShown="0">
  <autoFilter ref="A24:F40" xr:uid="{00000000-0009-0000-0100-000004000000}"/>
  <tableColumns count="6">
    <tableColumn id="1" xr3:uid="{8AC64135-F967-9544-9B55-59CE7DA0E2C6}" name="Convention"/>
    <tableColumn id="2" xr3:uid="{89BFBD44-13B7-954D-97C9-41DED5932448}" name="Half-Year" dataDxfId="11"/>
    <tableColumn id="3" xr3:uid="{D4583D57-29ED-AF48-B321-E8DE349AA2A4}" name="Mid-Qtr (Q1)" dataDxfId="10"/>
    <tableColumn id="4" xr3:uid="{A54C918A-A60C-B24F-849E-9ABE4DDBE85E}" name="Mid-Qtr (Q2)" dataDxfId="9"/>
    <tableColumn id="5" xr3:uid="{F1B0DBC7-992E-F14C-8FF3-8B9561AB5A64}" name="Mid-Qtr (Q3)" dataDxfId="8"/>
    <tableColumn id="6" xr3:uid="{E7E1DE78-43C2-E649-91CE-23371B42DB0B}" name="Mid-Qtr (Q4)" dataDxfId="7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.xml"/><Relationship Id="rId2" Type="http://schemas.openxmlformats.org/officeDocument/2006/relationships/table" Target="../tables/table11.xml"/><Relationship Id="rId1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102BB-3626-054D-83B2-CF38A0F9168B}">
  <sheetPr codeName="Sheet3"/>
  <dimension ref="A1:FA94"/>
  <sheetViews>
    <sheetView zoomScaleNormal="100" workbookViewId="0">
      <pane ySplit="2" topLeftCell="A3" activePane="bottomLeft" state="frozen"/>
      <selection activeCell="O48" sqref="O48"/>
      <selection pane="bottomLeft" activeCell="F15" sqref="F15"/>
    </sheetView>
  </sheetViews>
  <sheetFormatPr defaultColWidth="8.796875" defaultRowHeight="14.4"/>
  <cols>
    <col min="1" max="1" width="23.5" style="2" bestFit="1" customWidth="1"/>
    <col min="2" max="2" width="22.796875" style="2" bestFit="1" customWidth="1"/>
    <col min="3" max="3" width="21" style="2" bestFit="1" customWidth="1"/>
    <col min="4" max="4" width="45.19921875" style="2" bestFit="1" customWidth="1"/>
    <col min="5" max="5" width="25.19921875" style="2" bestFit="1" customWidth="1"/>
    <col min="6" max="6" width="29.5" style="2" bestFit="1" customWidth="1"/>
    <col min="7" max="7" width="23.5" style="2" bestFit="1" customWidth="1"/>
    <col min="8" max="8" width="22.796875" style="2" bestFit="1" customWidth="1"/>
    <col min="9" max="9" width="10.796875" style="2" bestFit="1" customWidth="1"/>
    <col min="10" max="10" width="20.19921875" style="13" bestFit="1" customWidth="1"/>
    <col min="11" max="11" width="21.69921875" style="2" customWidth="1"/>
    <col min="12" max="13" width="19.796875" style="2" customWidth="1"/>
    <col min="14" max="14" width="2.5" style="2" customWidth="1"/>
    <col min="15" max="15" width="24.796875" style="2" bestFit="1" customWidth="1"/>
    <col min="16" max="16" width="10.796875" style="2" bestFit="1" customWidth="1"/>
    <col min="17" max="17" width="17.5" style="2" bestFit="1" customWidth="1"/>
    <col min="18" max="20" width="19.796875" style="2" customWidth="1"/>
    <col min="21" max="21" width="2.5" style="2" customWidth="1"/>
    <col min="22" max="22" width="24.796875" style="2" bestFit="1" customWidth="1"/>
    <col min="23" max="23" width="10.796875" style="2" bestFit="1" customWidth="1"/>
    <col min="24" max="24" width="17.5" style="2" bestFit="1" customWidth="1"/>
    <col min="25" max="27" width="19.796875" style="2" customWidth="1"/>
    <col min="28" max="28" width="2.5" style="2" customWidth="1"/>
    <col min="29" max="29" width="19.19921875" style="2" bestFit="1" customWidth="1"/>
    <col min="30" max="30" width="10.796875" style="2" bestFit="1" customWidth="1"/>
    <col min="31" max="31" width="18.5" style="2" bestFit="1" customWidth="1"/>
    <col min="32" max="34" width="19.796875" style="2" customWidth="1"/>
    <col min="35" max="35" width="25.19921875" style="2" bestFit="1" customWidth="1"/>
    <col min="36" max="36" width="29.5" style="2" bestFit="1" customWidth="1"/>
    <col min="37" max="16384" width="8.796875" style="2"/>
  </cols>
  <sheetData>
    <row r="1" spans="1:157">
      <c r="A1" s="279" t="s">
        <v>65</v>
      </c>
      <c r="B1" s="279"/>
      <c r="C1" s="279"/>
      <c r="D1" s="279"/>
      <c r="E1" s="279"/>
    </row>
    <row r="2" spans="1:157">
      <c r="A2" s="14" t="s">
        <v>66</v>
      </c>
      <c r="B2" s="280" t="str">
        <f>'Client Summary'!G12</f>
        <v>861 E 800 S, Salt Lake City, UT 84102</v>
      </c>
      <c r="C2" s="280"/>
      <c r="D2" s="280"/>
      <c r="E2" s="280"/>
    </row>
    <row r="4" spans="1:157" ht="15.6">
      <c r="A4" s="2" t="s">
        <v>67</v>
      </c>
      <c r="B4" s="108">
        <f>DATE(B5,12,31)</f>
        <v>46022</v>
      </c>
      <c r="D4" s="43" t="s">
        <v>68</v>
      </c>
      <c r="E4" s="45">
        <f>'Client Summary'!$G$18</f>
        <v>0</v>
      </c>
    </row>
    <row r="5" spans="1:157" ht="15.6">
      <c r="A5" s="46" t="s">
        <v>69</v>
      </c>
      <c r="B5" s="43">
        <f>'Client Summary'!N13</f>
        <v>2025</v>
      </c>
      <c r="D5" s="35" t="str">
        <f>"Accumulated Depreciation as of 12/31/"&amp;$B$5-1</f>
        <v>Accumulated Depreciation as of 12/31/2024</v>
      </c>
      <c r="E5" s="16">
        <f>'Client Summary'!G19</f>
        <v>0</v>
      </c>
    </row>
    <row r="6" spans="1:157">
      <c r="A6" s="46" t="s">
        <v>35</v>
      </c>
      <c r="B6" s="44">
        <f>'Client Summary'!$G$13</f>
        <v>45292</v>
      </c>
      <c r="D6" s="109" t="s">
        <v>70</v>
      </c>
      <c r="E6" s="17" t="str">
        <f>_xlfn.XLOOKUP('Client Summary'!$G$21,Definitions!$E$2:$E$35,Definitions!$F$2:$F$35,0,0,1)</f>
        <v>Single Family Residence</v>
      </c>
    </row>
    <row r="7" spans="1:157">
      <c r="I7" s="18"/>
      <c r="J7" s="18"/>
      <c r="K7" s="18"/>
    </row>
    <row r="8" spans="1:157">
      <c r="J8" s="2"/>
    </row>
    <row r="9" spans="1:157">
      <c r="A9" s="1"/>
      <c r="B9" s="1"/>
      <c r="C9" s="1"/>
      <c r="D9" s="279" t="s">
        <v>73</v>
      </c>
      <c r="E9" s="279"/>
      <c r="F9" s="279"/>
      <c r="G9" s="279" t="s">
        <v>74</v>
      </c>
      <c r="H9" s="279"/>
      <c r="I9" s="279"/>
      <c r="J9" s="279"/>
      <c r="K9" s="279"/>
    </row>
    <row r="10" spans="1:157" ht="46.95" customHeight="1">
      <c r="A10" s="49" t="s">
        <v>39</v>
      </c>
      <c r="B10" s="49" t="s">
        <v>40</v>
      </c>
      <c r="C10" s="49" t="s">
        <v>41</v>
      </c>
      <c r="D10" s="49" t="s">
        <v>53</v>
      </c>
      <c r="E10" s="49" t="s">
        <v>75</v>
      </c>
      <c r="F10" s="19" t="s">
        <v>235</v>
      </c>
      <c r="G10" s="49" t="s">
        <v>71</v>
      </c>
      <c r="H10" s="49" t="s">
        <v>76</v>
      </c>
      <c r="I10" s="49" t="s">
        <v>58</v>
      </c>
      <c r="J10" s="49" t="s">
        <v>45</v>
      </c>
      <c r="K10" s="19" t="str">
        <f>"Revised Depreciation for the Year ending 12/31/"&amp;$B$5-1</f>
        <v>Revised Depreciation for the Year ending 12/31/2024</v>
      </c>
      <c r="L10" s="94"/>
      <c r="M10" s="3"/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48"/>
      <c r="AA10" s="48"/>
      <c r="AB10" s="48"/>
      <c r="AC10" s="48"/>
      <c r="AD10" s="48"/>
      <c r="AE10" s="48"/>
      <c r="AF10" s="48"/>
      <c r="AG10" s="48"/>
      <c r="AH10" s="48"/>
      <c r="AI10" s="48"/>
      <c r="AJ10" s="48"/>
      <c r="AK10" s="48"/>
      <c r="AL10" s="48"/>
      <c r="AM10" s="48"/>
      <c r="AN10" s="48"/>
      <c r="AO10" s="48"/>
      <c r="AP10" s="48"/>
      <c r="AQ10" s="48"/>
      <c r="AR10" s="48"/>
      <c r="AS10" s="48"/>
      <c r="AT10" s="48"/>
      <c r="AU10" s="48"/>
      <c r="AV10" s="48"/>
      <c r="AW10" s="48"/>
      <c r="AX10" s="48"/>
      <c r="AY10" s="48"/>
      <c r="AZ10" s="48"/>
      <c r="BA10" s="48"/>
      <c r="BB10" s="48"/>
      <c r="BC10" s="48"/>
      <c r="BD10" s="48"/>
      <c r="BE10" s="48"/>
      <c r="BF10" s="48"/>
      <c r="BG10" s="48"/>
      <c r="BH10" s="48"/>
      <c r="BI10" s="48"/>
      <c r="BJ10" s="48"/>
      <c r="BK10" s="48"/>
      <c r="BL10" s="48"/>
      <c r="BM10" s="48"/>
      <c r="BN10" s="48"/>
      <c r="BO10" s="48"/>
      <c r="BP10" s="48"/>
      <c r="BQ10" s="48"/>
      <c r="BR10" s="48"/>
      <c r="BS10" s="48"/>
      <c r="BT10" s="48"/>
      <c r="BU10" s="48"/>
      <c r="BV10" s="48"/>
      <c r="BW10" s="48"/>
      <c r="BX10" s="48"/>
      <c r="BY10" s="48"/>
      <c r="BZ10" s="48"/>
      <c r="CA10" s="48"/>
      <c r="CB10" s="48"/>
      <c r="CC10" s="48"/>
      <c r="CD10" s="48"/>
      <c r="CE10" s="48"/>
      <c r="CF10" s="48"/>
      <c r="CG10" s="48"/>
      <c r="CH10" s="48"/>
      <c r="CI10" s="48"/>
      <c r="CJ10" s="48"/>
      <c r="CK10" s="48"/>
      <c r="CL10" s="48"/>
      <c r="CM10" s="48"/>
      <c r="CN10" s="48"/>
      <c r="CO10" s="48"/>
      <c r="CP10" s="48"/>
      <c r="CQ10" s="48"/>
      <c r="CR10" s="48"/>
      <c r="CS10" s="48"/>
      <c r="CT10" s="48"/>
      <c r="CU10" s="48"/>
      <c r="CV10" s="48"/>
      <c r="CW10" s="48"/>
      <c r="CX10" s="48"/>
      <c r="CY10" s="48"/>
      <c r="CZ10" s="48"/>
      <c r="DA10" s="48"/>
      <c r="DB10" s="48"/>
      <c r="DC10" s="48"/>
      <c r="DD10" s="48"/>
      <c r="DE10" s="48"/>
      <c r="DF10" s="48"/>
      <c r="DG10" s="48"/>
      <c r="DH10" s="48"/>
      <c r="DI10" s="48"/>
      <c r="DJ10" s="48"/>
      <c r="DK10" s="48"/>
      <c r="DL10" s="48"/>
      <c r="DM10" s="48"/>
      <c r="DN10" s="48"/>
      <c r="DO10" s="48"/>
      <c r="DP10" s="48"/>
      <c r="DQ10" s="48"/>
      <c r="DR10" s="48"/>
      <c r="DS10" s="48"/>
      <c r="DT10" s="48"/>
      <c r="DU10" s="48"/>
      <c r="DV10" s="48"/>
      <c r="DW10" s="48"/>
      <c r="DX10" s="48"/>
      <c r="DY10" s="48"/>
      <c r="DZ10" s="48"/>
      <c r="EA10" s="48"/>
      <c r="EB10" s="48"/>
      <c r="EC10" s="48"/>
      <c r="ED10" s="48"/>
      <c r="EE10" s="48"/>
      <c r="EF10" s="48"/>
      <c r="EG10" s="48"/>
      <c r="EH10" s="48"/>
      <c r="EI10" s="48"/>
      <c r="EJ10" s="48"/>
      <c r="EK10" s="48"/>
      <c r="EL10" s="48"/>
      <c r="EM10" s="48"/>
      <c r="EN10" s="48"/>
      <c r="EO10" s="48"/>
      <c r="EP10" s="48"/>
      <c r="EQ10" s="48"/>
      <c r="ER10" s="48"/>
      <c r="ES10" s="48"/>
      <c r="ET10" s="48"/>
      <c r="EU10" s="48"/>
      <c r="EV10" s="48"/>
      <c r="EW10" s="48"/>
      <c r="EX10" s="48"/>
      <c r="EY10" s="48"/>
      <c r="EZ10" s="48"/>
      <c r="FA10" s="48"/>
    </row>
    <row r="11" spans="1:157">
      <c r="A11" s="20">
        <v>1</v>
      </c>
      <c r="B11" s="48" t="s">
        <v>46</v>
      </c>
      <c r="C11" s="95">
        <f>$B$6</f>
        <v>45292</v>
      </c>
      <c r="D11" s="21">
        <f>$E$4</f>
        <v>0</v>
      </c>
      <c r="E11" s="20">
        <f>'Client Summary'!G26</f>
        <v>27.5</v>
      </c>
      <c r="F11" s="96">
        <f>1-SUM(F12:F14)</f>
        <v>0.8</v>
      </c>
      <c r="G11" s="21">
        <f>IF('Client Summary'!F26=0,'Study Data'!$D$15*'Study Data'!F11,'Client Summary'!F26)</f>
        <v>0</v>
      </c>
      <c r="H11" s="20">
        <f>E11</f>
        <v>27.5</v>
      </c>
      <c r="I11" s="20" t="s">
        <v>17</v>
      </c>
      <c r="J11" s="20" t="s">
        <v>72</v>
      </c>
      <c r="K11" s="97">
        <f>IF($E$11=27.5,VLOOKUP($B$5-1,_27.5_Year_Post_CS[[#All],[Year]:[Cumulative Depreciation]],5),VLOOKUP($B$5-1,_39_Year_Post_CS12[[#All],[Year]:[Cumulative Depreciation]],5))</f>
        <v>0</v>
      </c>
      <c r="L11" s="98"/>
      <c r="M11" s="3"/>
      <c r="N11" s="48"/>
      <c r="O11" s="48"/>
      <c r="P11" s="48"/>
      <c r="Q11" s="48"/>
      <c r="R11" s="48"/>
      <c r="S11" s="48"/>
      <c r="T11" s="48"/>
      <c r="U11" s="48"/>
      <c r="V11" s="48"/>
      <c r="W11" s="48"/>
      <c r="X11" s="48"/>
      <c r="Y11" s="48"/>
      <c r="Z11" s="48"/>
      <c r="AA11" s="48"/>
      <c r="AB11" s="48"/>
      <c r="AC11" s="48"/>
      <c r="AD11" s="48"/>
      <c r="AE11" s="48"/>
      <c r="AF11" s="48"/>
      <c r="AG11" s="48"/>
      <c r="AH11" s="48"/>
      <c r="AI11" s="48"/>
      <c r="AJ11" s="48"/>
      <c r="AK11" s="48"/>
      <c r="AL11" s="48"/>
      <c r="AM11" s="48"/>
      <c r="AN11" s="48"/>
      <c r="AO11" s="48"/>
      <c r="AP11" s="48"/>
      <c r="AQ11" s="48"/>
      <c r="AR11" s="48"/>
      <c r="AS11" s="48"/>
      <c r="AT11" s="48"/>
      <c r="AU11" s="48"/>
      <c r="AV11" s="48"/>
      <c r="AW11" s="48"/>
      <c r="AX11" s="48"/>
      <c r="AY11" s="48"/>
      <c r="AZ11" s="48"/>
      <c r="BA11" s="48"/>
      <c r="BB11" s="48"/>
      <c r="BC11" s="48"/>
      <c r="BD11" s="48"/>
      <c r="BE11" s="48"/>
      <c r="BF11" s="48"/>
      <c r="BG11" s="48"/>
      <c r="BH11" s="48"/>
      <c r="BI11" s="48"/>
      <c r="BJ11" s="48"/>
      <c r="BK11" s="48"/>
      <c r="BL11" s="48"/>
      <c r="BM11" s="48"/>
      <c r="BN11" s="48"/>
      <c r="BO11" s="48"/>
      <c r="BP11" s="48"/>
      <c r="BQ11" s="48"/>
      <c r="BR11" s="48"/>
      <c r="BS11" s="48"/>
      <c r="BT11" s="48"/>
      <c r="BU11" s="48"/>
      <c r="BV11" s="48"/>
      <c r="BW11" s="48"/>
      <c r="BX11" s="48"/>
      <c r="BY11" s="48"/>
      <c r="BZ11" s="48"/>
      <c r="CA11" s="48"/>
      <c r="CB11" s="48"/>
      <c r="CC11" s="48"/>
      <c r="CD11" s="48"/>
      <c r="CE11" s="48"/>
      <c r="CF11" s="48"/>
      <c r="CG11" s="48"/>
      <c r="CH11" s="48"/>
      <c r="CI11" s="48"/>
      <c r="CJ11" s="48"/>
      <c r="CK11" s="48"/>
      <c r="CL11" s="48"/>
      <c r="CM11" s="48"/>
      <c r="CN11" s="48"/>
      <c r="CO11" s="48"/>
      <c r="CP11" s="48"/>
      <c r="CQ11" s="48"/>
      <c r="CR11" s="48"/>
      <c r="CS11" s="48"/>
      <c r="CT11" s="48"/>
      <c r="CU11" s="48"/>
      <c r="CV11" s="48"/>
      <c r="CW11" s="48"/>
      <c r="CX11" s="48"/>
      <c r="CY11" s="48"/>
      <c r="CZ11" s="48"/>
      <c r="DA11" s="48"/>
      <c r="DB11" s="48"/>
      <c r="DC11" s="48"/>
      <c r="DD11" s="48"/>
      <c r="DE11" s="48"/>
      <c r="DF11" s="48"/>
      <c r="DG11" s="48"/>
      <c r="DH11" s="48"/>
      <c r="DI11" s="48"/>
      <c r="DJ11" s="48"/>
      <c r="DK11" s="48"/>
      <c r="DL11" s="48"/>
      <c r="DM11" s="48"/>
      <c r="DN11" s="48"/>
      <c r="DO11" s="48"/>
      <c r="DP11" s="48"/>
      <c r="DQ11" s="48"/>
      <c r="DR11" s="48"/>
      <c r="DS11" s="48"/>
      <c r="DT11" s="48"/>
      <c r="DU11" s="48"/>
      <c r="DV11" s="48"/>
      <c r="DW11" s="48"/>
      <c r="DX11" s="48"/>
      <c r="DY11" s="48"/>
      <c r="DZ11" s="48"/>
      <c r="EA11" s="48"/>
      <c r="EB11" s="48"/>
      <c r="EC11" s="48"/>
      <c r="ED11" s="48"/>
      <c r="EE11" s="48"/>
      <c r="EF11" s="48"/>
      <c r="EG11" s="48"/>
      <c r="EH11" s="48"/>
      <c r="EI11" s="48"/>
      <c r="EJ11" s="48"/>
      <c r="EK11" s="48"/>
      <c r="EL11" s="48"/>
      <c r="EM11" s="48"/>
      <c r="EN11" s="48"/>
      <c r="EO11" s="48"/>
      <c r="EP11" s="48"/>
      <c r="EQ11" s="48"/>
      <c r="ER11" s="48"/>
      <c r="ES11" s="48"/>
      <c r="ET11" s="48"/>
      <c r="EU11" s="48"/>
      <c r="EV11" s="48"/>
      <c r="EW11" s="48"/>
      <c r="EX11" s="48"/>
      <c r="EY11" s="48"/>
      <c r="EZ11" s="48"/>
      <c r="FA11" s="48"/>
    </row>
    <row r="12" spans="1:157">
      <c r="A12" s="20">
        <v>1.1000000000000001</v>
      </c>
      <c r="B12" s="48" t="s">
        <v>47</v>
      </c>
      <c r="C12" s="95">
        <f t="shared" ref="C12:C14" si="0">$B$6</f>
        <v>45292</v>
      </c>
      <c r="D12" s="21">
        <v>0</v>
      </c>
      <c r="E12" s="20">
        <v>5</v>
      </c>
      <c r="F12" s="96">
        <f>_xlfn.XLOOKUP('Client Summary'!$G$21,Definitions!$E$2:$E$44,Definitions!$G$2:$G$44,0,0,1)</f>
        <v>0.12</v>
      </c>
      <c r="G12" s="21">
        <f>IF('Client Summary'!F27=0,'Study Data'!$D$15*'Study Data'!F12,'Client Summary'!F27)</f>
        <v>0</v>
      </c>
      <c r="H12" s="20">
        <v>5</v>
      </c>
      <c r="I12" s="20" t="s">
        <v>48</v>
      </c>
      <c r="J12" s="20" t="s">
        <v>4</v>
      </c>
      <c r="K12" s="21">
        <f>VLOOKUP($B$5-1,_5_Year_Post_CS[[#All],[Year]:[Cumulative Depreciation]],5)</f>
        <v>0</v>
      </c>
      <c r="L12" s="98"/>
      <c r="M12" s="3"/>
      <c r="N12" s="48"/>
      <c r="O12" s="48"/>
      <c r="P12" s="48"/>
      <c r="Q12" s="48"/>
      <c r="R12" s="48"/>
      <c r="S12" s="48"/>
      <c r="T12" s="48"/>
      <c r="U12" s="48"/>
      <c r="V12" s="48"/>
      <c r="W12" s="48"/>
      <c r="X12" s="48"/>
      <c r="Y12" s="48"/>
      <c r="Z12" s="48"/>
      <c r="AA12" s="48"/>
      <c r="AB12" s="48"/>
      <c r="AC12" s="48"/>
      <c r="AD12" s="48"/>
      <c r="AE12" s="48"/>
      <c r="AF12" s="48"/>
      <c r="AG12" s="48"/>
      <c r="AH12" s="48"/>
      <c r="AI12" s="48"/>
      <c r="AJ12" s="48"/>
      <c r="AK12" s="48"/>
      <c r="AL12" s="48"/>
      <c r="AM12" s="48"/>
      <c r="AN12" s="48"/>
      <c r="AO12" s="48"/>
      <c r="AP12" s="48"/>
      <c r="AQ12" s="48"/>
      <c r="AR12" s="48"/>
      <c r="AS12" s="48"/>
      <c r="AT12" s="48"/>
      <c r="AU12" s="48"/>
      <c r="AV12" s="48"/>
      <c r="AW12" s="48"/>
      <c r="AX12" s="48"/>
      <c r="AY12" s="48"/>
      <c r="AZ12" s="48"/>
      <c r="BA12" s="48"/>
      <c r="BB12" s="48"/>
      <c r="BC12" s="48"/>
      <c r="BD12" s="48"/>
      <c r="BE12" s="48"/>
      <c r="BF12" s="48"/>
      <c r="BG12" s="48"/>
      <c r="BH12" s="48"/>
      <c r="BI12" s="48"/>
      <c r="BJ12" s="48"/>
      <c r="BK12" s="48"/>
      <c r="BL12" s="48"/>
      <c r="BM12" s="48"/>
      <c r="BN12" s="48"/>
      <c r="BO12" s="48"/>
      <c r="BP12" s="48"/>
      <c r="BQ12" s="48"/>
      <c r="BR12" s="48"/>
      <c r="BS12" s="48"/>
      <c r="BT12" s="48"/>
      <c r="BU12" s="48"/>
      <c r="BV12" s="48"/>
      <c r="BW12" s="48"/>
      <c r="BX12" s="48"/>
      <c r="BY12" s="48"/>
      <c r="BZ12" s="48"/>
      <c r="CA12" s="48"/>
      <c r="CB12" s="48"/>
      <c r="CC12" s="48"/>
      <c r="CD12" s="48"/>
      <c r="CE12" s="48"/>
      <c r="CF12" s="48"/>
      <c r="CG12" s="48"/>
      <c r="CH12" s="48"/>
      <c r="CI12" s="48"/>
      <c r="CJ12" s="48"/>
      <c r="CK12" s="48"/>
      <c r="CL12" s="48"/>
      <c r="CM12" s="48"/>
      <c r="CN12" s="48"/>
      <c r="CO12" s="48"/>
      <c r="CP12" s="48"/>
      <c r="CQ12" s="48"/>
      <c r="CR12" s="48"/>
      <c r="CS12" s="48"/>
      <c r="CT12" s="48"/>
      <c r="CU12" s="48"/>
      <c r="CV12" s="48"/>
      <c r="CW12" s="48"/>
      <c r="CX12" s="48"/>
      <c r="CY12" s="48"/>
      <c r="CZ12" s="48"/>
      <c r="DA12" s="48"/>
      <c r="DB12" s="48"/>
      <c r="DC12" s="48"/>
      <c r="DD12" s="48"/>
      <c r="DE12" s="48"/>
      <c r="DF12" s="48"/>
      <c r="DG12" s="48"/>
      <c r="DH12" s="48"/>
      <c r="DI12" s="48"/>
      <c r="DJ12" s="48"/>
      <c r="DK12" s="48"/>
      <c r="DL12" s="48"/>
      <c r="DM12" s="48"/>
      <c r="DN12" s="48"/>
      <c r="DO12" s="48"/>
      <c r="DP12" s="48"/>
      <c r="DQ12" s="48"/>
      <c r="DR12" s="48"/>
      <c r="DS12" s="48"/>
      <c r="DT12" s="48"/>
      <c r="DU12" s="48"/>
      <c r="DV12" s="48"/>
      <c r="DW12" s="48"/>
      <c r="DX12" s="48"/>
      <c r="DY12" s="48"/>
      <c r="DZ12" s="48"/>
      <c r="EA12" s="48"/>
      <c r="EB12" s="48"/>
      <c r="EC12" s="48"/>
      <c r="ED12" s="48"/>
      <c r="EE12" s="48"/>
      <c r="EF12" s="48"/>
      <c r="EG12" s="48"/>
      <c r="EH12" s="48"/>
      <c r="EI12" s="48"/>
      <c r="EJ12" s="48"/>
      <c r="EK12" s="48"/>
      <c r="EL12" s="48"/>
      <c r="EM12" s="48"/>
      <c r="EN12" s="48"/>
      <c r="EO12" s="48"/>
      <c r="EP12" s="48"/>
      <c r="EQ12" s="48"/>
      <c r="ER12" s="48"/>
      <c r="ES12" s="48"/>
      <c r="ET12" s="48"/>
      <c r="EU12" s="48"/>
      <c r="EV12" s="48"/>
      <c r="EW12" s="48"/>
      <c r="EX12" s="48"/>
      <c r="EY12" s="48"/>
      <c r="EZ12" s="48"/>
      <c r="FA12" s="48"/>
    </row>
    <row r="13" spans="1:157">
      <c r="A13" s="20">
        <v>1.2</v>
      </c>
      <c r="B13" s="48" t="s">
        <v>49</v>
      </c>
      <c r="C13" s="95">
        <f t="shared" si="0"/>
        <v>45292</v>
      </c>
      <c r="D13" s="21">
        <v>0</v>
      </c>
      <c r="E13" s="20">
        <v>7</v>
      </c>
      <c r="F13" s="96">
        <v>0</v>
      </c>
      <c r="G13" s="21">
        <f>IF('Client Summary'!F28=0,'Study Data'!$D$15*'Study Data'!F13,'Client Summary'!F28)</f>
        <v>0</v>
      </c>
      <c r="H13" s="20">
        <v>7</v>
      </c>
      <c r="I13" s="20" t="s">
        <v>48</v>
      </c>
      <c r="J13" s="20" t="s">
        <v>4</v>
      </c>
      <c r="K13" s="21">
        <f>VLOOKUP($B$5-1,_7_Year_Post_CS[[#All],[Year]:[Cumulative Depreciation]],5)</f>
        <v>0</v>
      </c>
      <c r="L13" s="98"/>
      <c r="M13" s="3"/>
      <c r="N13" s="48"/>
      <c r="O13" s="48"/>
      <c r="P13" s="48"/>
      <c r="Q13" s="48"/>
      <c r="R13" s="48"/>
      <c r="S13" s="48"/>
      <c r="T13" s="48"/>
      <c r="U13" s="48"/>
      <c r="V13" s="48"/>
      <c r="W13" s="48"/>
      <c r="X13" s="48"/>
      <c r="Y13" s="48"/>
      <c r="Z13" s="48"/>
      <c r="AA13" s="48"/>
      <c r="AB13" s="48"/>
      <c r="AC13" s="48"/>
      <c r="AD13" s="48"/>
      <c r="AE13" s="48"/>
      <c r="AF13" s="48"/>
      <c r="AG13" s="48"/>
      <c r="AH13" s="48"/>
      <c r="AI13" s="48"/>
      <c r="AJ13" s="48"/>
      <c r="AK13" s="48"/>
      <c r="AL13" s="48"/>
      <c r="AM13" s="48"/>
      <c r="AN13" s="48"/>
      <c r="AO13" s="48"/>
      <c r="AP13" s="48"/>
      <c r="AQ13" s="48"/>
      <c r="AR13" s="48"/>
      <c r="AS13" s="48"/>
      <c r="AT13" s="48"/>
      <c r="AU13" s="48"/>
      <c r="AV13" s="48"/>
      <c r="AW13" s="48"/>
      <c r="AX13" s="48"/>
      <c r="AY13" s="48"/>
      <c r="AZ13" s="48"/>
      <c r="BA13" s="48"/>
      <c r="BB13" s="48"/>
      <c r="BC13" s="48"/>
      <c r="BD13" s="48"/>
      <c r="BE13" s="48"/>
      <c r="BF13" s="48"/>
      <c r="BG13" s="48"/>
      <c r="BH13" s="48"/>
      <c r="BI13" s="48"/>
      <c r="BJ13" s="48"/>
      <c r="BK13" s="48"/>
      <c r="BL13" s="48"/>
      <c r="BM13" s="48"/>
      <c r="BN13" s="48"/>
      <c r="BO13" s="48"/>
      <c r="BP13" s="48"/>
      <c r="BQ13" s="48"/>
      <c r="BR13" s="48"/>
      <c r="BS13" s="48"/>
      <c r="BT13" s="48"/>
      <c r="BU13" s="48"/>
      <c r="BV13" s="48"/>
      <c r="BW13" s="48"/>
      <c r="BX13" s="48"/>
      <c r="BY13" s="48"/>
      <c r="BZ13" s="48"/>
      <c r="CA13" s="48"/>
      <c r="CB13" s="48"/>
      <c r="CC13" s="48"/>
      <c r="CD13" s="48"/>
      <c r="CE13" s="48"/>
      <c r="CF13" s="48"/>
      <c r="CG13" s="48"/>
      <c r="CH13" s="48"/>
      <c r="CI13" s="48"/>
      <c r="CJ13" s="48"/>
      <c r="CK13" s="48"/>
      <c r="CL13" s="48"/>
      <c r="CM13" s="48"/>
      <c r="CN13" s="48"/>
      <c r="CO13" s="48"/>
      <c r="CP13" s="48"/>
      <c r="CQ13" s="48"/>
      <c r="CR13" s="48"/>
      <c r="CS13" s="48"/>
      <c r="CT13" s="48"/>
      <c r="CU13" s="48"/>
      <c r="CV13" s="48"/>
      <c r="CW13" s="48"/>
      <c r="CX13" s="48"/>
      <c r="CY13" s="48"/>
      <c r="CZ13" s="48"/>
      <c r="DA13" s="48"/>
      <c r="DB13" s="48"/>
      <c r="DC13" s="48"/>
      <c r="DD13" s="48"/>
      <c r="DE13" s="48"/>
      <c r="DF13" s="48"/>
      <c r="DG13" s="48"/>
      <c r="DH13" s="48"/>
      <c r="DI13" s="48"/>
      <c r="DJ13" s="48"/>
      <c r="DK13" s="48"/>
      <c r="DL13" s="48"/>
      <c r="DM13" s="48"/>
      <c r="DN13" s="48"/>
      <c r="DO13" s="48"/>
      <c r="DP13" s="48"/>
      <c r="DQ13" s="48"/>
      <c r="DR13" s="48"/>
      <c r="DS13" s="48"/>
      <c r="DT13" s="48"/>
      <c r="DU13" s="48"/>
      <c r="DV13" s="48"/>
      <c r="DW13" s="48"/>
      <c r="DX13" s="48"/>
      <c r="DY13" s="48"/>
      <c r="DZ13" s="48"/>
      <c r="EA13" s="48"/>
      <c r="EB13" s="48"/>
      <c r="EC13" s="48"/>
      <c r="ED13" s="48"/>
      <c r="EE13" s="48"/>
      <c r="EF13" s="48"/>
      <c r="EG13" s="48"/>
      <c r="EH13" s="48"/>
      <c r="EI13" s="48"/>
      <c r="EJ13" s="48"/>
      <c r="EK13" s="48"/>
      <c r="EL13" s="48"/>
      <c r="EM13" s="48"/>
      <c r="EN13" s="48"/>
      <c r="EO13" s="48"/>
      <c r="EP13" s="48"/>
      <c r="EQ13" s="48"/>
      <c r="ER13" s="48"/>
      <c r="ES13" s="48"/>
      <c r="ET13" s="48"/>
      <c r="EU13" s="48"/>
      <c r="EV13" s="48"/>
      <c r="EW13" s="48"/>
      <c r="EX13" s="48"/>
      <c r="EY13" s="48"/>
      <c r="EZ13" s="48"/>
      <c r="FA13" s="48"/>
    </row>
    <row r="14" spans="1:157">
      <c r="A14" s="20">
        <v>1.3</v>
      </c>
      <c r="B14" s="48" t="s">
        <v>50</v>
      </c>
      <c r="C14" s="95">
        <f t="shared" si="0"/>
        <v>45292</v>
      </c>
      <c r="D14" s="21">
        <v>0</v>
      </c>
      <c r="E14" s="20">
        <v>15</v>
      </c>
      <c r="F14" s="96">
        <f>_xlfn.XLOOKUP('Client Summary'!$G$21,Definitions!$E$2:$E$44,Definitions!$H$2:$H$44,0,0,1)</f>
        <v>0.08</v>
      </c>
      <c r="G14" s="21">
        <f>IF('Client Summary'!F29=0,'Study Data'!$D$15*'Study Data'!F14,'Client Summary'!F29)</f>
        <v>0</v>
      </c>
      <c r="H14" s="20">
        <v>15</v>
      </c>
      <c r="I14" s="20" t="s">
        <v>51</v>
      </c>
      <c r="J14" s="20" t="s">
        <v>4</v>
      </c>
      <c r="K14" s="21">
        <f>VLOOKUP($B$5-1,_15_Year_Post_CS[[#All],[Year]:[Cumulative Depreciation]],5)</f>
        <v>0</v>
      </c>
      <c r="L14" s="98"/>
      <c r="M14" s="3"/>
      <c r="N14" s="48"/>
      <c r="O14" s="48"/>
      <c r="P14" s="48"/>
      <c r="Q14" s="48"/>
      <c r="R14" s="48"/>
      <c r="S14" s="48"/>
      <c r="T14" s="48"/>
      <c r="U14" s="48"/>
      <c r="V14" s="48"/>
      <c r="W14" s="48"/>
      <c r="X14" s="48"/>
      <c r="Y14" s="48"/>
      <c r="Z14" s="48"/>
      <c r="AA14" s="48"/>
      <c r="AB14" s="48"/>
      <c r="AC14" s="48"/>
      <c r="AD14" s="48"/>
      <c r="AE14" s="48"/>
      <c r="AF14" s="48"/>
      <c r="AG14" s="48"/>
      <c r="AH14" s="48"/>
      <c r="AI14" s="48"/>
      <c r="AJ14" s="48"/>
      <c r="AK14" s="48"/>
      <c r="AL14" s="48"/>
      <c r="AM14" s="48"/>
      <c r="AN14" s="48"/>
      <c r="AO14" s="48"/>
      <c r="AP14" s="48"/>
      <c r="AQ14" s="48"/>
      <c r="AR14" s="48"/>
      <c r="AS14" s="48"/>
      <c r="AT14" s="48"/>
      <c r="AU14" s="48"/>
      <c r="AV14" s="48"/>
      <c r="AW14" s="48"/>
      <c r="AX14" s="48"/>
      <c r="AY14" s="48"/>
      <c r="AZ14" s="48"/>
      <c r="BA14" s="48"/>
      <c r="BB14" s="48"/>
      <c r="BC14" s="48"/>
      <c r="BD14" s="48"/>
      <c r="BE14" s="48"/>
      <c r="BF14" s="48"/>
      <c r="BG14" s="48"/>
      <c r="BH14" s="48"/>
      <c r="BI14" s="48"/>
      <c r="BJ14" s="48"/>
      <c r="BK14" s="48"/>
      <c r="BL14" s="48"/>
      <c r="BM14" s="48"/>
      <c r="BN14" s="48"/>
      <c r="BO14" s="48"/>
      <c r="BP14" s="48"/>
      <c r="BQ14" s="48"/>
      <c r="BR14" s="48"/>
      <c r="BS14" s="48"/>
      <c r="BT14" s="48"/>
      <c r="BU14" s="48"/>
      <c r="BV14" s="48"/>
      <c r="BW14" s="48"/>
      <c r="BX14" s="48"/>
      <c r="BY14" s="48"/>
      <c r="BZ14" s="48"/>
      <c r="CA14" s="48"/>
      <c r="CB14" s="48"/>
      <c r="CC14" s="48"/>
      <c r="CD14" s="48"/>
      <c r="CE14" s="48"/>
      <c r="CF14" s="48"/>
      <c r="CG14" s="48"/>
      <c r="CH14" s="48"/>
      <c r="CI14" s="48"/>
      <c r="CJ14" s="48"/>
      <c r="CK14" s="48"/>
      <c r="CL14" s="48"/>
      <c r="CM14" s="48"/>
      <c r="CN14" s="48"/>
      <c r="CO14" s="48"/>
      <c r="CP14" s="48"/>
      <c r="CQ14" s="48"/>
      <c r="CR14" s="48"/>
      <c r="CS14" s="48"/>
      <c r="CT14" s="48"/>
      <c r="CU14" s="48"/>
      <c r="CV14" s="48"/>
      <c r="CW14" s="48"/>
      <c r="CX14" s="48"/>
      <c r="CY14" s="48"/>
      <c r="CZ14" s="48"/>
      <c r="DA14" s="48"/>
      <c r="DB14" s="48"/>
      <c r="DC14" s="48"/>
      <c r="DD14" s="48"/>
      <c r="DE14" s="48"/>
      <c r="DF14" s="48"/>
      <c r="DG14" s="48"/>
      <c r="DH14" s="48"/>
      <c r="DI14" s="48"/>
      <c r="DJ14" s="48"/>
      <c r="DK14" s="48"/>
      <c r="DL14" s="48"/>
      <c r="DM14" s="48"/>
      <c r="DN14" s="48"/>
      <c r="DO14" s="48"/>
      <c r="DP14" s="48"/>
      <c r="DQ14" s="48"/>
      <c r="DR14" s="48"/>
      <c r="DS14" s="48"/>
      <c r="DT14" s="48"/>
      <c r="DU14" s="48"/>
      <c r="DV14" s="48"/>
      <c r="DW14" s="48"/>
      <c r="DX14" s="48"/>
      <c r="DY14" s="48"/>
      <c r="DZ14" s="48"/>
      <c r="EA14" s="48"/>
      <c r="EB14" s="48"/>
      <c r="EC14" s="48"/>
      <c r="ED14" s="48"/>
      <c r="EE14" s="48"/>
      <c r="EF14" s="48"/>
      <c r="EG14" s="48"/>
      <c r="EH14" s="48"/>
      <c r="EI14" s="48"/>
      <c r="EJ14" s="48"/>
      <c r="EK14" s="48"/>
      <c r="EL14" s="48"/>
      <c r="EM14" s="48"/>
      <c r="EN14" s="48"/>
      <c r="EO14" s="48"/>
      <c r="EP14" s="48"/>
      <c r="EQ14" s="48"/>
      <c r="ER14" s="48"/>
      <c r="ES14" s="48"/>
      <c r="ET14" s="48"/>
      <c r="EU14" s="48"/>
      <c r="EV14" s="48"/>
      <c r="EW14" s="48"/>
      <c r="EX14" s="48"/>
      <c r="EY14" s="48"/>
      <c r="EZ14" s="48"/>
      <c r="FA14" s="48"/>
    </row>
    <row r="15" spans="1:157" ht="15" thickBot="1">
      <c r="A15" s="22"/>
      <c r="B15" s="23" t="s">
        <v>77</v>
      </c>
      <c r="C15" s="22"/>
      <c r="D15" s="24">
        <f>SUM(D11:D14)</f>
        <v>0</v>
      </c>
      <c r="E15" s="23"/>
      <c r="F15" s="47">
        <f>SUM(F11:F14)</f>
        <v>1</v>
      </c>
      <c r="G15" s="24">
        <f>SUM(G11:G14)</f>
        <v>0</v>
      </c>
      <c r="H15" s="22"/>
      <c r="I15" s="22"/>
      <c r="J15" s="22"/>
      <c r="K15" s="24">
        <f>SUM(K11:K14)</f>
        <v>0</v>
      </c>
      <c r="L15" s="48"/>
      <c r="M15" s="48"/>
      <c r="N15" s="48"/>
      <c r="O15" s="48"/>
      <c r="P15" s="48"/>
      <c r="Q15" s="48"/>
      <c r="R15" s="48"/>
      <c r="S15" s="48"/>
      <c r="T15" s="48"/>
      <c r="U15" s="48"/>
      <c r="V15" s="48"/>
      <c r="W15" s="48"/>
      <c r="X15" s="48"/>
      <c r="Y15" s="48"/>
      <c r="Z15" s="48"/>
      <c r="AA15" s="48"/>
      <c r="AB15" s="48"/>
      <c r="AC15" s="48"/>
      <c r="AD15" s="48"/>
      <c r="AE15" s="48"/>
      <c r="AF15" s="48"/>
      <c r="AG15" s="48"/>
      <c r="AH15" s="48"/>
      <c r="AI15" s="48"/>
      <c r="AJ15" s="48"/>
      <c r="AK15" s="48"/>
      <c r="AL15" s="48"/>
      <c r="AM15" s="48"/>
      <c r="AN15" s="48"/>
      <c r="AO15" s="48"/>
      <c r="AP15" s="48"/>
      <c r="AQ15" s="48"/>
      <c r="AR15" s="48"/>
      <c r="AS15" s="48"/>
      <c r="AT15" s="48"/>
      <c r="AU15" s="48"/>
      <c r="AV15" s="48"/>
      <c r="AW15" s="48"/>
      <c r="AX15" s="48"/>
      <c r="AY15" s="48"/>
      <c r="AZ15" s="48"/>
      <c r="BA15" s="48"/>
      <c r="BB15" s="48"/>
      <c r="BC15" s="48"/>
      <c r="BD15" s="48"/>
      <c r="BE15" s="48"/>
      <c r="BF15" s="48"/>
      <c r="BG15" s="48"/>
      <c r="BH15" s="48"/>
      <c r="BI15" s="48"/>
      <c r="BJ15" s="48"/>
      <c r="BK15" s="48"/>
      <c r="BL15" s="48"/>
      <c r="BM15" s="48"/>
      <c r="BN15" s="48"/>
      <c r="BO15" s="48"/>
      <c r="BP15" s="48"/>
      <c r="BQ15" s="48"/>
      <c r="BR15" s="48"/>
      <c r="BS15" s="48"/>
      <c r="BT15" s="48"/>
      <c r="BU15" s="48"/>
      <c r="BV15" s="48"/>
      <c r="BW15" s="48"/>
      <c r="BX15" s="48"/>
      <c r="BY15" s="48"/>
      <c r="BZ15" s="48"/>
      <c r="CA15" s="48"/>
      <c r="CB15" s="48"/>
      <c r="CC15" s="48"/>
      <c r="CD15" s="48"/>
      <c r="CE15" s="48"/>
      <c r="CF15" s="48"/>
      <c r="CG15" s="48"/>
      <c r="CH15" s="48"/>
      <c r="CI15" s="48"/>
      <c r="CJ15" s="48"/>
      <c r="CK15" s="48"/>
      <c r="CL15" s="48"/>
      <c r="CM15" s="48"/>
      <c r="CN15" s="48"/>
      <c r="CO15" s="48"/>
      <c r="CP15" s="48"/>
      <c r="CQ15" s="48"/>
      <c r="CR15" s="48"/>
      <c r="CS15" s="48"/>
      <c r="CT15" s="48"/>
      <c r="CU15" s="48"/>
      <c r="CV15" s="48"/>
      <c r="CW15" s="48"/>
      <c r="CX15" s="48"/>
      <c r="CY15" s="48"/>
      <c r="CZ15" s="48"/>
      <c r="DA15" s="48"/>
      <c r="DB15" s="48"/>
      <c r="DC15" s="48"/>
      <c r="DD15" s="48"/>
      <c r="DE15" s="48"/>
      <c r="DF15" s="48"/>
      <c r="DG15" s="48"/>
      <c r="DH15" s="48"/>
      <c r="DI15" s="48"/>
      <c r="DJ15" s="48"/>
      <c r="DK15" s="48"/>
      <c r="DL15" s="48"/>
      <c r="DM15" s="48"/>
      <c r="DN15" s="48"/>
      <c r="DO15" s="48"/>
      <c r="DP15" s="48"/>
      <c r="DQ15" s="48"/>
      <c r="DR15" s="48"/>
      <c r="DS15" s="48"/>
      <c r="DT15" s="48"/>
      <c r="DU15" s="48"/>
      <c r="DV15" s="48"/>
      <c r="DW15" s="48"/>
      <c r="DX15" s="48"/>
      <c r="DY15" s="48"/>
      <c r="DZ15" s="48"/>
      <c r="EA15" s="48"/>
      <c r="EB15" s="48"/>
      <c r="EC15" s="48"/>
      <c r="ED15" s="48"/>
      <c r="EE15" s="48"/>
      <c r="EF15" s="48"/>
      <c r="EG15" s="48"/>
      <c r="EH15" s="48"/>
      <c r="EI15" s="48"/>
      <c r="EJ15" s="48"/>
      <c r="EK15" s="48"/>
      <c r="EL15" s="48"/>
      <c r="EM15" s="48"/>
      <c r="EN15" s="48"/>
      <c r="EO15" s="48"/>
      <c r="EP15" s="48"/>
      <c r="EQ15" s="48"/>
      <c r="ER15" s="48"/>
      <c r="ES15" s="48"/>
      <c r="ET15" s="48"/>
      <c r="EU15" s="48"/>
      <c r="EV15" s="48"/>
      <c r="EW15" s="48"/>
      <c r="EX15" s="48"/>
      <c r="EY15" s="48"/>
      <c r="EZ15" s="48"/>
      <c r="FA15" s="48"/>
    </row>
    <row r="16" spans="1:157">
      <c r="A16" s="48"/>
      <c r="B16" s="48"/>
      <c r="C16" s="48"/>
      <c r="D16" s="48"/>
      <c r="E16" s="48"/>
      <c r="F16" s="48"/>
      <c r="G16" s="48"/>
      <c r="H16" s="48"/>
      <c r="I16" s="48"/>
      <c r="J16" s="48"/>
      <c r="K16" s="48"/>
      <c r="L16" s="48"/>
      <c r="M16" s="48"/>
      <c r="N16" s="48"/>
      <c r="O16" s="3"/>
      <c r="P16" s="48"/>
      <c r="Q16" s="48"/>
      <c r="R16" s="48"/>
      <c r="S16" s="48"/>
      <c r="T16" s="48"/>
      <c r="U16" s="48"/>
      <c r="V16" s="48"/>
      <c r="W16" s="48"/>
      <c r="X16" s="48"/>
      <c r="Y16" s="48"/>
      <c r="Z16" s="48"/>
      <c r="AA16" s="48"/>
      <c r="AB16" s="48"/>
      <c r="AC16" s="48"/>
      <c r="AD16" s="48"/>
      <c r="AE16" s="48"/>
      <c r="AF16" s="48"/>
      <c r="AG16" s="48"/>
      <c r="AH16" s="48"/>
      <c r="AI16" s="48"/>
      <c r="AJ16" s="48"/>
      <c r="AK16" s="48"/>
      <c r="AL16" s="48"/>
      <c r="AM16" s="48"/>
      <c r="AN16" s="48"/>
      <c r="AO16" s="48"/>
      <c r="AP16" s="48"/>
      <c r="AQ16" s="48"/>
      <c r="AR16" s="48"/>
      <c r="AS16" s="48"/>
      <c r="AT16" s="48"/>
      <c r="AU16" s="48"/>
      <c r="AV16" s="48"/>
      <c r="AW16" s="48"/>
      <c r="AX16" s="48"/>
      <c r="AY16" s="48"/>
      <c r="AZ16" s="48"/>
      <c r="BA16" s="48"/>
      <c r="BB16" s="48"/>
      <c r="BC16" s="48"/>
      <c r="BD16" s="48"/>
      <c r="BE16" s="48"/>
      <c r="BF16" s="48"/>
      <c r="BG16" s="48"/>
      <c r="BH16" s="48"/>
      <c r="BI16" s="48"/>
      <c r="BJ16" s="48"/>
      <c r="BK16" s="48"/>
      <c r="BL16" s="48"/>
      <c r="BM16" s="48"/>
      <c r="BN16" s="48"/>
      <c r="BO16" s="48"/>
      <c r="BP16" s="48"/>
      <c r="BQ16" s="48"/>
      <c r="BR16" s="48"/>
      <c r="BS16" s="48"/>
      <c r="BT16" s="48"/>
      <c r="BU16" s="48"/>
      <c r="BV16" s="48"/>
      <c r="BW16" s="48"/>
      <c r="BX16" s="48"/>
      <c r="BY16" s="48"/>
      <c r="BZ16" s="48"/>
      <c r="CA16" s="48"/>
      <c r="CB16" s="48"/>
      <c r="CC16" s="48"/>
      <c r="CD16" s="48"/>
      <c r="CE16" s="48"/>
      <c r="CF16" s="48"/>
      <c r="CG16" s="48"/>
      <c r="CH16" s="48"/>
      <c r="CI16" s="48"/>
      <c r="CJ16" s="48"/>
      <c r="CK16" s="48"/>
      <c r="CL16" s="48"/>
      <c r="CM16" s="48"/>
      <c r="CN16" s="48"/>
      <c r="CO16" s="48"/>
      <c r="CP16" s="48"/>
      <c r="CQ16" s="48"/>
      <c r="CR16" s="48"/>
      <c r="CS16" s="48"/>
      <c r="CT16" s="48"/>
      <c r="CU16" s="48"/>
      <c r="CV16" s="48"/>
      <c r="CW16" s="48"/>
      <c r="CX16" s="48"/>
      <c r="CY16" s="48"/>
      <c r="CZ16" s="48"/>
      <c r="DA16" s="48"/>
      <c r="DB16" s="48"/>
      <c r="DC16" s="48"/>
      <c r="DD16" s="48"/>
      <c r="DE16" s="48"/>
      <c r="DF16" s="48"/>
      <c r="DG16" s="48"/>
      <c r="DH16" s="48"/>
      <c r="DI16" s="48"/>
      <c r="DJ16" s="48"/>
      <c r="DK16" s="48"/>
      <c r="DL16" s="48"/>
      <c r="DM16" s="48"/>
      <c r="DN16" s="48"/>
      <c r="DO16" s="48"/>
      <c r="DP16" s="48"/>
      <c r="DQ16" s="48"/>
      <c r="DR16" s="48"/>
      <c r="DS16" s="48"/>
      <c r="DT16" s="48"/>
      <c r="DU16" s="48"/>
      <c r="DV16" s="48"/>
      <c r="DW16" s="48"/>
      <c r="DX16" s="48"/>
      <c r="DY16" s="48"/>
      <c r="DZ16" s="48"/>
      <c r="EA16" s="48"/>
      <c r="EB16" s="48"/>
      <c r="EC16" s="48"/>
      <c r="ED16" s="48"/>
      <c r="EE16" s="48"/>
      <c r="EF16" s="48"/>
      <c r="EG16" s="48"/>
      <c r="EH16" s="48"/>
      <c r="EI16" s="48"/>
      <c r="EJ16" s="48"/>
      <c r="EK16" s="48"/>
      <c r="EL16" s="48"/>
      <c r="EM16" s="48"/>
      <c r="EN16" s="48"/>
      <c r="EO16" s="48"/>
      <c r="EP16" s="48"/>
      <c r="EQ16" s="48"/>
      <c r="ER16" s="48"/>
      <c r="ES16" s="48"/>
      <c r="ET16" s="48"/>
      <c r="EU16" s="48"/>
      <c r="EV16" s="48"/>
      <c r="EW16" s="48"/>
      <c r="EX16" s="48"/>
      <c r="EY16" s="48"/>
      <c r="EZ16" s="48"/>
      <c r="FA16" s="48"/>
    </row>
    <row r="17" spans="1:157">
      <c r="A17" s="48"/>
      <c r="B17" s="48"/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48"/>
      <c r="X17" s="48"/>
      <c r="Y17" s="48"/>
      <c r="Z17" s="48"/>
      <c r="AA17" s="48"/>
      <c r="AB17" s="48"/>
      <c r="AC17" s="48"/>
      <c r="AD17" s="48"/>
      <c r="AE17" s="48"/>
      <c r="AF17" s="48"/>
      <c r="AG17" s="48"/>
      <c r="AH17" s="48"/>
      <c r="AI17" s="48"/>
      <c r="AJ17" s="48"/>
      <c r="AK17" s="48"/>
      <c r="AL17" s="48"/>
      <c r="AM17" s="48"/>
      <c r="AN17" s="48"/>
      <c r="AO17" s="48"/>
      <c r="AP17" s="48"/>
      <c r="AQ17" s="48"/>
      <c r="AR17" s="48"/>
      <c r="AS17" s="48"/>
      <c r="AT17" s="48"/>
      <c r="AU17" s="48"/>
      <c r="AV17" s="48"/>
      <c r="AW17" s="48"/>
      <c r="AX17" s="48"/>
      <c r="AY17" s="48"/>
      <c r="AZ17" s="48"/>
      <c r="BA17" s="48"/>
      <c r="BB17" s="48"/>
      <c r="BC17" s="48"/>
      <c r="BD17" s="48"/>
      <c r="BE17" s="48"/>
      <c r="BF17" s="48"/>
      <c r="BG17" s="48"/>
      <c r="BH17" s="48"/>
      <c r="BI17" s="48"/>
      <c r="BJ17" s="48"/>
      <c r="BK17" s="48"/>
      <c r="BL17" s="48"/>
      <c r="BM17" s="48"/>
      <c r="BN17" s="48"/>
      <c r="BO17" s="48"/>
      <c r="BP17" s="48"/>
      <c r="BQ17" s="48"/>
      <c r="BR17" s="48"/>
      <c r="BS17" s="48"/>
      <c r="BT17" s="48"/>
      <c r="BU17" s="48"/>
      <c r="BV17" s="48"/>
      <c r="BW17" s="48"/>
      <c r="BX17" s="48"/>
      <c r="BY17" s="48"/>
      <c r="BZ17" s="48"/>
      <c r="CA17" s="48"/>
      <c r="CB17" s="48"/>
      <c r="CC17" s="48"/>
      <c r="CD17" s="48"/>
      <c r="CE17" s="48"/>
      <c r="CF17" s="48"/>
      <c r="CG17" s="48"/>
      <c r="CH17" s="48"/>
      <c r="CI17" s="48"/>
      <c r="CJ17" s="48"/>
      <c r="CK17" s="48"/>
      <c r="CL17" s="48"/>
      <c r="CM17" s="48"/>
      <c r="CN17" s="48"/>
      <c r="CO17" s="48"/>
      <c r="CP17" s="48"/>
      <c r="CQ17" s="48"/>
      <c r="CR17" s="48"/>
      <c r="CS17" s="48"/>
      <c r="CT17" s="48"/>
      <c r="CU17" s="48"/>
      <c r="CV17" s="48"/>
      <c r="CW17" s="48"/>
      <c r="CX17" s="48"/>
      <c r="CY17" s="48"/>
      <c r="CZ17" s="48"/>
      <c r="DA17" s="48"/>
      <c r="DB17" s="48"/>
      <c r="DC17" s="48"/>
      <c r="DD17" s="48"/>
      <c r="DE17" s="48"/>
      <c r="DF17" s="48"/>
      <c r="DG17" s="48"/>
      <c r="DH17" s="48"/>
      <c r="DI17" s="48"/>
      <c r="DJ17" s="48"/>
      <c r="DK17" s="48"/>
      <c r="DL17" s="48"/>
      <c r="DM17" s="48"/>
      <c r="DN17" s="48"/>
      <c r="DO17" s="48"/>
      <c r="DP17" s="48"/>
      <c r="DQ17" s="48"/>
      <c r="DR17" s="48"/>
      <c r="DS17" s="48"/>
      <c r="DT17" s="48"/>
      <c r="DU17" s="48"/>
      <c r="DV17" s="48"/>
      <c r="DW17" s="48"/>
      <c r="DX17" s="48"/>
      <c r="DY17" s="48"/>
      <c r="DZ17" s="48"/>
      <c r="EA17" s="48"/>
      <c r="EB17" s="48"/>
      <c r="EC17" s="48"/>
      <c r="ED17" s="48"/>
      <c r="EE17" s="48"/>
      <c r="EF17" s="48"/>
      <c r="EG17" s="48"/>
      <c r="EH17" s="48"/>
      <c r="EI17" s="48"/>
      <c r="EJ17" s="48"/>
      <c r="EK17" s="48"/>
      <c r="EL17" s="48"/>
      <c r="EM17" s="48"/>
      <c r="EN17" s="48"/>
      <c r="EO17" s="48"/>
      <c r="EP17" s="48"/>
      <c r="EQ17" s="48"/>
      <c r="ER17" s="48"/>
      <c r="ES17" s="48"/>
      <c r="ET17" s="48"/>
      <c r="EU17" s="48"/>
      <c r="EV17" s="48"/>
      <c r="EW17" s="48"/>
      <c r="EX17" s="48"/>
      <c r="EY17" s="48"/>
      <c r="EZ17" s="48"/>
      <c r="FA17" s="48"/>
    </row>
    <row r="18" spans="1:157">
      <c r="A18" s="279" t="s">
        <v>78</v>
      </c>
      <c r="B18" s="279"/>
      <c r="C18" s="279"/>
      <c r="D18" s="279"/>
      <c r="E18" s="279"/>
      <c r="F18" s="279"/>
      <c r="G18" s="48"/>
      <c r="H18" s="278" t="s">
        <v>79</v>
      </c>
      <c r="I18" s="278"/>
      <c r="J18" s="278"/>
      <c r="K18" s="278"/>
      <c r="L18" s="278"/>
      <c r="M18" s="278"/>
      <c r="N18" s="48"/>
      <c r="O18" s="278" t="s">
        <v>80</v>
      </c>
      <c r="P18" s="278"/>
      <c r="Q18" s="278"/>
      <c r="R18" s="278"/>
      <c r="S18" s="278"/>
      <c r="T18" s="278"/>
      <c r="U18" s="48"/>
      <c r="V18" s="278" t="s">
        <v>81</v>
      </c>
      <c r="W18" s="278"/>
      <c r="X18" s="278"/>
      <c r="Y18" s="278"/>
      <c r="Z18" s="278"/>
      <c r="AA18" s="278"/>
      <c r="AB18" s="48"/>
      <c r="AC18" s="278" t="s">
        <v>82</v>
      </c>
      <c r="AD18" s="278"/>
      <c r="AE18" s="278"/>
      <c r="AF18" s="278"/>
      <c r="AG18" s="278"/>
      <c r="AH18" s="278"/>
      <c r="AI18" s="48"/>
      <c r="AJ18" s="48"/>
      <c r="AK18" s="48"/>
      <c r="AL18" s="48"/>
      <c r="AM18" s="48"/>
      <c r="AN18" s="48"/>
      <c r="AO18" s="48"/>
      <c r="AP18" s="48"/>
      <c r="AQ18" s="48"/>
      <c r="AR18" s="48"/>
      <c r="AS18" s="48"/>
      <c r="AT18" s="48"/>
      <c r="AU18" s="48"/>
      <c r="AV18" s="48"/>
      <c r="AW18" s="48"/>
      <c r="AX18" s="48"/>
      <c r="AY18" s="48"/>
      <c r="AZ18" s="48"/>
      <c r="BA18" s="48"/>
      <c r="BB18" s="48"/>
      <c r="BC18" s="48"/>
      <c r="BD18" s="48"/>
      <c r="BE18" s="48"/>
      <c r="BF18" s="48"/>
      <c r="BG18" s="48"/>
      <c r="BH18" s="48"/>
      <c r="BI18" s="48"/>
      <c r="BJ18" s="48"/>
      <c r="BK18" s="48"/>
      <c r="BL18" s="48"/>
      <c r="BM18" s="48"/>
      <c r="BN18" s="48"/>
      <c r="BO18" s="48"/>
      <c r="BP18" s="48"/>
      <c r="BQ18" s="48"/>
      <c r="BR18" s="48"/>
      <c r="BS18" s="48"/>
      <c r="BT18" s="48"/>
      <c r="BU18" s="48"/>
      <c r="BV18" s="48"/>
      <c r="BW18" s="48"/>
      <c r="BX18" s="48"/>
      <c r="BY18" s="48"/>
      <c r="BZ18" s="48"/>
      <c r="CA18" s="48"/>
      <c r="CB18" s="48"/>
      <c r="CC18" s="48"/>
      <c r="CD18" s="48"/>
      <c r="CE18" s="48"/>
      <c r="CF18" s="48"/>
      <c r="CG18" s="48"/>
      <c r="CH18" s="48"/>
      <c r="CI18" s="48"/>
      <c r="CJ18" s="48"/>
      <c r="CK18" s="48"/>
      <c r="CL18" s="48"/>
      <c r="CM18" s="48"/>
      <c r="CN18" s="48"/>
      <c r="CO18" s="48"/>
      <c r="CP18" s="48"/>
      <c r="CQ18" s="48"/>
      <c r="CR18" s="48"/>
      <c r="CS18" s="48"/>
      <c r="CT18" s="48"/>
      <c r="CU18" s="48"/>
      <c r="CV18" s="48"/>
      <c r="CW18" s="48"/>
      <c r="CX18" s="48"/>
      <c r="CY18" s="48"/>
      <c r="CZ18" s="48"/>
      <c r="DA18" s="48"/>
      <c r="DB18" s="48"/>
      <c r="DC18" s="48"/>
      <c r="DD18" s="48"/>
      <c r="DE18" s="48"/>
      <c r="DF18" s="48"/>
      <c r="DG18" s="48"/>
      <c r="DH18" s="48"/>
      <c r="DI18" s="48"/>
      <c r="DJ18" s="48"/>
      <c r="DK18" s="48"/>
      <c r="DL18" s="48"/>
      <c r="DM18" s="48"/>
      <c r="DN18" s="48"/>
      <c r="DO18" s="48"/>
      <c r="DP18" s="48"/>
      <c r="DQ18" s="48"/>
      <c r="DR18" s="48"/>
      <c r="DS18" s="48"/>
      <c r="DT18" s="48"/>
      <c r="DU18" s="48"/>
      <c r="DV18" s="48"/>
      <c r="DW18" s="48"/>
      <c r="DX18" s="48"/>
      <c r="DY18" s="48"/>
      <c r="DZ18" s="48"/>
      <c r="EA18" s="48"/>
      <c r="EB18" s="48"/>
      <c r="EC18" s="48"/>
      <c r="ED18" s="48"/>
      <c r="EE18" s="48"/>
      <c r="EF18" s="48"/>
      <c r="EG18" s="48"/>
      <c r="EH18" s="48"/>
      <c r="EI18" s="48"/>
      <c r="EJ18" s="48"/>
      <c r="EK18" s="48"/>
      <c r="EL18" s="48"/>
      <c r="EM18" s="48"/>
      <c r="EN18" s="48"/>
      <c r="EO18" s="48"/>
      <c r="EP18" s="48"/>
      <c r="EQ18" s="48"/>
      <c r="ER18" s="48"/>
      <c r="ES18" s="48"/>
      <c r="ET18" s="48"/>
      <c r="EU18" s="48"/>
      <c r="EV18" s="48"/>
      <c r="EW18" s="48"/>
      <c r="EX18" s="48"/>
      <c r="EY18" s="48"/>
      <c r="EZ18" s="48"/>
      <c r="FA18" s="48"/>
    </row>
    <row r="19" spans="1:157">
      <c r="A19" s="25" t="s">
        <v>83</v>
      </c>
      <c r="B19" s="26"/>
      <c r="C19" s="26"/>
      <c r="D19" s="26"/>
      <c r="E19" s="26"/>
      <c r="F19" s="27"/>
      <c r="G19" s="48"/>
      <c r="H19" s="28" t="s">
        <v>83</v>
      </c>
      <c r="I19" s="26"/>
      <c r="J19" s="29"/>
      <c r="K19" s="26"/>
      <c r="L19" s="26"/>
      <c r="M19" s="27"/>
      <c r="N19" s="48"/>
      <c r="O19" s="25" t="s">
        <v>84</v>
      </c>
      <c r="P19" s="26"/>
      <c r="Q19" s="30"/>
      <c r="R19" s="30"/>
      <c r="S19" s="26" t="s">
        <v>2</v>
      </c>
      <c r="T19" s="27" t="str">
        <f>J12</f>
        <v>Half-Year</v>
      </c>
      <c r="U19" s="48"/>
      <c r="V19" s="25" t="s">
        <v>85</v>
      </c>
      <c r="W19" s="26"/>
      <c r="X19" s="48"/>
      <c r="Y19" s="48"/>
      <c r="Z19" s="26" t="s">
        <v>2</v>
      </c>
      <c r="AA19" s="27" t="str">
        <f>J13</f>
        <v>Half-Year</v>
      </c>
      <c r="AB19" s="48"/>
      <c r="AC19" s="25" t="s">
        <v>86</v>
      </c>
      <c r="AD19" s="26"/>
      <c r="AE19" s="48"/>
      <c r="AF19" s="48"/>
      <c r="AG19" s="26" t="s">
        <v>2</v>
      </c>
      <c r="AH19" s="27" t="str">
        <f>J14</f>
        <v>Half-Year</v>
      </c>
      <c r="AI19" s="48"/>
      <c r="AJ19" s="48"/>
      <c r="AK19" s="48"/>
      <c r="AL19" s="48"/>
      <c r="AM19" s="48"/>
      <c r="AN19" s="48"/>
      <c r="AO19" s="48"/>
      <c r="AP19" s="48"/>
      <c r="AQ19" s="48"/>
      <c r="AR19" s="48"/>
      <c r="AS19" s="48"/>
      <c r="AT19" s="48"/>
      <c r="AU19" s="48"/>
      <c r="AV19" s="48"/>
      <c r="AW19" s="48"/>
      <c r="AX19" s="48"/>
      <c r="AY19" s="48"/>
      <c r="AZ19" s="48"/>
      <c r="BA19" s="48"/>
      <c r="BB19" s="48"/>
      <c r="BC19" s="48"/>
      <c r="BD19" s="48"/>
      <c r="BE19" s="48"/>
      <c r="BF19" s="48"/>
      <c r="BG19" s="48"/>
      <c r="BH19" s="48"/>
      <c r="BI19" s="48"/>
      <c r="BJ19" s="48"/>
      <c r="BK19" s="48"/>
      <c r="BL19" s="48"/>
      <c r="BM19" s="48"/>
      <c r="BN19" s="48"/>
      <c r="BO19" s="48"/>
      <c r="BP19" s="48"/>
      <c r="BQ19" s="48"/>
      <c r="BR19" s="48"/>
      <c r="BS19" s="48"/>
      <c r="BT19" s="48"/>
      <c r="BU19" s="48"/>
      <c r="BV19" s="48"/>
      <c r="BW19" s="48"/>
      <c r="BX19" s="48"/>
      <c r="BY19" s="48"/>
      <c r="BZ19" s="48"/>
      <c r="CA19" s="48"/>
      <c r="CB19" s="48"/>
      <c r="CC19" s="48"/>
      <c r="CD19" s="48"/>
      <c r="CE19" s="48"/>
      <c r="CF19" s="48"/>
      <c r="CG19" s="48"/>
      <c r="CH19" s="48"/>
      <c r="CI19" s="48"/>
      <c r="CJ19" s="48"/>
      <c r="CK19" s="48"/>
      <c r="CL19" s="48"/>
      <c r="CM19" s="48"/>
      <c r="CN19" s="48"/>
      <c r="CO19" s="48"/>
      <c r="CP19" s="48"/>
      <c r="CQ19" s="48"/>
      <c r="CR19" s="48"/>
      <c r="CS19" s="48"/>
      <c r="CT19" s="48"/>
      <c r="CU19" s="48"/>
      <c r="CV19" s="48"/>
      <c r="CW19" s="48"/>
      <c r="CX19" s="48"/>
      <c r="CY19" s="48"/>
      <c r="CZ19" s="48"/>
      <c r="DA19" s="48"/>
      <c r="DB19" s="48"/>
      <c r="DC19" s="48"/>
      <c r="DD19" s="48"/>
      <c r="DE19" s="48"/>
      <c r="DF19" s="48"/>
      <c r="DG19" s="48"/>
      <c r="DH19" s="48"/>
      <c r="DI19" s="48"/>
      <c r="DJ19" s="48"/>
      <c r="DK19" s="48"/>
      <c r="DL19" s="48"/>
      <c r="DM19" s="48"/>
      <c r="DN19" s="48"/>
      <c r="DO19" s="48"/>
      <c r="DP19" s="48"/>
      <c r="DQ19" s="48"/>
      <c r="DR19" s="48"/>
      <c r="DS19" s="48"/>
      <c r="DT19" s="48"/>
      <c r="DU19" s="48"/>
      <c r="DV19" s="48"/>
      <c r="DW19" s="48"/>
      <c r="DX19" s="48"/>
      <c r="DY19" s="48"/>
      <c r="DZ19" s="48"/>
      <c r="EA19" s="48"/>
      <c r="EB19" s="48"/>
      <c r="EC19" s="48"/>
      <c r="ED19" s="48"/>
      <c r="EE19" s="48"/>
      <c r="EF19" s="48"/>
      <c r="EG19" s="48"/>
      <c r="EH19" s="48"/>
      <c r="EI19" s="48"/>
      <c r="EJ19" s="48"/>
      <c r="EK19" s="48"/>
      <c r="EL19" s="48"/>
      <c r="EM19" s="48"/>
      <c r="EN19" s="48"/>
      <c r="EO19" s="48"/>
      <c r="EP19" s="48"/>
      <c r="EQ19" s="48"/>
      <c r="ER19" s="48"/>
      <c r="ES19" s="48"/>
      <c r="ET19" s="48"/>
      <c r="EU19" s="48"/>
      <c r="EV19" s="48"/>
      <c r="EW19" s="48"/>
      <c r="EX19" s="48"/>
      <c r="EY19" s="48"/>
      <c r="EZ19" s="48"/>
      <c r="FA19" s="48"/>
    </row>
    <row r="20" spans="1:157">
      <c r="A20" s="31" t="s">
        <v>33</v>
      </c>
      <c r="B20" s="32" t="s">
        <v>87</v>
      </c>
      <c r="C20" s="32" t="s">
        <v>88</v>
      </c>
      <c r="D20" s="32" t="s">
        <v>53</v>
      </c>
      <c r="E20" s="32" t="s">
        <v>89</v>
      </c>
      <c r="F20" s="33" t="s">
        <v>90</v>
      </c>
      <c r="G20" s="48"/>
      <c r="H20" s="99" t="s">
        <v>33</v>
      </c>
      <c r="I20" s="99" t="s">
        <v>87</v>
      </c>
      <c r="J20" s="99" t="s">
        <v>88</v>
      </c>
      <c r="K20" s="99" t="s">
        <v>91</v>
      </c>
      <c r="L20" s="99" t="s">
        <v>89</v>
      </c>
      <c r="M20" s="99" t="s">
        <v>90</v>
      </c>
      <c r="N20" s="48"/>
      <c r="O20" s="31" t="s">
        <v>33</v>
      </c>
      <c r="P20" s="32" t="s">
        <v>87</v>
      </c>
      <c r="Q20" s="32" t="s">
        <v>92</v>
      </c>
      <c r="R20" s="32" t="s">
        <v>42</v>
      </c>
      <c r="S20" s="32" t="s">
        <v>89</v>
      </c>
      <c r="T20" s="33" t="s">
        <v>90</v>
      </c>
      <c r="U20" s="48"/>
      <c r="V20" s="31" t="s">
        <v>33</v>
      </c>
      <c r="W20" s="32" t="s">
        <v>87</v>
      </c>
      <c r="X20" s="99" t="s">
        <v>93</v>
      </c>
      <c r="Y20" s="32" t="s">
        <v>42</v>
      </c>
      <c r="Z20" s="32" t="s">
        <v>89</v>
      </c>
      <c r="AA20" s="33" t="s">
        <v>90</v>
      </c>
      <c r="AB20" s="48"/>
      <c r="AC20" s="99" t="s">
        <v>33</v>
      </c>
      <c r="AD20" s="99" t="s">
        <v>87</v>
      </c>
      <c r="AE20" s="99" t="s">
        <v>94</v>
      </c>
      <c r="AF20" s="99" t="s">
        <v>42</v>
      </c>
      <c r="AG20" s="99" t="s">
        <v>89</v>
      </c>
      <c r="AH20" s="99" t="s">
        <v>90</v>
      </c>
      <c r="AI20" s="48"/>
      <c r="AJ20" s="48"/>
      <c r="AK20" s="48"/>
      <c r="AL20" s="48"/>
      <c r="AM20" s="48"/>
      <c r="AN20" s="48"/>
      <c r="AO20" s="48"/>
      <c r="AP20" s="48"/>
      <c r="AQ20" s="48"/>
      <c r="AR20" s="48"/>
      <c r="AS20" s="48"/>
      <c r="AT20" s="48"/>
      <c r="AU20" s="48"/>
      <c r="AV20" s="48"/>
    </row>
    <row r="21" spans="1:157">
      <c r="A21" s="13">
        <v>1</v>
      </c>
      <c r="B21" s="2">
        <f>IF($B$6&gt;0,YEAR($B$6),"")</f>
        <v>2024</v>
      </c>
      <c r="C21" s="34" cm="1">
        <f t="array" ref="C21">INDEX('27.5-Year'!$A$1:$M$32,MATCH(_27.5_Year_Original[[#This Row],[Year No.]],'27.5-Year'!$A:$A,0),MONTH('Study Data'!$B$6)+1)</f>
        <v>3.4849999999999999E-2</v>
      </c>
      <c r="D21" s="101">
        <f t="shared" ref="D21:D49" si="1">IF($E$11=27.5,$D$11,0)</f>
        <v>0</v>
      </c>
      <c r="E21" s="101">
        <f>_27.5_Year_Original[[#This Row],[Original Basis]]*_27.5_Year_Original[[#This Row],[27.5-Year Rate]]</f>
        <v>0</v>
      </c>
      <c r="F21" s="102">
        <f>E21</f>
        <v>0</v>
      </c>
      <c r="G21" s="48"/>
      <c r="H21" s="99">
        <v>1</v>
      </c>
      <c r="I21" s="48">
        <f>IF($B$6&gt;0,YEAR($B$6),"")</f>
        <v>2024</v>
      </c>
      <c r="J21" s="103" cm="1">
        <f t="array" ref="J21">INDEX('27.5-Year'!$A$1:$M$32,MATCH(_27.5_Year_Post_CS[[#This Row],[Year No.]],'27.5-Year'!$A:$A,0),MONTH('Study Data'!$B$6)+1)</f>
        <v>3.4849999999999999E-2</v>
      </c>
      <c r="K21" s="101">
        <f t="shared" ref="K21:K49" si="2">IF($E$11=27.5,$G$11,0)</f>
        <v>0</v>
      </c>
      <c r="L21" s="101">
        <f>_27.5_Year_Post_CS[[#This Row],[Adj Basis]]*_27.5_Year_Post_CS[[#This Row],[27.5-Year Rate]]</f>
        <v>0</v>
      </c>
      <c r="M21" s="101">
        <f>L21</f>
        <v>0</v>
      </c>
      <c r="N21" s="48"/>
      <c r="O21" s="99">
        <v>1</v>
      </c>
      <c r="P21" s="48">
        <f>IF($B$6&gt;0,YEAR($B$6),"")</f>
        <v>2024</v>
      </c>
      <c r="Q21" s="100">
        <v>0.2</v>
      </c>
      <c r="R21" s="101">
        <f t="shared" ref="R21:R26" si="3">$G$12-$Q$28</f>
        <v>0</v>
      </c>
      <c r="S21" s="101">
        <f>_5_Year_Post_CS[[#This Row],[Basis]]*_5_Year_Post_CS[[#This Row],[5-Year Rate]]</f>
        <v>0</v>
      </c>
      <c r="T21" s="101">
        <f>S21+Q28</f>
        <v>0</v>
      </c>
      <c r="U21" s="48"/>
      <c r="V21" s="99">
        <v>1</v>
      </c>
      <c r="W21" s="48">
        <f>IF($B$6&gt;0,YEAR($B$6),"")</f>
        <v>2024</v>
      </c>
      <c r="X21" s="100">
        <v>0.1429</v>
      </c>
      <c r="Y21" s="101">
        <f t="shared" ref="Y21:Y28" si="4">$G$13-$X$30</f>
        <v>0</v>
      </c>
      <c r="Z21" s="102">
        <f>_7_Year_Post_CS[[#This Row],[Basis]]*_7_Year_Post_CS[[#This Row],[7-Year Rate]]</f>
        <v>0</v>
      </c>
      <c r="AA21" s="41">
        <f>Z21+X30</f>
        <v>0</v>
      </c>
      <c r="AB21" s="48"/>
      <c r="AC21" s="99">
        <v>1</v>
      </c>
      <c r="AD21" s="48">
        <f t="shared" ref="AD21" si="5">IF($B$6&gt;0,YEAR($B$6),"")</f>
        <v>2024</v>
      </c>
      <c r="AE21" s="100">
        <v>0.05</v>
      </c>
      <c r="AF21" s="101">
        <f t="shared" ref="AF21:AF36" si="6">$G$14-$AE$38</f>
        <v>0</v>
      </c>
      <c r="AG21" s="102">
        <f>_15_Year_Post_CS[[#This Row],[Basis]]*_15_Year_Post_CS[[#This Row],[15-Year Rate]]</f>
        <v>0</v>
      </c>
      <c r="AH21" s="102">
        <f>AG21+AE38</f>
        <v>0</v>
      </c>
      <c r="AI21" s="48"/>
      <c r="AJ21" s="48"/>
      <c r="AK21" s="48"/>
      <c r="AL21" s="48"/>
      <c r="AM21" s="48"/>
      <c r="AN21" s="48"/>
      <c r="AO21" s="48"/>
      <c r="AP21" s="48"/>
      <c r="AQ21" s="48"/>
      <c r="AR21" s="48"/>
      <c r="AS21" s="48"/>
      <c r="AT21" s="48"/>
      <c r="AU21" s="48"/>
      <c r="AV21" s="48"/>
    </row>
    <row r="22" spans="1:157">
      <c r="A22" s="13">
        <f>A21+1</f>
        <v>2</v>
      </c>
      <c r="B22" s="2">
        <f>B21+1</f>
        <v>2025</v>
      </c>
      <c r="C22" s="34" cm="1">
        <f t="array" ref="C22">INDEX('27.5-Year'!$A$1:$M$32,MATCH(_27.5_Year_Original[[#This Row],[Year No.]],'27.5-Year'!$A:$A,0),MONTH('Study Data'!$B$6)+1)</f>
        <v>3.6360000000000003E-2</v>
      </c>
      <c r="D22" s="101">
        <f t="shared" si="1"/>
        <v>0</v>
      </c>
      <c r="E22" s="101">
        <f>_27.5_Year_Original[[#This Row],[Original Basis]]*_27.5_Year_Original[[#This Row],[27.5-Year Rate]]</f>
        <v>0</v>
      </c>
      <c r="F22" s="102">
        <f>F21+_27.5_Year_Original[[#This Row],[Annual Depreciation]]</f>
        <v>0</v>
      </c>
      <c r="G22" s="104"/>
      <c r="H22" s="99">
        <f>H21+1</f>
        <v>2</v>
      </c>
      <c r="I22" s="48">
        <f>I21+1</f>
        <v>2025</v>
      </c>
      <c r="J22" s="103" cm="1">
        <f t="array" ref="J22">INDEX('27.5-Year'!$A$1:$M$32,MATCH(_27.5_Year_Post_CS[[#This Row],[Year No.]],'27.5-Year'!$A:$A,0),MONTH('Study Data'!$B$6)+1)</f>
        <v>3.6360000000000003E-2</v>
      </c>
      <c r="K22" s="101">
        <f t="shared" si="2"/>
        <v>0</v>
      </c>
      <c r="L22" s="101">
        <f>_27.5_Year_Post_CS[[#This Row],[Adj Basis]]*_27.5_Year_Post_CS[[#This Row],[27.5-Year Rate]]</f>
        <v>0</v>
      </c>
      <c r="M22" s="101">
        <f>M21+_27.5_Year_Post_CS[[#This Row],[Annual Depreciation]]</f>
        <v>0</v>
      </c>
      <c r="N22" s="48"/>
      <c r="O22" s="99">
        <f>O21+1</f>
        <v>2</v>
      </c>
      <c r="P22" s="48">
        <f>P21+1</f>
        <v>2025</v>
      </c>
      <c r="Q22" s="100">
        <v>0.32</v>
      </c>
      <c r="R22" s="101">
        <f t="shared" si="3"/>
        <v>0</v>
      </c>
      <c r="S22" s="101">
        <f>_5_Year_Post_CS[[#This Row],[Basis]]*_5_Year_Post_CS[[#This Row],[5-Year Rate]]</f>
        <v>0</v>
      </c>
      <c r="T22" s="101">
        <f>T21+_5_Year_Post_CS[[#This Row],[Annual Depreciation]]</f>
        <v>0</v>
      </c>
      <c r="U22" s="48"/>
      <c r="V22" s="99">
        <f>V21+1</f>
        <v>2</v>
      </c>
      <c r="W22" s="48">
        <f>W21+1</f>
        <v>2025</v>
      </c>
      <c r="X22" s="100">
        <v>0.24490000000000001</v>
      </c>
      <c r="Y22" s="101">
        <f t="shared" si="4"/>
        <v>0</v>
      </c>
      <c r="Z22" s="102">
        <f>_7_Year_Post_CS[[#This Row],[Basis]]*_7_Year_Post_CS[[#This Row],[7-Year Rate]]</f>
        <v>0</v>
      </c>
      <c r="AA22" s="102">
        <f>AA21+_7_Year_Post_CS[[#This Row],[Annual Depreciation]]</f>
        <v>0</v>
      </c>
      <c r="AB22" s="48"/>
      <c r="AC22" s="99">
        <f>AC21+1</f>
        <v>2</v>
      </c>
      <c r="AD22" s="48">
        <f>AD21+1</f>
        <v>2025</v>
      </c>
      <c r="AE22" s="100">
        <v>9.5000000000000001E-2</v>
      </c>
      <c r="AF22" s="101">
        <f t="shared" si="6"/>
        <v>0</v>
      </c>
      <c r="AG22" s="102">
        <f>_15_Year_Post_CS[[#This Row],[Basis]]*_15_Year_Post_CS[[#This Row],[15-Year Rate]]</f>
        <v>0</v>
      </c>
      <c r="AH22" s="102">
        <f>AH21+_15_Year_Post_CS[[#This Row],[Annual Depreciation]]</f>
        <v>0</v>
      </c>
      <c r="AI22" s="48"/>
      <c r="AJ22" s="48"/>
      <c r="AK22" s="48"/>
      <c r="AL22" s="48"/>
      <c r="AM22" s="48"/>
      <c r="AN22" s="48"/>
      <c r="AO22" s="48"/>
      <c r="AP22" s="48"/>
      <c r="AQ22" s="48"/>
      <c r="AR22" s="48"/>
      <c r="AS22" s="48"/>
      <c r="AT22" s="48"/>
      <c r="AU22" s="48"/>
      <c r="AV22" s="48"/>
    </row>
    <row r="23" spans="1:157">
      <c r="A23" s="13">
        <f t="shared" ref="A23:B38" si="7">A22+1</f>
        <v>3</v>
      </c>
      <c r="B23" s="2">
        <f t="shared" si="7"/>
        <v>2026</v>
      </c>
      <c r="C23" s="34" cm="1">
        <f t="array" ref="C23">INDEX('27.5-Year'!$A$1:$M$32,MATCH(_27.5_Year_Original[[#This Row],[Year No.]],'27.5-Year'!$A:$A,0),MONTH('Study Data'!$B$6)+1)</f>
        <v>3.6360000000000003E-2</v>
      </c>
      <c r="D23" s="101">
        <f t="shared" si="1"/>
        <v>0</v>
      </c>
      <c r="E23" s="101">
        <f>_27.5_Year_Original[[#This Row],[Original Basis]]*_27.5_Year_Original[[#This Row],[27.5-Year Rate]]</f>
        <v>0</v>
      </c>
      <c r="F23" s="102">
        <f>F22+_27.5_Year_Original[[#This Row],[Annual Depreciation]]</f>
        <v>0</v>
      </c>
      <c r="G23" s="104"/>
      <c r="H23" s="99">
        <f t="shared" ref="H23:I38" si="8">H22+1</f>
        <v>3</v>
      </c>
      <c r="I23" s="48">
        <f t="shared" si="8"/>
        <v>2026</v>
      </c>
      <c r="J23" s="103" cm="1">
        <f t="array" ref="J23">INDEX('27.5-Year'!$A$1:$M$32,MATCH(_27.5_Year_Post_CS[[#This Row],[Year No.]],'27.5-Year'!$A:$A,0),MONTH('Study Data'!$B$6)+1)</f>
        <v>3.6360000000000003E-2</v>
      </c>
      <c r="K23" s="101">
        <f t="shared" si="2"/>
        <v>0</v>
      </c>
      <c r="L23" s="101">
        <f>_27.5_Year_Post_CS[[#This Row],[Adj Basis]]*_27.5_Year_Post_CS[[#This Row],[27.5-Year Rate]]</f>
        <v>0</v>
      </c>
      <c r="M23" s="101">
        <f>M22+_27.5_Year_Post_CS[[#This Row],[Annual Depreciation]]</f>
        <v>0</v>
      </c>
      <c r="N23" s="48"/>
      <c r="O23" s="99">
        <f t="shared" ref="O23:P26" si="9">O22+1</f>
        <v>3</v>
      </c>
      <c r="P23" s="48">
        <f t="shared" si="9"/>
        <v>2026</v>
      </c>
      <c r="Q23" s="100">
        <v>0.192</v>
      </c>
      <c r="R23" s="101">
        <f t="shared" si="3"/>
        <v>0</v>
      </c>
      <c r="S23" s="101">
        <f>_5_Year_Post_CS[[#This Row],[Basis]]*_5_Year_Post_CS[[#This Row],[5-Year Rate]]</f>
        <v>0</v>
      </c>
      <c r="T23" s="101">
        <f>T22+_5_Year_Post_CS[[#This Row],[Annual Depreciation]]</f>
        <v>0</v>
      </c>
      <c r="U23" s="48"/>
      <c r="V23" s="99">
        <f t="shared" ref="V23:W27" si="10">V22+1</f>
        <v>3</v>
      </c>
      <c r="W23" s="48">
        <f t="shared" si="10"/>
        <v>2026</v>
      </c>
      <c r="X23" s="100">
        <v>0.1749</v>
      </c>
      <c r="Y23" s="101">
        <f t="shared" si="4"/>
        <v>0</v>
      </c>
      <c r="Z23" s="102">
        <f>_7_Year_Post_CS[[#This Row],[Basis]]*_7_Year_Post_CS[[#This Row],[7-Year Rate]]</f>
        <v>0</v>
      </c>
      <c r="AA23" s="102">
        <f>AA22+_7_Year_Post_CS[[#This Row],[Annual Depreciation]]</f>
        <v>0</v>
      </c>
      <c r="AB23" s="48"/>
      <c r="AC23" s="99">
        <f t="shared" ref="AC23:AD36" si="11">AC22+1</f>
        <v>3</v>
      </c>
      <c r="AD23" s="48">
        <f t="shared" si="11"/>
        <v>2026</v>
      </c>
      <c r="AE23" s="100">
        <v>8.5500000000000007E-2</v>
      </c>
      <c r="AF23" s="101">
        <f t="shared" si="6"/>
        <v>0</v>
      </c>
      <c r="AG23" s="102">
        <f>_15_Year_Post_CS[[#This Row],[Basis]]*_15_Year_Post_CS[[#This Row],[15-Year Rate]]</f>
        <v>0</v>
      </c>
      <c r="AH23" s="102">
        <f>AH22+_15_Year_Post_CS[[#This Row],[Annual Depreciation]]</f>
        <v>0</v>
      </c>
      <c r="AI23" s="48"/>
      <c r="AJ23" s="48"/>
      <c r="AK23" s="48"/>
      <c r="AL23" s="48"/>
      <c r="AM23" s="48"/>
      <c r="AN23" s="48"/>
      <c r="AO23" s="48"/>
      <c r="AP23" s="48"/>
      <c r="AQ23" s="48"/>
      <c r="AR23" s="48"/>
      <c r="AS23" s="48"/>
      <c r="AT23" s="48"/>
      <c r="AU23" s="48"/>
      <c r="AV23" s="48"/>
    </row>
    <row r="24" spans="1:157">
      <c r="A24" s="13">
        <f t="shared" si="7"/>
        <v>4</v>
      </c>
      <c r="B24" s="2">
        <f t="shared" si="7"/>
        <v>2027</v>
      </c>
      <c r="C24" s="34" cm="1">
        <f t="array" ref="C24">INDEX('27.5-Year'!$A$1:$M$32,MATCH(_27.5_Year_Original[[#This Row],[Year No.]],'27.5-Year'!$A:$A,0),MONTH('Study Data'!$B$6)+1)</f>
        <v>3.6360000000000003E-2</v>
      </c>
      <c r="D24" s="101">
        <f t="shared" si="1"/>
        <v>0</v>
      </c>
      <c r="E24" s="101">
        <f>_27.5_Year_Original[[#This Row],[Original Basis]]*_27.5_Year_Original[[#This Row],[27.5-Year Rate]]</f>
        <v>0</v>
      </c>
      <c r="F24" s="102">
        <f>F23+_27.5_Year_Original[[#This Row],[Annual Depreciation]]</f>
        <v>0</v>
      </c>
      <c r="G24" s="104"/>
      <c r="H24" s="99">
        <f t="shared" si="8"/>
        <v>4</v>
      </c>
      <c r="I24" s="48">
        <f t="shared" si="8"/>
        <v>2027</v>
      </c>
      <c r="J24" s="103" cm="1">
        <f t="array" ref="J24">INDEX('27.5-Year'!$A$1:$M$32,MATCH(_27.5_Year_Post_CS[[#This Row],[Year No.]],'27.5-Year'!$A:$A,0),MONTH('Study Data'!$B$6)+1)</f>
        <v>3.6360000000000003E-2</v>
      </c>
      <c r="K24" s="101">
        <f t="shared" si="2"/>
        <v>0</v>
      </c>
      <c r="L24" s="101">
        <f>_27.5_Year_Post_CS[[#This Row],[Adj Basis]]*_27.5_Year_Post_CS[[#This Row],[27.5-Year Rate]]</f>
        <v>0</v>
      </c>
      <c r="M24" s="101">
        <f>M23+_27.5_Year_Post_CS[[#This Row],[Annual Depreciation]]</f>
        <v>0</v>
      </c>
      <c r="N24" s="48"/>
      <c r="O24" s="99">
        <f t="shared" si="9"/>
        <v>4</v>
      </c>
      <c r="P24" s="48">
        <f t="shared" si="9"/>
        <v>2027</v>
      </c>
      <c r="Q24" s="100">
        <v>0.1152</v>
      </c>
      <c r="R24" s="101">
        <f t="shared" si="3"/>
        <v>0</v>
      </c>
      <c r="S24" s="101">
        <f>_5_Year_Post_CS[[#This Row],[Basis]]*_5_Year_Post_CS[[#This Row],[5-Year Rate]]</f>
        <v>0</v>
      </c>
      <c r="T24" s="101">
        <f>T23+_5_Year_Post_CS[[#This Row],[Annual Depreciation]]</f>
        <v>0</v>
      </c>
      <c r="U24" s="48"/>
      <c r="V24" s="99">
        <f t="shared" si="10"/>
        <v>4</v>
      </c>
      <c r="W24" s="48">
        <f t="shared" si="10"/>
        <v>2027</v>
      </c>
      <c r="X24" s="100">
        <v>0.1249</v>
      </c>
      <c r="Y24" s="101">
        <f t="shared" si="4"/>
        <v>0</v>
      </c>
      <c r="Z24" s="102">
        <f>_7_Year_Post_CS[[#This Row],[Basis]]*_7_Year_Post_CS[[#This Row],[7-Year Rate]]</f>
        <v>0</v>
      </c>
      <c r="AA24" s="102">
        <f>AA23+_7_Year_Post_CS[[#This Row],[Annual Depreciation]]</f>
        <v>0</v>
      </c>
      <c r="AB24" s="48"/>
      <c r="AC24" s="99">
        <f t="shared" si="11"/>
        <v>4</v>
      </c>
      <c r="AD24" s="48">
        <f t="shared" si="11"/>
        <v>2027</v>
      </c>
      <c r="AE24" s="100">
        <v>7.6999999999999999E-2</v>
      </c>
      <c r="AF24" s="101">
        <f t="shared" si="6"/>
        <v>0</v>
      </c>
      <c r="AG24" s="102">
        <f>_15_Year_Post_CS[[#This Row],[Basis]]*_15_Year_Post_CS[[#This Row],[15-Year Rate]]</f>
        <v>0</v>
      </c>
      <c r="AH24" s="102">
        <f>AH23+_15_Year_Post_CS[[#This Row],[Annual Depreciation]]</f>
        <v>0</v>
      </c>
      <c r="AI24" s="48"/>
      <c r="AJ24" s="48"/>
      <c r="AK24" s="48"/>
      <c r="AL24" s="48"/>
      <c r="AM24" s="48"/>
      <c r="AN24" s="48"/>
      <c r="AO24" s="48"/>
      <c r="AP24" s="48"/>
      <c r="AQ24" s="48"/>
      <c r="AR24" s="48"/>
      <c r="AS24" s="48"/>
      <c r="AT24" s="48"/>
      <c r="AU24" s="48"/>
      <c r="AV24" s="48"/>
    </row>
    <row r="25" spans="1:157">
      <c r="A25" s="13">
        <f t="shared" si="7"/>
        <v>5</v>
      </c>
      <c r="B25" s="2">
        <f t="shared" si="7"/>
        <v>2028</v>
      </c>
      <c r="C25" s="34" cm="1">
        <f t="array" ref="C25">INDEX('27.5-Year'!$A$1:$M$32,MATCH(_27.5_Year_Original[[#This Row],[Year No.]],'27.5-Year'!$A:$A,0),MONTH('Study Data'!$B$6)+1)</f>
        <v>3.6360000000000003E-2</v>
      </c>
      <c r="D25" s="101">
        <f t="shared" si="1"/>
        <v>0</v>
      </c>
      <c r="E25" s="101">
        <f>_27.5_Year_Original[[#This Row],[Original Basis]]*_27.5_Year_Original[[#This Row],[27.5-Year Rate]]</f>
        <v>0</v>
      </c>
      <c r="F25" s="102">
        <f>F24+_27.5_Year_Original[[#This Row],[Annual Depreciation]]</f>
        <v>0</v>
      </c>
      <c r="G25" s="104"/>
      <c r="H25" s="99">
        <f t="shared" si="8"/>
        <v>5</v>
      </c>
      <c r="I25" s="48">
        <f t="shared" si="8"/>
        <v>2028</v>
      </c>
      <c r="J25" s="103" cm="1">
        <f t="array" ref="J25">INDEX('27.5-Year'!$A$1:$M$32,MATCH(_27.5_Year_Post_CS[[#This Row],[Year No.]],'27.5-Year'!$A:$A,0),MONTH('Study Data'!$B$6)+1)</f>
        <v>3.6360000000000003E-2</v>
      </c>
      <c r="K25" s="101">
        <f t="shared" si="2"/>
        <v>0</v>
      </c>
      <c r="L25" s="101">
        <f>_27.5_Year_Post_CS[[#This Row],[Adj Basis]]*_27.5_Year_Post_CS[[#This Row],[27.5-Year Rate]]</f>
        <v>0</v>
      </c>
      <c r="M25" s="101">
        <f>M24+_27.5_Year_Post_CS[[#This Row],[Annual Depreciation]]</f>
        <v>0</v>
      </c>
      <c r="N25" s="48"/>
      <c r="O25" s="99">
        <f t="shared" si="9"/>
        <v>5</v>
      </c>
      <c r="P25" s="48">
        <f t="shared" si="9"/>
        <v>2028</v>
      </c>
      <c r="Q25" s="100">
        <v>0.1152</v>
      </c>
      <c r="R25" s="101">
        <f t="shared" si="3"/>
        <v>0</v>
      </c>
      <c r="S25" s="101">
        <f>_5_Year_Post_CS[[#This Row],[Basis]]*_5_Year_Post_CS[[#This Row],[5-Year Rate]]</f>
        <v>0</v>
      </c>
      <c r="T25" s="101">
        <f>T24+_5_Year_Post_CS[[#This Row],[Annual Depreciation]]</f>
        <v>0</v>
      </c>
      <c r="U25" s="48"/>
      <c r="V25" s="99">
        <f t="shared" si="10"/>
        <v>5</v>
      </c>
      <c r="W25" s="48">
        <f t="shared" si="10"/>
        <v>2028</v>
      </c>
      <c r="X25" s="100">
        <v>8.9300000000000004E-2</v>
      </c>
      <c r="Y25" s="101">
        <f t="shared" si="4"/>
        <v>0</v>
      </c>
      <c r="Z25" s="102">
        <f>_7_Year_Post_CS[[#This Row],[Basis]]*_7_Year_Post_CS[[#This Row],[7-Year Rate]]</f>
        <v>0</v>
      </c>
      <c r="AA25" s="102">
        <f>AA24+_7_Year_Post_CS[[#This Row],[Annual Depreciation]]</f>
        <v>0</v>
      </c>
      <c r="AB25" s="48"/>
      <c r="AC25" s="99">
        <f t="shared" si="11"/>
        <v>5</v>
      </c>
      <c r="AD25" s="48">
        <f t="shared" si="11"/>
        <v>2028</v>
      </c>
      <c r="AE25" s="100">
        <v>6.93E-2</v>
      </c>
      <c r="AF25" s="101">
        <f t="shared" si="6"/>
        <v>0</v>
      </c>
      <c r="AG25" s="102">
        <f>_15_Year_Post_CS[[#This Row],[Basis]]*_15_Year_Post_CS[[#This Row],[15-Year Rate]]</f>
        <v>0</v>
      </c>
      <c r="AH25" s="102">
        <f>AH24+_15_Year_Post_CS[[#This Row],[Annual Depreciation]]</f>
        <v>0</v>
      </c>
      <c r="AI25" s="48"/>
      <c r="AJ25" s="48"/>
      <c r="AK25" s="48"/>
      <c r="AL25" s="48"/>
      <c r="AM25" s="48"/>
      <c r="AN25" s="48"/>
      <c r="AO25" s="48"/>
      <c r="AP25" s="48"/>
      <c r="AQ25" s="48"/>
      <c r="AR25" s="48"/>
      <c r="AS25" s="48"/>
      <c r="AT25" s="48"/>
      <c r="AU25" s="48"/>
      <c r="AV25" s="48"/>
    </row>
    <row r="26" spans="1:157">
      <c r="A26" s="13">
        <f t="shared" si="7"/>
        <v>6</v>
      </c>
      <c r="B26" s="2">
        <f t="shared" si="7"/>
        <v>2029</v>
      </c>
      <c r="C26" s="34" cm="1">
        <f t="array" ref="C26">INDEX('27.5-Year'!$A$1:$M$32,MATCH(_27.5_Year_Original[[#This Row],[Year No.]],'27.5-Year'!$A:$A,0),MONTH('Study Data'!$B$6)+1)</f>
        <v>3.6360000000000003E-2</v>
      </c>
      <c r="D26" s="101">
        <f t="shared" si="1"/>
        <v>0</v>
      </c>
      <c r="E26" s="101">
        <f>_27.5_Year_Original[[#This Row],[Original Basis]]*_27.5_Year_Original[[#This Row],[27.5-Year Rate]]</f>
        <v>0</v>
      </c>
      <c r="F26" s="102">
        <f>F25+_27.5_Year_Original[[#This Row],[Annual Depreciation]]</f>
        <v>0</v>
      </c>
      <c r="G26" s="104"/>
      <c r="H26" s="99">
        <f t="shared" si="8"/>
        <v>6</v>
      </c>
      <c r="I26" s="48">
        <f t="shared" si="8"/>
        <v>2029</v>
      </c>
      <c r="J26" s="103" cm="1">
        <f t="array" ref="J26">INDEX('27.5-Year'!$A$1:$M$32,MATCH(_27.5_Year_Post_CS[[#This Row],[Year No.]],'27.5-Year'!$A:$A,0),MONTH('Study Data'!$B$6)+1)</f>
        <v>3.6360000000000003E-2</v>
      </c>
      <c r="K26" s="101">
        <f t="shared" si="2"/>
        <v>0</v>
      </c>
      <c r="L26" s="101">
        <f>_27.5_Year_Post_CS[[#This Row],[Adj Basis]]*_27.5_Year_Post_CS[[#This Row],[27.5-Year Rate]]</f>
        <v>0</v>
      </c>
      <c r="M26" s="101">
        <f>M25+_27.5_Year_Post_CS[[#This Row],[Annual Depreciation]]</f>
        <v>0</v>
      </c>
      <c r="N26" s="48"/>
      <c r="O26" s="99">
        <f t="shared" si="9"/>
        <v>6</v>
      </c>
      <c r="P26" s="48">
        <f t="shared" si="9"/>
        <v>2029</v>
      </c>
      <c r="Q26" s="100">
        <v>5.7599999999999998E-2</v>
      </c>
      <c r="R26" s="101">
        <f t="shared" si="3"/>
        <v>0</v>
      </c>
      <c r="S26" s="101">
        <f>_5_Year_Post_CS[[#This Row],[Basis]]*_5_Year_Post_CS[[#This Row],[5-Year Rate]]</f>
        <v>0</v>
      </c>
      <c r="T26" s="101">
        <f>T25+_5_Year_Post_CS[[#This Row],[Annual Depreciation]]</f>
        <v>0</v>
      </c>
      <c r="U26" s="48"/>
      <c r="V26" s="99">
        <f t="shared" si="10"/>
        <v>6</v>
      </c>
      <c r="W26" s="48">
        <f t="shared" si="10"/>
        <v>2029</v>
      </c>
      <c r="X26" s="100">
        <v>8.9200000000000002E-2</v>
      </c>
      <c r="Y26" s="101">
        <f t="shared" si="4"/>
        <v>0</v>
      </c>
      <c r="Z26" s="102">
        <f>_7_Year_Post_CS[[#This Row],[Basis]]*_7_Year_Post_CS[[#This Row],[7-Year Rate]]</f>
        <v>0</v>
      </c>
      <c r="AA26" s="102">
        <f>AA25+_7_Year_Post_CS[[#This Row],[Annual Depreciation]]</f>
        <v>0</v>
      </c>
      <c r="AB26" s="48"/>
      <c r="AC26" s="99">
        <f t="shared" si="11"/>
        <v>6</v>
      </c>
      <c r="AD26" s="48">
        <f t="shared" si="11"/>
        <v>2029</v>
      </c>
      <c r="AE26" s="100">
        <v>6.2300000000000001E-2</v>
      </c>
      <c r="AF26" s="101">
        <f t="shared" si="6"/>
        <v>0</v>
      </c>
      <c r="AG26" s="102">
        <f>_15_Year_Post_CS[[#This Row],[Basis]]*_15_Year_Post_CS[[#This Row],[15-Year Rate]]</f>
        <v>0</v>
      </c>
      <c r="AH26" s="102">
        <f>AH25+_15_Year_Post_CS[[#This Row],[Annual Depreciation]]</f>
        <v>0</v>
      </c>
      <c r="AI26" s="48"/>
      <c r="AJ26" s="48"/>
      <c r="AK26" s="48"/>
      <c r="AL26" s="48"/>
      <c r="AM26" s="48"/>
      <c r="AN26" s="48"/>
      <c r="AO26" s="48"/>
      <c r="AP26" s="48"/>
      <c r="AQ26" s="48"/>
      <c r="AR26" s="48"/>
      <c r="AS26" s="48"/>
      <c r="AT26" s="48"/>
      <c r="AU26" s="48"/>
      <c r="AV26" s="48"/>
    </row>
    <row r="27" spans="1:157">
      <c r="A27" s="13">
        <f t="shared" si="7"/>
        <v>7</v>
      </c>
      <c r="B27" s="2">
        <f t="shared" si="7"/>
        <v>2030</v>
      </c>
      <c r="C27" s="34" cm="1">
        <f t="array" ref="C27">INDEX('27.5-Year'!$A$1:$M$32,MATCH(_27.5_Year_Original[[#This Row],[Year No.]],'27.5-Year'!$A:$A,0),MONTH('Study Data'!$B$6)+1)</f>
        <v>3.6360000000000003E-2</v>
      </c>
      <c r="D27" s="101">
        <f t="shared" si="1"/>
        <v>0</v>
      </c>
      <c r="E27" s="101">
        <f>_27.5_Year_Original[[#This Row],[Original Basis]]*_27.5_Year_Original[[#This Row],[27.5-Year Rate]]</f>
        <v>0</v>
      </c>
      <c r="F27" s="102">
        <f>F26+_27.5_Year_Original[[#This Row],[Annual Depreciation]]</f>
        <v>0</v>
      </c>
      <c r="G27" s="104"/>
      <c r="H27" s="99">
        <f t="shared" si="8"/>
        <v>7</v>
      </c>
      <c r="I27" s="48">
        <f t="shared" si="8"/>
        <v>2030</v>
      </c>
      <c r="J27" s="103" cm="1">
        <f t="array" ref="J27">INDEX('27.5-Year'!$A$1:$M$32,MATCH(_27.5_Year_Post_CS[[#This Row],[Year No.]],'27.5-Year'!$A:$A,0),MONTH('Study Data'!$B$6)+1)</f>
        <v>3.6360000000000003E-2</v>
      </c>
      <c r="K27" s="101">
        <f t="shared" si="2"/>
        <v>0</v>
      </c>
      <c r="L27" s="101">
        <f>_27.5_Year_Post_CS[[#This Row],[Adj Basis]]*_27.5_Year_Post_CS[[#This Row],[27.5-Year Rate]]</f>
        <v>0</v>
      </c>
      <c r="M27" s="101">
        <f>M26+_27.5_Year_Post_CS[[#This Row],[Annual Depreciation]]</f>
        <v>0</v>
      </c>
      <c r="N27" s="48"/>
      <c r="O27" s="48"/>
      <c r="P27" s="48"/>
      <c r="Q27" s="48"/>
      <c r="R27" s="48"/>
      <c r="S27" s="48"/>
      <c r="T27" s="48"/>
      <c r="U27" s="48"/>
      <c r="V27" s="99">
        <f t="shared" si="10"/>
        <v>7</v>
      </c>
      <c r="W27" s="48">
        <f t="shared" si="10"/>
        <v>2030</v>
      </c>
      <c r="X27" s="100">
        <v>8.9300000000000004E-2</v>
      </c>
      <c r="Y27" s="101">
        <f t="shared" si="4"/>
        <v>0</v>
      </c>
      <c r="Z27" s="102">
        <f>_7_Year_Post_CS[[#This Row],[Basis]]*_7_Year_Post_CS[[#This Row],[7-Year Rate]]</f>
        <v>0</v>
      </c>
      <c r="AA27" s="102">
        <f>AA26+_7_Year_Post_CS[[#This Row],[Annual Depreciation]]</f>
        <v>0</v>
      </c>
      <c r="AB27" s="48"/>
      <c r="AC27" s="99">
        <f t="shared" si="11"/>
        <v>7</v>
      </c>
      <c r="AD27" s="48">
        <f t="shared" si="11"/>
        <v>2030</v>
      </c>
      <c r="AE27" s="100">
        <v>5.8999999999999997E-2</v>
      </c>
      <c r="AF27" s="101">
        <f t="shared" si="6"/>
        <v>0</v>
      </c>
      <c r="AG27" s="102">
        <f>_15_Year_Post_CS[[#This Row],[Basis]]*_15_Year_Post_CS[[#This Row],[15-Year Rate]]</f>
        <v>0</v>
      </c>
      <c r="AH27" s="102">
        <f>AH26+_15_Year_Post_CS[[#This Row],[Annual Depreciation]]</f>
        <v>0</v>
      </c>
      <c r="AI27" s="48"/>
      <c r="AJ27" s="48"/>
      <c r="AK27" s="48"/>
      <c r="AL27" s="48"/>
      <c r="AM27" s="48"/>
      <c r="AN27" s="48"/>
      <c r="AO27" s="48"/>
      <c r="AP27" s="48"/>
      <c r="AQ27" s="48"/>
      <c r="AR27" s="48"/>
      <c r="AS27" s="48"/>
      <c r="AT27" s="48"/>
      <c r="AU27" s="48"/>
      <c r="AV27" s="48"/>
    </row>
    <row r="28" spans="1:157">
      <c r="A28" s="13">
        <f t="shared" si="7"/>
        <v>8</v>
      </c>
      <c r="B28" s="2">
        <f t="shared" si="7"/>
        <v>2031</v>
      </c>
      <c r="C28" s="34" cm="1">
        <f t="array" ref="C28">INDEX('27.5-Year'!$A$1:$M$32,MATCH(_27.5_Year_Original[[#This Row],[Year No.]],'27.5-Year'!$A:$A,0),MONTH('Study Data'!$B$6)+1)</f>
        <v>3.6360000000000003E-2</v>
      </c>
      <c r="D28" s="101">
        <f t="shared" si="1"/>
        <v>0</v>
      </c>
      <c r="E28" s="101">
        <f>_27.5_Year_Original[[#This Row],[Original Basis]]*_27.5_Year_Original[[#This Row],[27.5-Year Rate]]</f>
        <v>0</v>
      </c>
      <c r="F28" s="102">
        <f>F27+_27.5_Year_Original[[#This Row],[Annual Depreciation]]</f>
        <v>0</v>
      </c>
      <c r="G28" s="104"/>
      <c r="H28" s="99">
        <f t="shared" si="8"/>
        <v>8</v>
      </c>
      <c r="I28" s="48">
        <f t="shared" si="8"/>
        <v>2031</v>
      </c>
      <c r="J28" s="103" cm="1">
        <f t="array" ref="J28">INDEX('27.5-Year'!$A$1:$M$32,MATCH(_27.5_Year_Post_CS[[#This Row],[Year No.]],'27.5-Year'!$A:$A,0),MONTH('Study Data'!$B$6)+1)</f>
        <v>3.6360000000000003E-2</v>
      </c>
      <c r="K28" s="101">
        <f t="shared" si="2"/>
        <v>0</v>
      </c>
      <c r="L28" s="101">
        <f>_27.5_Year_Post_CS[[#This Row],[Adj Basis]]*_27.5_Year_Post_CS[[#This Row],[27.5-Year Rate]]</f>
        <v>0</v>
      </c>
      <c r="M28" s="101">
        <f>M27+_27.5_Year_Post_CS[[#This Row],[Annual Depreciation]]</f>
        <v>0</v>
      </c>
      <c r="N28" s="48"/>
      <c r="O28" s="221" t="s">
        <v>96</v>
      </c>
      <c r="P28" s="271">
        <f>INDEX(Definitions!$C$2:$C$12,MATCH('Client Summary'!$G$13,Definitions!$A$2:$A$12,1))</f>
        <v>0.6</v>
      </c>
      <c r="Q28" s="272">
        <f>G12*$P$28</f>
        <v>0</v>
      </c>
      <c r="R28" s="221"/>
      <c r="S28" s="109"/>
      <c r="T28" s="221"/>
      <c r="U28" s="48"/>
      <c r="V28" s="99">
        <f>V27+1</f>
        <v>8</v>
      </c>
      <c r="W28" s="48">
        <f>W27+1</f>
        <v>2031</v>
      </c>
      <c r="X28" s="100">
        <v>4.4600000000000001E-2</v>
      </c>
      <c r="Y28" s="101">
        <f t="shared" si="4"/>
        <v>0</v>
      </c>
      <c r="Z28" s="102">
        <f>_7_Year_Post_CS[[#This Row],[Basis]]*_7_Year_Post_CS[[#This Row],[7-Year Rate]]</f>
        <v>0</v>
      </c>
      <c r="AA28" s="102">
        <f>AA27+_7_Year_Post_CS[[#This Row],[Annual Depreciation]]</f>
        <v>0</v>
      </c>
      <c r="AB28" s="48"/>
      <c r="AC28" s="99">
        <f t="shared" si="11"/>
        <v>8</v>
      </c>
      <c r="AD28" s="48">
        <f t="shared" si="11"/>
        <v>2031</v>
      </c>
      <c r="AE28" s="100">
        <v>5.8999999999999997E-2</v>
      </c>
      <c r="AF28" s="101">
        <f t="shared" si="6"/>
        <v>0</v>
      </c>
      <c r="AG28" s="102">
        <f>_15_Year_Post_CS[[#This Row],[Basis]]*_15_Year_Post_CS[[#This Row],[15-Year Rate]]</f>
        <v>0</v>
      </c>
      <c r="AH28" s="102">
        <f>AH27+_15_Year_Post_CS[[#This Row],[Annual Depreciation]]</f>
        <v>0</v>
      </c>
      <c r="AI28" s="48"/>
      <c r="AJ28" s="48"/>
      <c r="AK28" s="48"/>
      <c r="AL28" s="48"/>
      <c r="AM28" s="48"/>
      <c r="AN28" s="48"/>
      <c r="AO28" s="48"/>
      <c r="AP28" s="48"/>
      <c r="AQ28" s="48"/>
      <c r="AR28" s="48"/>
      <c r="AS28" s="48"/>
      <c r="AT28" s="48"/>
      <c r="AU28" s="48"/>
      <c r="AV28" s="48"/>
    </row>
    <row r="29" spans="1:157">
      <c r="A29" s="13">
        <f t="shared" si="7"/>
        <v>9</v>
      </c>
      <c r="B29" s="2">
        <f t="shared" si="7"/>
        <v>2032</v>
      </c>
      <c r="C29" s="34" cm="1">
        <f t="array" ref="C29">INDEX('27.5-Year'!$A$1:$M$32,MATCH(_27.5_Year_Original[[#This Row],[Year No.]],'27.5-Year'!$A:$A,0),MONTH('Study Data'!$B$6)+1)</f>
        <v>3.6360000000000003E-2</v>
      </c>
      <c r="D29" s="101">
        <f t="shared" si="1"/>
        <v>0</v>
      </c>
      <c r="E29" s="101">
        <f>_27.5_Year_Original[[#This Row],[Original Basis]]*_27.5_Year_Original[[#This Row],[27.5-Year Rate]]</f>
        <v>0</v>
      </c>
      <c r="F29" s="102">
        <f>F28+_27.5_Year_Original[[#This Row],[Annual Depreciation]]</f>
        <v>0</v>
      </c>
      <c r="G29" s="104"/>
      <c r="H29" s="99">
        <f t="shared" si="8"/>
        <v>9</v>
      </c>
      <c r="I29" s="48">
        <f t="shared" si="8"/>
        <v>2032</v>
      </c>
      <c r="J29" s="103" cm="1">
        <f t="array" ref="J29">INDEX('27.5-Year'!$A$1:$M$32,MATCH(_27.5_Year_Post_CS[[#This Row],[Year No.]],'27.5-Year'!$A:$A,0),MONTH('Study Data'!$B$6)+1)</f>
        <v>3.6360000000000003E-2</v>
      </c>
      <c r="K29" s="101">
        <f t="shared" si="2"/>
        <v>0</v>
      </c>
      <c r="L29" s="101">
        <f>_27.5_Year_Post_CS[[#This Row],[Adj Basis]]*_27.5_Year_Post_CS[[#This Row],[27.5-Year Rate]]</f>
        <v>0</v>
      </c>
      <c r="M29" s="101">
        <f>M28+_27.5_Year_Post_CS[[#This Row],[Annual Depreciation]]</f>
        <v>0</v>
      </c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Z29" s="48"/>
      <c r="AA29" s="48"/>
      <c r="AB29" s="48"/>
      <c r="AC29" s="99">
        <f t="shared" si="11"/>
        <v>9</v>
      </c>
      <c r="AD29" s="48">
        <f t="shared" si="11"/>
        <v>2032</v>
      </c>
      <c r="AE29" s="100">
        <v>5.91E-2</v>
      </c>
      <c r="AF29" s="101">
        <f t="shared" si="6"/>
        <v>0</v>
      </c>
      <c r="AG29" s="102">
        <f>_15_Year_Post_CS[[#This Row],[Basis]]*_15_Year_Post_CS[[#This Row],[15-Year Rate]]</f>
        <v>0</v>
      </c>
      <c r="AH29" s="102">
        <f>AH28+_15_Year_Post_CS[[#This Row],[Annual Depreciation]]</f>
        <v>0</v>
      </c>
      <c r="AI29" s="48"/>
      <c r="AJ29" s="48"/>
      <c r="AK29" s="48"/>
      <c r="AL29" s="48"/>
      <c r="AM29" s="48"/>
      <c r="AN29" s="48"/>
      <c r="AO29" s="48"/>
      <c r="AP29" s="48"/>
      <c r="AQ29" s="48"/>
      <c r="AR29" s="48"/>
      <c r="AS29" s="48"/>
      <c r="AT29" s="48"/>
      <c r="AU29" s="48"/>
      <c r="AV29" s="48"/>
    </row>
    <row r="30" spans="1:157">
      <c r="A30" s="13">
        <f t="shared" si="7"/>
        <v>10</v>
      </c>
      <c r="B30" s="2">
        <f t="shared" si="7"/>
        <v>2033</v>
      </c>
      <c r="C30" s="34" cm="1">
        <f t="array" ref="C30">INDEX('27.5-Year'!$A$1:$M$32,MATCH(_27.5_Year_Original[[#This Row],[Year No.]],'27.5-Year'!$A:$A,0),MONTH('Study Data'!$B$6)+1)</f>
        <v>3.637E-2</v>
      </c>
      <c r="D30" s="101">
        <f t="shared" si="1"/>
        <v>0</v>
      </c>
      <c r="E30" s="101">
        <f>_27.5_Year_Original[[#This Row],[Original Basis]]*_27.5_Year_Original[[#This Row],[27.5-Year Rate]]</f>
        <v>0</v>
      </c>
      <c r="F30" s="102">
        <f>F29+_27.5_Year_Original[[#This Row],[Annual Depreciation]]</f>
        <v>0</v>
      </c>
      <c r="G30" s="104"/>
      <c r="H30" s="99">
        <f t="shared" si="8"/>
        <v>10</v>
      </c>
      <c r="I30" s="48">
        <f t="shared" si="8"/>
        <v>2033</v>
      </c>
      <c r="J30" s="103" cm="1">
        <f t="array" ref="J30">INDEX('27.5-Year'!$A$1:$M$32,MATCH(_27.5_Year_Post_CS[[#This Row],[Year No.]],'27.5-Year'!$A:$A,0),MONTH('Study Data'!$B$6)+1)</f>
        <v>3.637E-2</v>
      </c>
      <c r="K30" s="101">
        <f t="shared" si="2"/>
        <v>0</v>
      </c>
      <c r="L30" s="101">
        <f>_27.5_Year_Post_CS[[#This Row],[Adj Basis]]*_27.5_Year_Post_CS[[#This Row],[27.5-Year Rate]]</f>
        <v>0</v>
      </c>
      <c r="M30" s="101">
        <f>M29+_27.5_Year_Post_CS[[#This Row],[Annual Depreciation]]</f>
        <v>0</v>
      </c>
      <c r="N30" s="48"/>
      <c r="O30" s="48"/>
      <c r="P30" s="48"/>
      <c r="Q30" s="48"/>
      <c r="R30" s="48"/>
      <c r="S30" s="48"/>
      <c r="T30" s="48"/>
      <c r="U30" s="48"/>
      <c r="V30" s="273" t="s">
        <v>96</v>
      </c>
      <c r="W30" s="271">
        <f>INDEX(Definitions!$C$2:$C$12,MATCH('Client Summary'!$G$13,Definitions!$A$2:$A$12,1))</f>
        <v>0.6</v>
      </c>
      <c r="X30" s="272">
        <f>$G$13*$W$30</f>
        <v>0</v>
      </c>
      <c r="Y30" s="273"/>
      <c r="Z30" s="41"/>
      <c r="AA30" s="273"/>
      <c r="AB30" s="48"/>
      <c r="AC30" s="99">
        <f t="shared" si="11"/>
        <v>10</v>
      </c>
      <c r="AD30" s="48">
        <f t="shared" si="11"/>
        <v>2033</v>
      </c>
      <c r="AE30" s="100">
        <v>5.8999999999999997E-2</v>
      </c>
      <c r="AF30" s="101">
        <f t="shared" si="6"/>
        <v>0</v>
      </c>
      <c r="AG30" s="102">
        <f>_15_Year_Post_CS[[#This Row],[Basis]]*_15_Year_Post_CS[[#This Row],[15-Year Rate]]</f>
        <v>0</v>
      </c>
      <c r="AH30" s="102">
        <f>AH29+_15_Year_Post_CS[[#This Row],[Annual Depreciation]]</f>
        <v>0</v>
      </c>
      <c r="AI30" s="48"/>
      <c r="AJ30" s="48"/>
      <c r="AK30" s="48"/>
      <c r="AL30" s="48"/>
      <c r="AM30" s="48"/>
      <c r="AN30" s="48"/>
      <c r="AO30" s="48"/>
      <c r="AP30" s="48"/>
      <c r="AQ30" s="48"/>
      <c r="AR30" s="48"/>
      <c r="AS30" s="48"/>
      <c r="AT30" s="48"/>
      <c r="AU30" s="48"/>
      <c r="AV30" s="48"/>
    </row>
    <row r="31" spans="1:157">
      <c r="A31" s="13">
        <f t="shared" si="7"/>
        <v>11</v>
      </c>
      <c r="B31" s="2">
        <f t="shared" si="7"/>
        <v>2034</v>
      </c>
      <c r="C31" s="34" cm="1">
        <f t="array" ref="C31">INDEX('27.5-Year'!$A$1:$M$32,MATCH(_27.5_Year_Original[[#This Row],[Year No.]],'27.5-Year'!$A:$A,0),MONTH('Study Data'!$B$6)+1)</f>
        <v>3.6360000000000003E-2</v>
      </c>
      <c r="D31" s="101">
        <f t="shared" si="1"/>
        <v>0</v>
      </c>
      <c r="E31" s="101">
        <f>_27.5_Year_Original[[#This Row],[Original Basis]]*_27.5_Year_Original[[#This Row],[27.5-Year Rate]]</f>
        <v>0</v>
      </c>
      <c r="F31" s="102">
        <f>F30+_27.5_Year_Original[[#This Row],[Annual Depreciation]]</f>
        <v>0</v>
      </c>
      <c r="G31" s="104"/>
      <c r="H31" s="99">
        <f t="shared" si="8"/>
        <v>11</v>
      </c>
      <c r="I31" s="48">
        <f t="shared" si="8"/>
        <v>2034</v>
      </c>
      <c r="J31" s="103" cm="1">
        <f t="array" ref="J31">INDEX('27.5-Year'!$A$1:$M$32,MATCH(_27.5_Year_Post_CS[[#This Row],[Year No.]],'27.5-Year'!$A:$A,0),MONTH('Study Data'!$B$6)+1)</f>
        <v>3.6360000000000003E-2</v>
      </c>
      <c r="K31" s="101">
        <f t="shared" si="2"/>
        <v>0</v>
      </c>
      <c r="L31" s="101">
        <f>_27.5_Year_Post_CS[[#This Row],[Adj Basis]]*_27.5_Year_Post_CS[[#This Row],[27.5-Year Rate]]</f>
        <v>0</v>
      </c>
      <c r="M31" s="101">
        <f>M30+_27.5_Year_Post_CS[[#This Row],[Annual Depreciation]]</f>
        <v>0</v>
      </c>
      <c r="N31" s="48"/>
      <c r="O31" s="48"/>
      <c r="P31" s="48"/>
      <c r="Q31" s="48"/>
      <c r="R31" s="48"/>
      <c r="S31" s="48"/>
      <c r="T31" s="48"/>
      <c r="U31" s="48"/>
      <c r="V31" s="48"/>
      <c r="X31" s="48"/>
      <c r="Y31" s="48"/>
      <c r="Z31" s="102"/>
      <c r="AA31" s="48"/>
      <c r="AB31" s="48"/>
      <c r="AC31" s="99">
        <f t="shared" si="11"/>
        <v>11</v>
      </c>
      <c r="AD31" s="48">
        <f t="shared" si="11"/>
        <v>2034</v>
      </c>
      <c r="AE31" s="100">
        <v>5.91E-2</v>
      </c>
      <c r="AF31" s="101">
        <f t="shared" si="6"/>
        <v>0</v>
      </c>
      <c r="AG31" s="102">
        <f>_15_Year_Post_CS[[#This Row],[Basis]]*_15_Year_Post_CS[[#This Row],[15-Year Rate]]</f>
        <v>0</v>
      </c>
      <c r="AH31" s="102">
        <f>AH30+_15_Year_Post_CS[[#This Row],[Annual Depreciation]]</f>
        <v>0</v>
      </c>
      <c r="AI31" s="48"/>
      <c r="AJ31" s="48"/>
      <c r="AK31" s="48"/>
      <c r="AL31" s="48"/>
      <c r="AM31" s="48"/>
      <c r="AN31" s="48"/>
      <c r="AO31" s="48"/>
      <c r="AP31" s="48"/>
      <c r="AQ31" s="48"/>
      <c r="AR31" s="48"/>
      <c r="AS31" s="48"/>
      <c r="AT31" s="48"/>
      <c r="AU31" s="48"/>
      <c r="AV31" s="48"/>
    </row>
    <row r="32" spans="1:157">
      <c r="A32" s="13">
        <f t="shared" si="7"/>
        <v>12</v>
      </c>
      <c r="B32" s="2">
        <f t="shared" si="7"/>
        <v>2035</v>
      </c>
      <c r="C32" s="34" cm="1">
        <f t="array" ref="C32">INDEX('27.5-Year'!$A$1:$M$32,MATCH(_27.5_Year_Original[[#This Row],[Year No.]],'27.5-Year'!$A:$A,0),MONTH('Study Data'!$B$6)+1)</f>
        <v>3.637E-2</v>
      </c>
      <c r="D32" s="101">
        <f t="shared" si="1"/>
        <v>0</v>
      </c>
      <c r="E32" s="101">
        <f>_27.5_Year_Original[[#This Row],[Original Basis]]*_27.5_Year_Original[[#This Row],[27.5-Year Rate]]</f>
        <v>0</v>
      </c>
      <c r="F32" s="102">
        <f>F31+_27.5_Year_Original[[#This Row],[Annual Depreciation]]</f>
        <v>0</v>
      </c>
      <c r="G32" s="104"/>
      <c r="H32" s="99">
        <f t="shared" si="8"/>
        <v>12</v>
      </c>
      <c r="I32" s="48">
        <f t="shared" si="8"/>
        <v>2035</v>
      </c>
      <c r="J32" s="103" cm="1">
        <f t="array" ref="J32">INDEX('27.5-Year'!$A$1:$M$32,MATCH(_27.5_Year_Post_CS[[#This Row],[Year No.]],'27.5-Year'!$A:$A,0),MONTH('Study Data'!$B$6)+1)</f>
        <v>3.637E-2</v>
      </c>
      <c r="K32" s="101">
        <f t="shared" si="2"/>
        <v>0</v>
      </c>
      <c r="L32" s="101">
        <f>_27.5_Year_Post_CS[[#This Row],[Adj Basis]]*_27.5_Year_Post_CS[[#This Row],[27.5-Year Rate]]</f>
        <v>0</v>
      </c>
      <c r="M32" s="101">
        <f>M31+_27.5_Year_Post_CS[[#This Row],[Annual Depreciation]]</f>
        <v>0</v>
      </c>
      <c r="N32" s="48"/>
      <c r="O32" s="48"/>
      <c r="P32" s="48"/>
      <c r="Q32" s="48"/>
      <c r="R32" s="48"/>
      <c r="S32" s="48"/>
      <c r="T32" s="48"/>
      <c r="U32" s="48"/>
      <c r="V32" s="48"/>
      <c r="W32" s="48"/>
      <c r="X32" s="48"/>
      <c r="Y32" s="48"/>
      <c r="Z32" s="48"/>
      <c r="AA32" s="48"/>
      <c r="AB32" s="48"/>
      <c r="AC32" s="99">
        <f t="shared" si="11"/>
        <v>12</v>
      </c>
      <c r="AD32" s="48">
        <f t="shared" si="11"/>
        <v>2035</v>
      </c>
      <c r="AE32" s="100">
        <v>5.8999999999999997E-2</v>
      </c>
      <c r="AF32" s="101">
        <f t="shared" si="6"/>
        <v>0</v>
      </c>
      <c r="AG32" s="102">
        <f>_15_Year_Post_CS[[#This Row],[Basis]]*_15_Year_Post_CS[[#This Row],[15-Year Rate]]</f>
        <v>0</v>
      </c>
      <c r="AH32" s="102">
        <f>AH31+_15_Year_Post_CS[[#This Row],[Annual Depreciation]]</f>
        <v>0</v>
      </c>
      <c r="AI32" s="48"/>
      <c r="AJ32" s="48"/>
      <c r="AK32" s="48"/>
      <c r="AL32" s="48"/>
      <c r="AM32" s="48"/>
      <c r="AN32" s="48"/>
      <c r="AO32" s="48"/>
      <c r="AP32" s="48"/>
      <c r="AQ32" s="48"/>
      <c r="AR32" s="48"/>
      <c r="AS32" s="48"/>
      <c r="AT32" s="48"/>
      <c r="AU32" s="48"/>
      <c r="AV32" s="48"/>
    </row>
    <row r="33" spans="1:48">
      <c r="A33" s="13">
        <f t="shared" si="7"/>
        <v>13</v>
      </c>
      <c r="B33" s="2">
        <f t="shared" si="7"/>
        <v>2036</v>
      </c>
      <c r="C33" s="34" cm="1">
        <f t="array" ref="C33">INDEX('27.5-Year'!$A$1:$M$32,MATCH(_27.5_Year_Original[[#This Row],[Year No.]],'27.5-Year'!$A:$A,0),MONTH('Study Data'!$B$6)+1)</f>
        <v>3.6360000000000003E-2</v>
      </c>
      <c r="D33" s="101">
        <f t="shared" si="1"/>
        <v>0</v>
      </c>
      <c r="E33" s="101">
        <f>_27.5_Year_Original[[#This Row],[Original Basis]]*_27.5_Year_Original[[#This Row],[27.5-Year Rate]]</f>
        <v>0</v>
      </c>
      <c r="F33" s="102">
        <f>F32+_27.5_Year_Original[[#This Row],[Annual Depreciation]]</f>
        <v>0</v>
      </c>
      <c r="G33" s="104"/>
      <c r="H33" s="99">
        <f t="shared" si="8"/>
        <v>13</v>
      </c>
      <c r="I33" s="48">
        <f t="shared" si="8"/>
        <v>2036</v>
      </c>
      <c r="J33" s="103" cm="1">
        <f t="array" ref="J33">INDEX('27.5-Year'!$A$1:$M$32,MATCH(_27.5_Year_Post_CS[[#This Row],[Year No.]],'27.5-Year'!$A:$A,0),MONTH('Study Data'!$B$6)+1)</f>
        <v>3.6360000000000003E-2</v>
      </c>
      <c r="K33" s="101">
        <f t="shared" si="2"/>
        <v>0</v>
      </c>
      <c r="L33" s="101">
        <f>_27.5_Year_Post_CS[[#This Row],[Adj Basis]]*_27.5_Year_Post_CS[[#This Row],[27.5-Year Rate]]</f>
        <v>0</v>
      </c>
      <c r="M33" s="101">
        <f>M32+_27.5_Year_Post_CS[[#This Row],[Annual Depreciation]]</f>
        <v>0</v>
      </c>
      <c r="N33" s="48"/>
      <c r="O33" s="48"/>
      <c r="P33" s="48"/>
      <c r="Q33" s="48"/>
      <c r="R33" s="48"/>
      <c r="S33" s="48"/>
      <c r="T33" s="48"/>
      <c r="U33" s="48"/>
      <c r="V33" s="48"/>
      <c r="W33" s="48"/>
      <c r="X33" s="48"/>
      <c r="Y33" s="48"/>
      <c r="Z33" s="48"/>
      <c r="AA33" s="48"/>
      <c r="AB33" s="48"/>
      <c r="AC33" s="99">
        <f t="shared" si="11"/>
        <v>13</v>
      </c>
      <c r="AD33" s="48">
        <f t="shared" si="11"/>
        <v>2036</v>
      </c>
      <c r="AE33" s="100">
        <v>5.91E-2</v>
      </c>
      <c r="AF33" s="101">
        <f t="shared" si="6"/>
        <v>0</v>
      </c>
      <c r="AG33" s="102">
        <f>_15_Year_Post_CS[[#This Row],[Basis]]*_15_Year_Post_CS[[#This Row],[15-Year Rate]]</f>
        <v>0</v>
      </c>
      <c r="AH33" s="102">
        <f>AH32+_15_Year_Post_CS[[#This Row],[Annual Depreciation]]</f>
        <v>0</v>
      </c>
      <c r="AI33" s="48"/>
      <c r="AJ33" s="48"/>
      <c r="AK33" s="48"/>
      <c r="AL33" s="48"/>
      <c r="AM33" s="48"/>
      <c r="AN33" s="48"/>
      <c r="AO33" s="48"/>
      <c r="AP33" s="48"/>
      <c r="AQ33" s="48"/>
      <c r="AR33" s="48"/>
      <c r="AS33" s="48"/>
      <c r="AT33" s="48"/>
      <c r="AU33" s="48"/>
      <c r="AV33" s="48"/>
    </row>
    <row r="34" spans="1:48">
      <c r="A34" s="13">
        <f t="shared" si="7"/>
        <v>14</v>
      </c>
      <c r="B34" s="2">
        <f t="shared" si="7"/>
        <v>2037</v>
      </c>
      <c r="C34" s="34" cm="1">
        <f t="array" ref="C34">INDEX('27.5-Year'!$A$1:$M$32,MATCH(_27.5_Year_Original[[#This Row],[Year No.]],'27.5-Year'!$A:$A,0),MONTH('Study Data'!$B$6)+1)</f>
        <v>3.637E-2</v>
      </c>
      <c r="D34" s="101">
        <f t="shared" si="1"/>
        <v>0</v>
      </c>
      <c r="E34" s="101">
        <f>_27.5_Year_Original[[#This Row],[Original Basis]]*_27.5_Year_Original[[#This Row],[27.5-Year Rate]]</f>
        <v>0</v>
      </c>
      <c r="F34" s="102">
        <f>F33+_27.5_Year_Original[[#This Row],[Annual Depreciation]]</f>
        <v>0</v>
      </c>
      <c r="G34" s="104"/>
      <c r="H34" s="99">
        <f t="shared" si="8"/>
        <v>14</v>
      </c>
      <c r="I34" s="48">
        <f t="shared" si="8"/>
        <v>2037</v>
      </c>
      <c r="J34" s="103" cm="1">
        <f t="array" ref="J34">INDEX('27.5-Year'!$A$1:$M$32,MATCH(_27.5_Year_Post_CS[[#This Row],[Year No.]],'27.5-Year'!$A:$A,0),MONTH('Study Data'!$B$6)+1)</f>
        <v>3.637E-2</v>
      </c>
      <c r="K34" s="101">
        <f t="shared" si="2"/>
        <v>0</v>
      </c>
      <c r="L34" s="101">
        <f>_27.5_Year_Post_CS[[#This Row],[Adj Basis]]*_27.5_Year_Post_CS[[#This Row],[27.5-Year Rate]]</f>
        <v>0</v>
      </c>
      <c r="M34" s="101">
        <f>M33+_27.5_Year_Post_CS[[#This Row],[Annual Depreciation]]</f>
        <v>0</v>
      </c>
      <c r="N34" s="48"/>
      <c r="O34" s="48"/>
      <c r="P34" s="48"/>
      <c r="Q34" s="48"/>
      <c r="R34" s="48"/>
      <c r="S34" s="48"/>
      <c r="T34" s="48"/>
      <c r="U34" s="48"/>
      <c r="V34" s="48"/>
      <c r="W34" s="48"/>
      <c r="X34" s="48"/>
      <c r="Y34" s="48"/>
      <c r="Z34" s="48"/>
      <c r="AA34" s="48"/>
      <c r="AB34" s="48"/>
      <c r="AC34" s="99">
        <f t="shared" si="11"/>
        <v>14</v>
      </c>
      <c r="AD34" s="48">
        <f t="shared" si="11"/>
        <v>2037</v>
      </c>
      <c r="AE34" s="100">
        <v>5.8999999999999997E-2</v>
      </c>
      <c r="AF34" s="101">
        <f t="shared" si="6"/>
        <v>0</v>
      </c>
      <c r="AG34" s="102">
        <f>_15_Year_Post_CS[[#This Row],[Basis]]*_15_Year_Post_CS[[#This Row],[15-Year Rate]]</f>
        <v>0</v>
      </c>
      <c r="AH34" s="102">
        <f>AH33+_15_Year_Post_CS[[#This Row],[Annual Depreciation]]</f>
        <v>0</v>
      </c>
      <c r="AI34" s="48"/>
      <c r="AJ34" s="48"/>
      <c r="AK34" s="48"/>
      <c r="AL34" s="48"/>
      <c r="AM34" s="48"/>
      <c r="AN34" s="48"/>
      <c r="AO34" s="48"/>
      <c r="AP34" s="48"/>
      <c r="AQ34" s="48"/>
      <c r="AR34" s="48"/>
      <c r="AS34" s="48"/>
      <c r="AT34" s="48"/>
      <c r="AU34" s="48"/>
      <c r="AV34" s="48"/>
    </row>
    <row r="35" spans="1:48">
      <c r="A35" s="13">
        <f t="shared" si="7"/>
        <v>15</v>
      </c>
      <c r="B35" s="2">
        <f t="shared" si="7"/>
        <v>2038</v>
      </c>
      <c r="C35" s="34" cm="1">
        <f t="array" ref="C35">INDEX('27.5-Year'!$A$1:$M$32,MATCH(_27.5_Year_Original[[#This Row],[Year No.]],'27.5-Year'!$A:$A,0),MONTH('Study Data'!$B$6)+1)</f>
        <v>3.6360000000000003E-2</v>
      </c>
      <c r="D35" s="101">
        <f t="shared" si="1"/>
        <v>0</v>
      </c>
      <c r="E35" s="101">
        <f>_27.5_Year_Original[[#This Row],[Original Basis]]*_27.5_Year_Original[[#This Row],[27.5-Year Rate]]</f>
        <v>0</v>
      </c>
      <c r="F35" s="102">
        <f>F34+_27.5_Year_Original[[#This Row],[Annual Depreciation]]</f>
        <v>0</v>
      </c>
      <c r="G35" s="104"/>
      <c r="H35" s="99">
        <f t="shared" si="8"/>
        <v>15</v>
      </c>
      <c r="I35" s="48">
        <f t="shared" si="8"/>
        <v>2038</v>
      </c>
      <c r="J35" s="103" cm="1">
        <f t="array" ref="J35">INDEX('27.5-Year'!$A$1:$M$32,MATCH(_27.5_Year_Post_CS[[#This Row],[Year No.]],'27.5-Year'!$A:$A,0),MONTH('Study Data'!$B$6)+1)</f>
        <v>3.6360000000000003E-2</v>
      </c>
      <c r="K35" s="101">
        <f t="shared" si="2"/>
        <v>0</v>
      </c>
      <c r="L35" s="101">
        <f>_27.5_Year_Post_CS[[#This Row],[Adj Basis]]*_27.5_Year_Post_CS[[#This Row],[27.5-Year Rate]]</f>
        <v>0</v>
      </c>
      <c r="M35" s="101">
        <f>M34+_27.5_Year_Post_CS[[#This Row],[Annual Depreciation]]</f>
        <v>0</v>
      </c>
      <c r="N35" s="48"/>
      <c r="O35" s="48"/>
      <c r="P35" s="48"/>
      <c r="Q35" s="48"/>
      <c r="R35" s="48"/>
      <c r="S35" s="48"/>
      <c r="T35" s="48"/>
      <c r="U35" s="48"/>
      <c r="V35" s="48"/>
      <c r="W35" s="48"/>
      <c r="X35" s="48"/>
      <c r="Y35" s="48"/>
      <c r="Z35" s="48"/>
      <c r="AA35" s="48"/>
      <c r="AB35" s="48"/>
      <c r="AC35" s="99">
        <f t="shared" si="11"/>
        <v>15</v>
      </c>
      <c r="AD35" s="48">
        <f t="shared" si="11"/>
        <v>2038</v>
      </c>
      <c r="AE35" s="100">
        <v>5.91E-2</v>
      </c>
      <c r="AF35" s="101">
        <f t="shared" si="6"/>
        <v>0</v>
      </c>
      <c r="AG35" s="102">
        <f>_15_Year_Post_CS[[#This Row],[Basis]]*_15_Year_Post_CS[[#This Row],[15-Year Rate]]</f>
        <v>0</v>
      </c>
      <c r="AH35" s="102">
        <f>AH34+_15_Year_Post_CS[[#This Row],[Annual Depreciation]]</f>
        <v>0</v>
      </c>
      <c r="AI35" s="48"/>
      <c r="AJ35" s="48"/>
      <c r="AK35" s="48"/>
      <c r="AL35" s="48"/>
      <c r="AM35" s="48"/>
      <c r="AN35" s="48"/>
      <c r="AO35" s="48"/>
      <c r="AP35" s="48"/>
      <c r="AQ35" s="48"/>
      <c r="AR35" s="48"/>
      <c r="AS35" s="48"/>
      <c r="AT35" s="48"/>
      <c r="AU35" s="48"/>
      <c r="AV35" s="48"/>
    </row>
    <row r="36" spans="1:48">
      <c r="A36" s="13">
        <f t="shared" si="7"/>
        <v>16</v>
      </c>
      <c r="B36" s="2">
        <f t="shared" si="7"/>
        <v>2039</v>
      </c>
      <c r="C36" s="34" cm="1">
        <f t="array" ref="C36">INDEX('27.5-Year'!$A$1:$M$32,MATCH(_27.5_Year_Original[[#This Row],[Year No.]],'27.5-Year'!$A:$A,0),MONTH('Study Data'!$B$6)+1)</f>
        <v>3.637E-2</v>
      </c>
      <c r="D36" s="101">
        <f t="shared" si="1"/>
        <v>0</v>
      </c>
      <c r="E36" s="101">
        <f>_27.5_Year_Original[[#This Row],[Original Basis]]*_27.5_Year_Original[[#This Row],[27.5-Year Rate]]</f>
        <v>0</v>
      </c>
      <c r="F36" s="102">
        <f>F35+_27.5_Year_Original[[#This Row],[Annual Depreciation]]</f>
        <v>0</v>
      </c>
      <c r="G36" s="104"/>
      <c r="H36" s="99">
        <f t="shared" si="8"/>
        <v>16</v>
      </c>
      <c r="I36" s="48">
        <f t="shared" si="8"/>
        <v>2039</v>
      </c>
      <c r="J36" s="103" cm="1">
        <f t="array" ref="J36">INDEX('27.5-Year'!$A$1:$M$32,MATCH(_27.5_Year_Post_CS[[#This Row],[Year No.]],'27.5-Year'!$A:$A,0),MONTH('Study Data'!$B$6)+1)</f>
        <v>3.637E-2</v>
      </c>
      <c r="K36" s="101">
        <f t="shared" si="2"/>
        <v>0</v>
      </c>
      <c r="L36" s="101">
        <f>_27.5_Year_Post_CS[[#This Row],[Adj Basis]]*_27.5_Year_Post_CS[[#This Row],[27.5-Year Rate]]</f>
        <v>0</v>
      </c>
      <c r="M36" s="101">
        <f>M35+_27.5_Year_Post_CS[[#This Row],[Annual Depreciation]]</f>
        <v>0</v>
      </c>
      <c r="N36" s="48"/>
      <c r="O36" s="48"/>
      <c r="P36" s="48"/>
      <c r="Q36" s="48"/>
      <c r="R36" s="48"/>
      <c r="S36" s="48"/>
      <c r="T36" s="48"/>
      <c r="U36" s="48"/>
      <c r="V36" s="48"/>
      <c r="W36" s="48"/>
      <c r="X36" s="48"/>
      <c r="Y36" s="48"/>
      <c r="Z36" s="48"/>
      <c r="AA36" s="48"/>
      <c r="AB36" s="48"/>
      <c r="AC36" s="99">
        <f t="shared" si="11"/>
        <v>16</v>
      </c>
      <c r="AD36" s="48">
        <f t="shared" si="11"/>
        <v>2039</v>
      </c>
      <c r="AE36" s="100">
        <v>2.9499999999999998E-2</v>
      </c>
      <c r="AF36" s="101">
        <f t="shared" si="6"/>
        <v>0</v>
      </c>
      <c r="AG36" s="102">
        <f>_15_Year_Post_CS[[#This Row],[Basis]]*_15_Year_Post_CS[[#This Row],[15-Year Rate]]</f>
        <v>0</v>
      </c>
      <c r="AH36" s="102">
        <f>AH35+_15_Year_Post_CS[[#This Row],[Annual Depreciation]]</f>
        <v>0</v>
      </c>
      <c r="AI36" s="48"/>
      <c r="AJ36" s="48"/>
      <c r="AK36" s="48"/>
      <c r="AL36" s="48"/>
      <c r="AM36" s="48"/>
      <c r="AN36" s="48"/>
      <c r="AO36" s="48"/>
      <c r="AP36" s="48"/>
      <c r="AQ36" s="48"/>
      <c r="AR36" s="48"/>
      <c r="AS36" s="48"/>
      <c r="AT36" s="48"/>
      <c r="AU36" s="48"/>
      <c r="AV36" s="48"/>
    </row>
    <row r="37" spans="1:48">
      <c r="A37" s="13">
        <f t="shared" si="7"/>
        <v>17</v>
      </c>
      <c r="B37" s="2">
        <f t="shared" si="7"/>
        <v>2040</v>
      </c>
      <c r="C37" s="34" cm="1">
        <f t="array" ref="C37">INDEX('27.5-Year'!$A$1:$M$32,MATCH(_27.5_Year_Original[[#This Row],[Year No.]],'27.5-Year'!$A:$A,0),MONTH('Study Data'!$B$6)+1)</f>
        <v>3.6360000000000003E-2</v>
      </c>
      <c r="D37" s="101">
        <f t="shared" si="1"/>
        <v>0</v>
      </c>
      <c r="E37" s="101">
        <f>_27.5_Year_Original[[#This Row],[Original Basis]]*_27.5_Year_Original[[#This Row],[27.5-Year Rate]]</f>
        <v>0</v>
      </c>
      <c r="F37" s="102">
        <f>F36+_27.5_Year_Original[[#This Row],[Annual Depreciation]]</f>
        <v>0</v>
      </c>
      <c r="G37" s="104"/>
      <c r="H37" s="99">
        <f t="shared" si="8"/>
        <v>17</v>
      </c>
      <c r="I37" s="48">
        <f t="shared" si="8"/>
        <v>2040</v>
      </c>
      <c r="J37" s="103" cm="1">
        <f t="array" ref="J37">INDEX('27.5-Year'!$A$1:$M$32,MATCH(_27.5_Year_Post_CS[[#This Row],[Year No.]],'27.5-Year'!$A:$A,0),MONTH('Study Data'!$B$6)+1)</f>
        <v>3.6360000000000003E-2</v>
      </c>
      <c r="K37" s="101">
        <f t="shared" si="2"/>
        <v>0</v>
      </c>
      <c r="L37" s="101">
        <f>_27.5_Year_Post_CS[[#This Row],[Adj Basis]]*_27.5_Year_Post_CS[[#This Row],[27.5-Year Rate]]</f>
        <v>0</v>
      </c>
      <c r="M37" s="101">
        <f>M36+_27.5_Year_Post_CS[[#This Row],[Annual Depreciation]]</f>
        <v>0</v>
      </c>
      <c r="N37" s="48"/>
      <c r="O37" s="48"/>
      <c r="P37" s="48"/>
      <c r="Q37" s="48"/>
      <c r="R37" s="48"/>
      <c r="S37" s="48"/>
      <c r="T37" s="48"/>
      <c r="U37" s="48"/>
      <c r="V37" s="48"/>
      <c r="W37" s="48"/>
      <c r="X37" s="48"/>
      <c r="Y37" s="48"/>
      <c r="Z37" s="48"/>
      <c r="AA37" s="48"/>
      <c r="AB37" s="48"/>
      <c r="AC37" s="48"/>
      <c r="AD37" s="48"/>
      <c r="AE37" s="48"/>
      <c r="AF37" s="48"/>
      <c r="AG37" s="48"/>
      <c r="AH37" s="48"/>
      <c r="AI37" s="48"/>
      <c r="AJ37" s="48"/>
      <c r="AK37" s="48"/>
      <c r="AL37" s="48"/>
      <c r="AM37" s="48"/>
      <c r="AN37" s="48"/>
      <c r="AO37" s="48"/>
      <c r="AP37" s="48"/>
      <c r="AQ37" s="48"/>
      <c r="AR37" s="48"/>
      <c r="AS37" s="48"/>
      <c r="AT37" s="48"/>
      <c r="AU37" s="48"/>
      <c r="AV37" s="48"/>
    </row>
    <row r="38" spans="1:48">
      <c r="A38" s="13">
        <f t="shared" si="7"/>
        <v>18</v>
      </c>
      <c r="B38" s="2">
        <f t="shared" si="7"/>
        <v>2041</v>
      </c>
      <c r="C38" s="34" cm="1">
        <f t="array" ref="C38">INDEX('27.5-Year'!$A$1:$M$32,MATCH(_27.5_Year_Original[[#This Row],[Year No.]],'27.5-Year'!$A:$A,0),MONTH('Study Data'!$B$6)+1)</f>
        <v>3.637E-2</v>
      </c>
      <c r="D38" s="101">
        <f t="shared" si="1"/>
        <v>0</v>
      </c>
      <c r="E38" s="101">
        <f>_27.5_Year_Original[[#This Row],[Original Basis]]*_27.5_Year_Original[[#This Row],[27.5-Year Rate]]</f>
        <v>0</v>
      </c>
      <c r="F38" s="102">
        <f>F37+_27.5_Year_Original[[#This Row],[Annual Depreciation]]</f>
        <v>0</v>
      </c>
      <c r="G38" s="104"/>
      <c r="H38" s="99">
        <f t="shared" si="8"/>
        <v>18</v>
      </c>
      <c r="I38" s="48">
        <f t="shared" si="8"/>
        <v>2041</v>
      </c>
      <c r="J38" s="103" cm="1">
        <f t="array" ref="J38">INDEX('27.5-Year'!$A$1:$M$32,MATCH(_27.5_Year_Post_CS[[#This Row],[Year No.]],'27.5-Year'!$A:$A,0),MONTH('Study Data'!$B$6)+1)</f>
        <v>3.637E-2</v>
      </c>
      <c r="K38" s="101">
        <f t="shared" si="2"/>
        <v>0</v>
      </c>
      <c r="L38" s="101">
        <f>_27.5_Year_Post_CS[[#This Row],[Adj Basis]]*_27.5_Year_Post_CS[[#This Row],[27.5-Year Rate]]</f>
        <v>0</v>
      </c>
      <c r="M38" s="101">
        <f>M37+_27.5_Year_Post_CS[[#This Row],[Annual Depreciation]]</f>
        <v>0</v>
      </c>
      <c r="N38" s="48"/>
      <c r="O38" s="48"/>
      <c r="P38" s="48"/>
      <c r="Q38" s="48"/>
      <c r="R38" s="48"/>
      <c r="S38" s="48"/>
      <c r="T38" s="48"/>
      <c r="U38" s="48"/>
      <c r="V38" s="48"/>
      <c r="W38" s="48"/>
      <c r="X38" s="48"/>
      <c r="Y38" s="48"/>
      <c r="Z38" s="48"/>
      <c r="AA38" s="48"/>
      <c r="AB38" s="48"/>
      <c r="AC38" s="273" t="s">
        <v>96</v>
      </c>
      <c r="AD38" s="271">
        <f>INDEX(Definitions!$C$2:$C$12,MATCH('Client Summary'!$G$13,Definitions!$A$2:$A$12,1))</f>
        <v>0.6</v>
      </c>
      <c r="AE38" s="272">
        <f>$G$14*$AD$38</f>
        <v>0</v>
      </c>
      <c r="AF38" s="273"/>
      <c r="AG38" s="41"/>
      <c r="AH38" s="273"/>
      <c r="AI38" s="48"/>
      <c r="AJ38" s="48"/>
      <c r="AK38" s="48"/>
      <c r="AL38" s="48"/>
      <c r="AM38" s="48"/>
      <c r="AN38" s="48"/>
      <c r="AO38" s="48"/>
      <c r="AP38" s="48"/>
      <c r="AQ38" s="48"/>
      <c r="AR38" s="48"/>
      <c r="AS38" s="48"/>
      <c r="AT38" s="48"/>
      <c r="AU38" s="48"/>
      <c r="AV38" s="48"/>
    </row>
    <row r="39" spans="1:48">
      <c r="A39" s="13">
        <f t="shared" ref="A39:B49" si="12">A38+1</f>
        <v>19</v>
      </c>
      <c r="B39" s="2">
        <f t="shared" si="12"/>
        <v>2042</v>
      </c>
      <c r="C39" s="34" cm="1">
        <f t="array" ref="C39">INDEX('27.5-Year'!$A$1:$M$32,MATCH(_27.5_Year_Original[[#This Row],[Year No.]],'27.5-Year'!$A:$A,0),MONTH('Study Data'!$B$6)+1)</f>
        <v>3.6360000000000003E-2</v>
      </c>
      <c r="D39" s="101">
        <f t="shared" si="1"/>
        <v>0</v>
      </c>
      <c r="E39" s="101">
        <f>_27.5_Year_Original[[#This Row],[Original Basis]]*_27.5_Year_Original[[#This Row],[27.5-Year Rate]]</f>
        <v>0</v>
      </c>
      <c r="F39" s="102">
        <f>F38+_27.5_Year_Original[[#This Row],[Annual Depreciation]]</f>
        <v>0</v>
      </c>
      <c r="G39" s="104"/>
      <c r="H39" s="99">
        <f t="shared" ref="H39:I49" si="13">H38+1</f>
        <v>19</v>
      </c>
      <c r="I39" s="48">
        <f t="shared" si="13"/>
        <v>2042</v>
      </c>
      <c r="J39" s="103" cm="1">
        <f t="array" ref="J39">INDEX('27.5-Year'!$A$1:$M$32,MATCH(_27.5_Year_Post_CS[[#This Row],[Year No.]],'27.5-Year'!$A:$A,0),MONTH('Study Data'!$B$6)+1)</f>
        <v>3.6360000000000003E-2</v>
      </c>
      <c r="K39" s="101">
        <f t="shared" si="2"/>
        <v>0</v>
      </c>
      <c r="L39" s="101">
        <f>_27.5_Year_Post_CS[[#This Row],[Adj Basis]]*_27.5_Year_Post_CS[[#This Row],[27.5-Year Rate]]</f>
        <v>0</v>
      </c>
      <c r="M39" s="101">
        <f>M38+_27.5_Year_Post_CS[[#This Row],[Annual Depreciation]]</f>
        <v>0</v>
      </c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8"/>
      <c r="Z39" s="48"/>
      <c r="AA39" s="48"/>
      <c r="AB39" s="48"/>
      <c r="AC39" s="48"/>
      <c r="AD39" s="48"/>
      <c r="AE39" s="48"/>
      <c r="AF39" s="48"/>
      <c r="AG39" s="48"/>
      <c r="AH39" s="48"/>
      <c r="AI39" s="48"/>
      <c r="AJ39" s="48"/>
      <c r="AK39" s="48"/>
      <c r="AL39" s="48"/>
      <c r="AM39" s="48"/>
      <c r="AN39" s="48"/>
      <c r="AO39" s="48"/>
      <c r="AP39" s="48"/>
      <c r="AQ39" s="48"/>
      <c r="AR39" s="48"/>
      <c r="AS39" s="48"/>
      <c r="AT39" s="48"/>
      <c r="AU39" s="48"/>
      <c r="AV39" s="48"/>
    </row>
    <row r="40" spans="1:48">
      <c r="A40" s="13">
        <f t="shared" si="12"/>
        <v>20</v>
      </c>
      <c r="B40" s="2">
        <f t="shared" si="12"/>
        <v>2043</v>
      </c>
      <c r="C40" s="34" cm="1">
        <f t="array" ref="C40">INDEX('27.5-Year'!$A$1:$M$32,MATCH(_27.5_Year_Original[[#This Row],[Year No.]],'27.5-Year'!$A:$A,0),MONTH('Study Data'!$B$6)+1)</f>
        <v>3.637E-2</v>
      </c>
      <c r="D40" s="101">
        <f t="shared" si="1"/>
        <v>0</v>
      </c>
      <c r="E40" s="101">
        <f>_27.5_Year_Original[[#This Row],[Original Basis]]*_27.5_Year_Original[[#This Row],[27.5-Year Rate]]</f>
        <v>0</v>
      </c>
      <c r="F40" s="102">
        <f>F39+_27.5_Year_Original[[#This Row],[Annual Depreciation]]</f>
        <v>0</v>
      </c>
      <c r="G40" s="104"/>
      <c r="H40" s="99">
        <f t="shared" si="13"/>
        <v>20</v>
      </c>
      <c r="I40" s="48">
        <f t="shared" si="13"/>
        <v>2043</v>
      </c>
      <c r="J40" s="103" cm="1">
        <f t="array" ref="J40">INDEX('27.5-Year'!$A$1:$M$32,MATCH(_27.5_Year_Post_CS[[#This Row],[Year No.]],'27.5-Year'!$A:$A,0),MONTH('Study Data'!$B$6)+1)</f>
        <v>3.637E-2</v>
      </c>
      <c r="K40" s="101">
        <f t="shared" si="2"/>
        <v>0</v>
      </c>
      <c r="L40" s="101">
        <f>_27.5_Year_Post_CS[[#This Row],[Adj Basis]]*_27.5_Year_Post_CS[[#This Row],[27.5-Year Rate]]</f>
        <v>0</v>
      </c>
      <c r="M40" s="101">
        <f>M39+_27.5_Year_Post_CS[[#This Row],[Annual Depreciation]]</f>
        <v>0</v>
      </c>
      <c r="N40" s="48"/>
      <c r="O40" s="48"/>
      <c r="P40" s="48"/>
      <c r="Q40" s="48"/>
      <c r="R40" s="48"/>
      <c r="S40" s="48"/>
      <c r="T40" s="48"/>
      <c r="U40" s="48"/>
      <c r="V40" s="48"/>
      <c r="W40" s="48"/>
      <c r="X40" s="48"/>
      <c r="Y40" s="48"/>
      <c r="Z40" s="48"/>
      <c r="AA40" s="48"/>
      <c r="AB40" s="48"/>
      <c r="AC40" s="48"/>
      <c r="AD40" s="48"/>
      <c r="AE40" s="48"/>
      <c r="AF40" s="48"/>
      <c r="AG40" s="48"/>
      <c r="AH40" s="48"/>
      <c r="AI40" s="48"/>
      <c r="AJ40" s="48"/>
      <c r="AK40" s="48"/>
      <c r="AL40" s="48"/>
      <c r="AM40" s="48"/>
      <c r="AN40" s="48"/>
      <c r="AO40" s="48"/>
      <c r="AP40" s="48"/>
      <c r="AQ40" s="48"/>
      <c r="AR40" s="48"/>
      <c r="AS40" s="48"/>
      <c r="AT40" s="48"/>
      <c r="AU40" s="48"/>
      <c r="AV40" s="48"/>
    </row>
    <row r="41" spans="1:48">
      <c r="A41" s="13">
        <f t="shared" si="12"/>
        <v>21</v>
      </c>
      <c r="B41" s="2">
        <f t="shared" si="12"/>
        <v>2044</v>
      </c>
      <c r="C41" s="34" cm="1">
        <f t="array" ref="C41">INDEX('27.5-Year'!$A$1:$M$32,MATCH(_27.5_Year_Original[[#This Row],[Year No.]],'27.5-Year'!$A:$A,0),MONTH('Study Data'!$B$6)+1)</f>
        <v>3.6360000000000003E-2</v>
      </c>
      <c r="D41" s="101">
        <f t="shared" si="1"/>
        <v>0</v>
      </c>
      <c r="E41" s="101">
        <f>_27.5_Year_Original[[#This Row],[Original Basis]]*_27.5_Year_Original[[#This Row],[27.5-Year Rate]]</f>
        <v>0</v>
      </c>
      <c r="F41" s="102">
        <f>F40+_27.5_Year_Original[[#This Row],[Annual Depreciation]]</f>
        <v>0</v>
      </c>
      <c r="G41" s="104"/>
      <c r="H41" s="99">
        <f t="shared" si="13"/>
        <v>21</v>
      </c>
      <c r="I41" s="48">
        <f t="shared" si="13"/>
        <v>2044</v>
      </c>
      <c r="J41" s="103" cm="1">
        <f t="array" ref="J41">INDEX('27.5-Year'!$A$1:$M$32,MATCH(_27.5_Year_Post_CS[[#This Row],[Year No.]],'27.5-Year'!$A:$A,0),MONTH('Study Data'!$B$6)+1)</f>
        <v>3.6360000000000003E-2</v>
      </c>
      <c r="K41" s="101">
        <f t="shared" si="2"/>
        <v>0</v>
      </c>
      <c r="L41" s="101">
        <f>_27.5_Year_Post_CS[[#This Row],[Adj Basis]]*_27.5_Year_Post_CS[[#This Row],[27.5-Year Rate]]</f>
        <v>0</v>
      </c>
      <c r="M41" s="101">
        <f>M40+_27.5_Year_Post_CS[[#This Row],[Annual Depreciation]]</f>
        <v>0</v>
      </c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  <c r="AA41" s="48"/>
      <c r="AB41" s="48"/>
      <c r="AC41" s="48"/>
      <c r="AD41" s="48"/>
      <c r="AE41" s="48"/>
      <c r="AF41" s="48"/>
      <c r="AG41" s="48"/>
      <c r="AH41" s="48"/>
      <c r="AI41" s="48"/>
      <c r="AJ41" s="48"/>
      <c r="AK41" s="48"/>
      <c r="AL41" s="48"/>
      <c r="AM41" s="48"/>
      <c r="AN41" s="48"/>
      <c r="AO41" s="48"/>
      <c r="AP41" s="48"/>
      <c r="AQ41" s="48"/>
      <c r="AR41" s="48"/>
      <c r="AS41" s="48"/>
      <c r="AT41" s="48"/>
      <c r="AU41" s="48"/>
      <c r="AV41" s="48"/>
    </row>
    <row r="42" spans="1:48">
      <c r="A42" s="13">
        <f t="shared" si="12"/>
        <v>22</v>
      </c>
      <c r="B42" s="2">
        <f t="shared" si="12"/>
        <v>2045</v>
      </c>
      <c r="C42" s="34" cm="1">
        <f t="array" ref="C42">INDEX('27.5-Year'!$A$1:$M$32,MATCH(_27.5_Year_Original[[#This Row],[Year No.]],'27.5-Year'!$A:$A,0),MONTH('Study Data'!$B$6)+1)</f>
        <v>3.637E-2</v>
      </c>
      <c r="D42" s="101">
        <f t="shared" si="1"/>
        <v>0</v>
      </c>
      <c r="E42" s="101">
        <f>_27.5_Year_Original[[#This Row],[Original Basis]]*_27.5_Year_Original[[#This Row],[27.5-Year Rate]]</f>
        <v>0</v>
      </c>
      <c r="F42" s="102">
        <f>F41+_27.5_Year_Original[[#This Row],[Annual Depreciation]]</f>
        <v>0</v>
      </c>
      <c r="G42" s="104"/>
      <c r="H42" s="99">
        <f t="shared" si="13"/>
        <v>22</v>
      </c>
      <c r="I42" s="48">
        <f t="shared" si="13"/>
        <v>2045</v>
      </c>
      <c r="J42" s="103" cm="1">
        <f t="array" ref="J42">INDEX('27.5-Year'!$A$1:$M$32,MATCH(_27.5_Year_Post_CS[[#This Row],[Year No.]],'27.5-Year'!$A:$A,0),MONTH('Study Data'!$B$6)+1)</f>
        <v>3.637E-2</v>
      </c>
      <c r="K42" s="101">
        <f t="shared" si="2"/>
        <v>0</v>
      </c>
      <c r="L42" s="101">
        <f>_27.5_Year_Post_CS[[#This Row],[Adj Basis]]*_27.5_Year_Post_CS[[#This Row],[27.5-Year Rate]]</f>
        <v>0</v>
      </c>
      <c r="M42" s="101">
        <f>M41+_27.5_Year_Post_CS[[#This Row],[Annual Depreciation]]</f>
        <v>0</v>
      </c>
      <c r="N42" s="48"/>
      <c r="O42" s="48"/>
      <c r="P42" s="48"/>
      <c r="Q42" s="48"/>
      <c r="R42" s="48"/>
      <c r="S42" s="48"/>
      <c r="T42" s="48"/>
      <c r="U42" s="48"/>
      <c r="V42" s="48"/>
      <c r="W42" s="48"/>
      <c r="X42" s="48"/>
      <c r="Y42" s="48"/>
      <c r="Z42" s="48"/>
      <c r="AA42" s="48"/>
      <c r="AB42" s="48"/>
      <c r="AC42" s="48"/>
      <c r="AD42" s="48"/>
      <c r="AE42" s="48"/>
      <c r="AF42" s="48"/>
      <c r="AG42" s="48"/>
      <c r="AH42" s="48"/>
      <c r="AI42" s="48"/>
      <c r="AJ42" s="48"/>
      <c r="AK42" s="48"/>
      <c r="AL42" s="48"/>
      <c r="AM42" s="48"/>
      <c r="AN42" s="48"/>
      <c r="AO42" s="48"/>
      <c r="AP42" s="48"/>
      <c r="AQ42" s="48"/>
      <c r="AR42" s="48"/>
      <c r="AS42" s="48"/>
      <c r="AT42" s="48"/>
      <c r="AU42" s="48"/>
      <c r="AV42" s="48"/>
    </row>
    <row r="43" spans="1:48">
      <c r="A43" s="13">
        <f t="shared" si="12"/>
        <v>23</v>
      </c>
      <c r="B43" s="2">
        <f t="shared" si="12"/>
        <v>2046</v>
      </c>
      <c r="C43" s="34" cm="1">
        <f t="array" ref="C43">INDEX('27.5-Year'!$A$1:$M$32,MATCH(_27.5_Year_Original[[#This Row],[Year No.]],'27.5-Year'!$A:$A,0),MONTH('Study Data'!$B$6)+1)</f>
        <v>3.6360000000000003E-2</v>
      </c>
      <c r="D43" s="101">
        <f t="shared" si="1"/>
        <v>0</v>
      </c>
      <c r="E43" s="101">
        <f>_27.5_Year_Original[[#This Row],[Original Basis]]*_27.5_Year_Original[[#This Row],[27.5-Year Rate]]</f>
        <v>0</v>
      </c>
      <c r="F43" s="102">
        <f>F42+_27.5_Year_Original[[#This Row],[Annual Depreciation]]</f>
        <v>0</v>
      </c>
      <c r="G43" s="104"/>
      <c r="H43" s="99">
        <f t="shared" si="13"/>
        <v>23</v>
      </c>
      <c r="I43" s="48">
        <f t="shared" si="13"/>
        <v>2046</v>
      </c>
      <c r="J43" s="103" cm="1">
        <f t="array" ref="J43">INDEX('27.5-Year'!$A$1:$M$32,MATCH(_27.5_Year_Post_CS[[#This Row],[Year No.]],'27.5-Year'!$A:$A,0),MONTH('Study Data'!$B$6)+1)</f>
        <v>3.6360000000000003E-2</v>
      </c>
      <c r="K43" s="101">
        <f t="shared" si="2"/>
        <v>0</v>
      </c>
      <c r="L43" s="101">
        <f>_27.5_Year_Post_CS[[#This Row],[Adj Basis]]*_27.5_Year_Post_CS[[#This Row],[27.5-Year Rate]]</f>
        <v>0</v>
      </c>
      <c r="M43" s="101">
        <f>M42+_27.5_Year_Post_CS[[#This Row],[Annual Depreciation]]</f>
        <v>0</v>
      </c>
      <c r="N43" s="48"/>
      <c r="O43" s="48"/>
      <c r="P43" s="48"/>
      <c r="Q43" s="48"/>
      <c r="R43" s="48"/>
      <c r="S43" s="48"/>
      <c r="T43" s="48"/>
      <c r="U43" s="48"/>
      <c r="V43" s="48"/>
      <c r="W43" s="48"/>
      <c r="X43" s="48"/>
      <c r="Y43" s="48"/>
      <c r="Z43" s="48"/>
      <c r="AA43" s="48"/>
      <c r="AB43" s="48"/>
      <c r="AC43" s="48"/>
      <c r="AD43" s="48"/>
      <c r="AE43" s="48"/>
      <c r="AF43" s="48"/>
      <c r="AG43" s="48"/>
      <c r="AH43" s="48"/>
      <c r="AI43" s="48"/>
      <c r="AJ43" s="48"/>
      <c r="AK43" s="48"/>
      <c r="AL43" s="48"/>
      <c r="AM43" s="48"/>
      <c r="AN43" s="48"/>
      <c r="AO43" s="48"/>
      <c r="AP43" s="48"/>
      <c r="AQ43" s="48"/>
      <c r="AR43" s="48"/>
      <c r="AS43" s="48"/>
      <c r="AT43" s="48"/>
      <c r="AU43" s="48"/>
      <c r="AV43" s="48"/>
    </row>
    <row r="44" spans="1:48">
      <c r="A44" s="13">
        <f t="shared" si="12"/>
        <v>24</v>
      </c>
      <c r="B44" s="2">
        <f t="shared" si="12"/>
        <v>2047</v>
      </c>
      <c r="C44" s="34" cm="1">
        <f t="array" ref="C44">INDEX('27.5-Year'!$A$1:$M$32,MATCH(_27.5_Year_Original[[#This Row],[Year No.]],'27.5-Year'!$A:$A,0),MONTH('Study Data'!$B$6)+1)</f>
        <v>3.637E-2</v>
      </c>
      <c r="D44" s="101">
        <f t="shared" si="1"/>
        <v>0</v>
      </c>
      <c r="E44" s="101">
        <f>_27.5_Year_Original[[#This Row],[Original Basis]]*_27.5_Year_Original[[#This Row],[27.5-Year Rate]]</f>
        <v>0</v>
      </c>
      <c r="F44" s="102">
        <f>F43+_27.5_Year_Original[[#This Row],[Annual Depreciation]]</f>
        <v>0</v>
      </c>
      <c r="G44" s="104"/>
      <c r="H44" s="99">
        <f t="shared" si="13"/>
        <v>24</v>
      </c>
      <c r="I44" s="48">
        <f t="shared" si="13"/>
        <v>2047</v>
      </c>
      <c r="J44" s="103" cm="1">
        <f t="array" ref="J44">INDEX('27.5-Year'!$A$1:$M$32,MATCH(_27.5_Year_Post_CS[[#This Row],[Year No.]],'27.5-Year'!$A:$A,0),MONTH('Study Data'!$B$6)+1)</f>
        <v>3.637E-2</v>
      </c>
      <c r="K44" s="101">
        <f t="shared" si="2"/>
        <v>0</v>
      </c>
      <c r="L44" s="101">
        <f>_27.5_Year_Post_CS[[#This Row],[Adj Basis]]*_27.5_Year_Post_CS[[#This Row],[27.5-Year Rate]]</f>
        <v>0</v>
      </c>
      <c r="M44" s="101">
        <f>M43+_27.5_Year_Post_CS[[#This Row],[Annual Depreciation]]</f>
        <v>0</v>
      </c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  <c r="Z44" s="48"/>
      <c r="AA44" s="48"/>
      <c r="AB44" s="48"/>
      <c r="AC44" s="48"/>
      <c r="AD44" s="48"/>
      <c r="AE44" s="48"/>
      <c r="AF44" s="48"/>
      <c r="AG44" s="48"/>
      <c r="AH44" s="48"/>
      <c r="AI44" s="48"/>
      <c r="AJ44" s="48"/>
      <c r="AK44" s="48"/>
      <c r="AL44" s="48"/>
      <c r="AM44" s="48"/>
      <c r="AN44" s="48"/>
      <c r="AO44" s="48"/>
      <c r="AP44" s="48"/>
      <c r="AQ44" s="48"/>
      <c r="AR44" s="48"/>
      <c r="AS44" s="48"/>
      <c r="AT44" s="48"/>
      <c r="AU44" s="48"/>
      <c r="AV44" s="48"/>
    </row>
    <row r="45" spans="1:48">
      <c r="A45" s="13">
        <f t="shared" si="12"/>
        <v>25</v>
      </c>
      <c r="B45" s="2">
        <f t="shared" si="12"/>
        <v>2048</v>
      </c>
      <c r="C45" s="34" cm="1">
        <f t="array" ref="C45">INDEX('27.5-Year'!$A$1:$M$32,MATCH(_27.5_Year_Original[[#This Row],[Year No.]],'27.5-Year'!$A:$A,0),MONTH('Study Data'!$B$6)+1)</f>
        <v>3.6360000000000003E-2</v>
      </c>
      <c r="D45" s="101">
        <f t="shared" si="1"/>
        <v>0</v>
      </c>
      <c r="E45" s="101">
        <f>_27.5_Year_Original[[#This Row],[Original Basis]]*_27.5_Year_Original[[#This Row],[27.5-Year Rate]]</f>
        <v>0</v>
      </c>
      <c r="F45" s="102">
        <f>F44+_27.5_Year_Original[[#This Row],[Annual Depreciation]]</f>
        <v>0</v>
      </c>
      <c r="G45" s="104"/>
      <c r="H45" s="99">
        <f t="shared" si="13"/>
        <v>25</v>
      </c>
      <c r="I45" s="48">
        <f t="shared" si="13"/>
        <v>2048</v>
      </c>
      <c r="J45" s="103" cm="1">
        <f t="array" ref="J45">INDEX('27.5-Year'!$A$1:$M$32,MATCH(_27.5_Year_Post_CS[[#This Row],[Year No.]],'27.5-Year'!$A:$A,0),MONTH('Study Data'!$B$6)+1)</f>
        <v>3.6360000000000003E-2</v>
      </c>
      <c r="K45" s="101">
        <f t="shared" si="2"/>
        <v>0</v>
      </c>
      <c r="L45" s="101">
        <f>_27.5_Year_Post_CS[[#This Row],[Adj Basis]]*_27.5_Year_Post_CS[[#This Row],[27.5-Year Rate]]</f>
        <v>0</v>
      </c>
      <c r="M45" s="101">
        <f>M44+_27.5_Year_Post_CS[[#This Row],[Annual Depreciation]]</f>
        <v>0</v>
      </c>
      <c r="N45" s="48"/>
      <c r="O45" s="48"/>
      <c r="P45" s="48"/>
      <c r="Q45" s="48"/>
      <c r="R45" s="48"/>
      <c r="S45" s="48"/>
      <c r="T45" s="48"/>
      <c r="U45" s="48"/>
      <c r="V45" s="48"/>
      <c r="W45" s="48"/>
      <c r="X45" s="48"/>
      <c r="Y45" s="48"/>
      <c r="Z45" s="48"/>
      <c r="AA45" s="48"/>
      <c r="AB45" s="48"/>
      <c r="AC45" s="48"/>
      <c r="AD45" s="48"/>
      <c r="AE45" s="48"/>
      <c r="AF45" s="48"/>
      <c r="AG45" s="48"/>
      <c r="AH45" s="48"/>
      <c r="AI45" s="48"/>
      <c r="AJ45" s="48"/>
      <c r="AK45" s="48"/>
      <c r="AL45" s="48"/>
      <c r="AM45" s="48"/>
      <c r="AN45" s="48"/>
      <c r="AO45" s="48"/>
      <c r="AP45" s="48"/>
      <c r="AQ45" s="48"/>
      <c r="AR45" s="48"/>
      <c r="AS45" s="48"/>
      <c r="AT45" s="48"/>
      <c r="AU45" s="48"/>
      <c r="AV45" s="48"/>
    </row>
    <row r="46" spans="1:48">
      <c r="A46" s="13">
        <f t="shared" si="12"/>
        <v>26</v>
      </c>
      <c r="B46" s="2">
        <f t="shared" si="12"/>
        <v>2049</v>
      </c>
      <c r="C46" s="34" cm="1">
        <f t="array" ref="C46">INDEX('27.5-Year'!$A$1:$M$32,MATCH(_27.5_Year_Original[[#This Row],[Year No.]],'27.5-Year'!$A:$A,0),MONTH('Study Data'!$B$6)+1)</f>
        <v>3.637E-2</v>
      </c>
      <c r="D46" s="101">
        <f t="shared" si="1"/>
        <v>0</v>
      </c>
      <c r="E46" s="101">
        <f>_27.5_Year_Original[[#This Row],[Original Basis]]*_27.5_Year_Original[[#This Row],[27.5-Year Rate]]</f>
        <v>0</v>
      </c>
      <c r="F46" s="102">
        <f>F45+_27.5_Year_Original[[#This Row],[Annual Depreciation]]</f>
        <v>0</v>
      </c>
      <c r="G46" s="104"/>
      <c r="H46" s="99">
        <f t="shared" si="13"/>
        <v>26</v>
      </c>
      <c r="I46" s="48">
        <f t="shared" si="13"/>
        <v>2049</v>
      </c>
      <c r="J46" s="103" cm="1">
        <f t="array" ref="J46">INDEX('27.5-Year'!$A$1:$M$32,MATCH(_27.5_Year_Post_CS[[#This Row],[Year No.]],'27.5-Year'!$A:$A,0),MONTH('Study Data'!$B$6)+1)</f>
        <v>3.637E-2</v>
      </c>
      <c r="K46" s="101">
        <f t="shared" si="2"/>
        <v>0</v>
      </c>
      <c r="L46" s="101">
        <f>_27.5_Year_Post_CS[[#This Row],[Adj Basis]]*_27.5_Year_Post_CS[[#This Row],[27.5-Year Rate]]</f>
        <v>0</v>
      </c>
      <c r="M46" s="101">
        <f>M45+_27.5_Year_Post_CS[[#This Row],[Annual Depreciation]]</f>
        <v>0</v>
      </c>
      <c r="N46" s="48"/>
      <c r="O46" s="48"/>
      <c r="P46" s="48"/>
      <c r="Q46" s="48"/>
      <c r="R46" s="48"/>
      <c r="S46" s="48"/>
      <c r="T46" s="48"/>
      <c r="U46" s="48"/>
      <c r="V46" s="48"/>
      <c r="W46" s="48"/>
      <c r="X46" s="48"/>
      <c r="Y46" s="48"/>
      <c r="Z46" s="48"/>
      <c r="AA46" s="48"/>
      <c r="AB46" s="48"/>
      <c r="AC46" s="48"/>
      <c r="AD46" s="48"/>
      <c r="AE46" s="48"/>
      <c r="AF46" s="48"/>
      <c r="AG46" s="48"/>
      <c r="AH46" s="48"/>
      <c r="AI46" s="48"/>
      <c r="AJ46" s="48"/>
      <c r="AK46" s="48"/>
      <c r="AL46" s="48"/>
      <c r="AM46" s="48"/>
      <c r="AN46" s="48"/>
      <c r="AO46" s="48"/>
      <c r="AP46" s="48"/>
      <c r="AQ46" s="48"/>
      <c r="AR46" s="48"/>
      <c r="AS46" s="48"/>
      <c r="AT46" s="48"/>
      <c r="AU46" s="48"/>
      <c r="AV46" s="48"/>
    </row>
    <row r="47" spans="1:48">
      <c r="A47" s="13">
        <f t="shared" si="12"/>
        <v>27</v>
      </c>
      <c r="B47" s="2">
        <f t="shared" si="12"/>
        <v>2050</v>
      </c>
      <c r="C47" s="34" cm="1">
        <f t="array" ref="C47">INDEX('27.5-Year'!$A$1:$M$32,MATCH(_27.5_Year_Original[[#This Row],[Year No.]],'27.5-Year'!$A:$A,0),MONTH('Study Data'!$B$6)+1)</f>
        <v>3.6360000000000003E-2</v>
      </c>
      <c r="D47" s="101">
        <f t="shared" si="1"/>
        <v>0</v>
      </c>
      <c r="E47" s="101">
        <f>_27.5_Year_Original[[#This Row],[Original Basis]]*_27.5_Year_Original[[#This Row],[27.5-Year Rate]]</f>
        <v>0</v>
      </c>
      <c r="F47" s="102">
        <f>F46+_27.5_Year_Original[[#This Row],[Annual Depreciation]]</f>
        <v>0</v>
      </c>
      <c r="G47" s="104"/>
      <c r="H47" s="99">
        <f t="shared" si="13"/>
        <v>27</v>
      </c>
      <c r="I47" s="48">
        <f t="shared" si="13"/>
        <v>2050</v>
      </c>
      <c r="J47" s="103" cm="1">
        <f t="array" ref="J47">INDEX('27.5-Year'!$A$1:$M$32,MATCH(_27.5_Year_Post_CS[[#This Row],[Year No.]],'27.5-Year'!$A:$A,0),MONTH('Study Data'!$B$6)+1)</f>
        <v>3.6360000000000003E-2</v>
      </c>
      <c r="K47" s="101">
        <f t="shared" si="2"/>
        <v>0</v>
      </c>
      <c r="L47" s="101">
        <f>_27.5_Year_Post_CS[[#This Row],[Adj Basis]]*_27.5_Year_Post_CS[[#This Row],[27.5-Year Rate]]</f>
        <v>0</v>
      </c>
      <c r="M47" s="101">
        <f>M46+_27.5_Year_Post_CS[[#This Row],[Annual Depreciation]]</f>
        <v>0</v>
      </c>
      <c r="N47" s="48"/>
      <c r="O47" s="48"/>
      <c r="P47" s="48"/>
      <c r="Q47" s="48"/>
      <c r="R47" s="48"/>
      <c r="S47" s="48"/>
      <c r="T47" s="48"/>
      <c r="U47" s="48"/>
      <c r="V47" s="48"/>
      <c r="W47" s="48"/>
      <c r="X47" s="48"/>
      <c r="Y47" s="48"/>
      <c r="Z47" s="48"/>
      <c r="AA47" s="48"/>
      <c r="AB47" s="48"/>
      <c r="AC47" s="48"/>
      <c r="AD47" s="48"/>
      <c r="AE47" s="48"/>
      <c r="AF47" s="48"/>
      <c r="AG47" s="48"/>
      <c r="AH47" s="48"/>
      <c r="AI47" s="48"/>
      <c r="AJ47" s="48"/>
      <c r="AK47" s="48"/>
      <c r="AL47" s="48"/>
      <c r="AM47" s="48"/>
      <c r="AN47" s="48"/>
      <c r="AO47" s="48"/>
      <c r="AP47" s="48"/>
      <c r="AQ47" s="48"/>
      <c r="AR47" s="48"/>
      <c r="AS47" s="48"/>
      <c r="AT47" s="48"/>
      <c r="AU47" s="48"/>
      <c r="AV47" s="48"/>
    </row>
    <row r="48" spans="1:48">
      <c r="A48" s="13">
        <f t="shared" si="12"/>
        <v>28</v>
      </c>
      <c r="B48" s="2">
        <f t="shared" si="12"/>
        <v>2051</v>
      </c>
      <c r="C48" s="34" cm="1">
        <f t="array" ref="C48">INDEX('27.5-Year'!$A$1:$M$32,MATCH(_27.5_Year_Original[[#This Row],[Year No.]],'27.5-Year'!$A:$A,0),MONTH('Study Data'!$B$6)+1)</f>
        <v>1.9699999999999999E-2</v>
      </c>
      <c r="D48" s="101">
        <f t="shared" si="1"/>
        <v>0</v>
      </c>
      <c r="E48" s="101">
        <f>_27.5_Year_Original[[#This Row],[Original Basis]]*_27.5_Year_Original[[#This Row],[27.5-Year Rate]]</f>
        <v>0</v>
      </c>
      <c r="F48" s="102">
        <f>F47+_27.5_Year_Original[[#This Row],[Annual Depreciation]]</f>
        <v>0</v>
      </c>
      <c r="G48" s="104"/>
      <c r="H48" s="99">
        <f t="shared" si="13"/>
        <v>28</v>
      </c>
      <c r="I48" s="48">
        <f t="shared" si="13"/>
        <v>2051</v>
      </c>
      <c r="J48" s="103" cm="1">
        <f t="array" ref="J48">INDEX('27.5-Year'!$A$1:$M$32,MATCH(_27.5_Year_Post_CS[[#This Row],[Year No.]],'27.5-Year'!$A:$A,0),MONTH('Study Data'!$B$6)+1)</f>
        <v>1.9699999999999999E-2</v>
      </c>
      <c r="K48" s="101">
        <f t="shared" si="2"/>
        <v>0</v>
      </c>
      <c r="L48" s="101">
        <f>_27.5_Year_Post_CS[[#This Row],[Adj Basis]]*_27.5_Year_Post_CS[[#This Row],[27.5-Year Rate]]</f>
        <v>0</v>
      </c>
      <c r="M48" s="101">
        <f>M47+_27.5_Year_Post_CS[[#This Row],[Annual Depreciation]]</f>
        <v>0</v>
      </c>
      <c r="N48" s="48"/>
      <c r="O48" s="48"/>
      <c r="P48" s="48"/>
      <c r="Q48" s="48"/>
      <c r="R48" s="48"/>
      <c r="S48" s="48"/>
      <c r="T48" s="48"/>
      <c r="U48" s="48"/>
      <c r="V48" s="48"/>
      <c r="W48" s="48"/>
      <c r="X48" s="48"/>
      <c r="Y48" s="48"/>
      <c r="Z48" s="48"/>
      <c r="AA48" s="48"/>
      <c r="AB48" s="48"/>
      <c r="AC48" s="48"/>
      <c r="AD48" s="48"/>
      <c r="AE48" s="48"/>
      <c r="AF48" s="48"/>
      <c r="AG48" s="48"/>
      <c r="AH48" s="48"/>
      <c r="AI48" s="48"/>
      <c r="AJ48" s="48"/>
      <c r="AK48" s="48"/>
      <c r="AL48" s="48"/>
      <c r="AM48" s="48"/>
      <c r="AN48" s="48"/>
      <c r="AO48" s="48"/>
      <c r="AP48" s="48"/>
      <c r="AQ48" s="48"/>
      <c r="AR48" s="48"/>
      <c r="AS48" s="48"/>
      <c r="AT48" s="48"/>
      <c r="AU48" s="48"/>
      <c r="AV48" s="48"/>
    </row>
    <row r="49" spans="1:48">
      <c r="A49" s="13">
        <f t="shared" si="12"/>
        <v>29</v>
      </c>
      <c r="B49" s="2">
        <f t="shared" si="12"/>
        <v>2052</v>
      </c>
      <c r="C49" s="34" cm="1">
        <f t="array" ref="C49">INDEX('27.5-Year'!$A$1:$M$32,MATCH(_27.5_Year_Original[[#This Row],[Year No.]],'27.5-Year'!$A:$A,0),MONTH('Study Data'!$B$6)+1)</f>
        <v>0</v>
      </c>
      <c r="D49" s="101">
        <f t="shared" si="1"/>
        <v>0</v>
      </c>
      <c r="E49" s="101">
        <f>_27.5_Year_Original[[#This Row],[Original Basis]]*_27.5_Year_Original[[#This Row],[27.5-Year Rate]]</f>
        <v>0</v>
      </c>
      <c r="F49" s="102">
        <f>F48+_27.5_Year_Original[[#This Row],[Annual Depreciation]]</f>
        <v>0</v>
      </c>
      <c r="G49" s="104"/>
      <c r="H49" s="99">
        <f t="shared" si="13"/>
        <v>29</v>
      </c>
      <c r="I49" s="48">
        <f t="shared" si="13"/>
        <v>2052</v>
      </c>
      <c r="J49" s="103" cm="1">
        <f t="array" ref="J49">INDEX('27.5-Year'!$A$1:$M$32,MATCH(_27.5_Year_Post_CS[[#This Row],[Year No.]],'27.5-Year'!$A:$A,0),MONTH('Study Data'!$B$6)+1)</f>
        <v>0</v>
      </c>
      <c r="K49" s="101">
        <f t="shared" si="2"/>
        <v>0</v>
      </c>
      <c r="L49" s="101">
        <f>_27.5_Year_Post_CS[[#This Row],[Adj Basis]]*_27.5_Year_Post_CS[[#This Row],[27.5-Year Rate]]</f>
        <v>0</v>
      </c>
      <c r="M49" s="101">
        <f>M48+_27.5_Year_Post_CS[[#This Row],[Annual Depreciation]]</f>
        <v>0</v>
      </c>
      <c r="N49" s="48"/>
      <c r="O49" s="48"/>
      <c r="P49" s="48"/>
      <c r="Q49" s="48"/>
      <c r="R49" s="48"/>
      <c r="S49" s="48"/>
      <c r="T49" s="48"/>
      <c r="U49" s="48"/>
      <c r="V49" s="48"/>
      <c r="W49" s="48"/>
      <c r="X49" s="48"/>
      <c r="Y49" s="48"/>
      <c r="Z49" s="48"/>
      <c r="AA49" s="48"/>
      <c r="AB49" s="48"/>
      <c r="AC49" s="48"/>
      <c r="AD49" s="48"/>
      <c r="AE49" s="48"/>
      <c r="AF49" s="48"/>
      <c r="AG49" s="48"/>
      <c r="AH49" s="48"/>
      <c r="AI49" s="48"/>
      <c r="AJ49" s="48"/>
      <c r="AK49" s="48"/>
      <c r="AL49" s="48"/>
      <c r="AM49" s="48"/>
      <c r="AN49" s="48"/>
      <c r="AO49" s="48"/>
      <c r="AP49" s="48"/>
      <c r="AQ49" s="48"/>
      <c r="AR49" s="48"/>
      <c r="AS49" s="48"/>
      <c r="AT49" s="48"/>
      <c r="AU49" s="48"/>
      <c r="AV49" s="48"/>
    </row>
    <row r="50" spans="1:48">
      <c r="D50" s="48"/>
      <c r="E50" s="48"/>
      <c r="F50" s="48"/>
      <c r="G50" s="48"/>
      <c r="H50" s="48"/>
      <c r="I50" s="48"/>
      <c r="J50" s="99"/>
      <c r="K50" s="48"/>
      <c r="L50" s="48"/>
      <c r="M50" s="48"/>
      <c r="N50" s="48"/>
      <c r="O50" s="48"/>
      <c r="P50" s="48"/>
      <c r="Q50" s="48"/>
      <c r="R50" s="48"/>
      <c r="S50" s="48"/>
      <c r="T50" s="48"/>
      <c r="U50" s="48"/>
      <c r="V50" s="48"/>
      <c r="W50" s="48"/>
      <c r="X50" s="48"/>
      <c r="Y50" s="48"/>
      <c r="Z50" s="48"/>
      <c r="AA50" s="48"/>
      <c r="AB50" s="48"/>
      <c r="AC50" s="48"/>
      <c r="AD50" s="48"/>
      <c r="AE50" s="48"/>
      <c r="AF50" s="48"/>
      <c r="AG50" s="48"/>
      <c r="AH50" s="48"/>
      <c r="AI50" s="48"/>
      <c r="AJ50" s="48"/>
      <c r="AK50" s="48"/>
      <c r="AL50" s="48"/>
      <c r="AM50" s="48"/>
      <c r="AN50" s="48"/>
      <c r="AO50" s="48"/>
      <c r="AP50" s="48"/>
      <c r="AQ50" s="48"/>
      <c r="AR50" s="48"/>
      <c r="AS50" s="48"/>
      <c r="AT50" s="48"/>
      <c r="AU50" s="48"/>
      <c r="AV50" s="48"/>
    </row>
    <row r="51" spans="1:48">
      <c r="D51" s="48"/>
      <c r="E51" s="48"/>
      <c r="F51" s="48"/>
      <c r="G51" s="48"/>
      <c r="H51" s="48"/>
      <c r="I51" s="48"/>
      <c r="J51" s="99"/>
      <c r="K51" s="48"/>
      <c r="L51" s="48"/>
      <c r="M51" s="48"/>
      <c r="N51" s="48"/>
      <c r="O51" s="48"/>
      <c r="P51" s="48"/>
      <c r="Q51" s="48"/>
      <c r="R51" s="48"/>
      <c r="S51" s="48"/>
      <c r="T51" s="48"/>
      <c r="U51" s="48"/>
      <c r="V51" s="48"/>
      <c r="W51" s="48"/>
      <c r="X51" s="48"/>
      <c r="Y51" s="48"/>
      <c r="Z51" s="48"/>
      <c r="AA51" s="48"/>
      <c r="AB51" s="48"/>
      <c r="AC51" s="48"/>
      <c r="AD51" s="48"/>
      <c r="AE51" s="48"/>
      <c r="AF51" s="48"/>
      <c r="AG51" s="48"/>
      <c r="AH51" s="48"/>
      <c r="AI51" s="48"/>
      <c r="AJ51" s="48"/>
      <c r="AK51" s="48"/>
      <c r="AL51" s="48"/>
      <c r="AM51" s="48"/>
      <c r="AN51" s="48"/>
      <c r="AO51" s="48"/>
      <c r="AP51" s="48"/>
      <c r="AQ51" s="48"/>
      <c r="AR51" s="48"/>
      <c r="AS51" s="48"/>
      <c r="AT51" s="48"/>
      <c r="AU51" s="48"/>
      <c r="AV51" s="48"/>
    </row>
    <row r="52" spans="1:48">
      <c r="A52" s="281" t="s">
        <v>78</v>
      </c>
      <c r="B52" s="281"/>
      <c r="C52" s="281"/>
      <c r="D52" s="281"/>
      <c r="E52" s="281"/>
      <c r="F52" s="281"/>
      <c r="H52" s="282" t="s">
        <v>79</v>
      </c>
      <c r="I52" s="282"/>
      <c r="J52" s="282"/>
      <c r="K52" s="282"/>
      <c r="L52" s="282"/>
      <c r="M52" s="282"/>
    </row>
    <row r="53" spans="1:48">
      <c r="A53" s="255" t="s">
        <v>308</v>
      </c>
      <c r="B53" s="256"/>
      <c r="C53" s="256"/>
      <c r="D53" s="256"/>
      <c r="E53" s="256"/>
      <c r="F53" s="257"/>
      <c r="H53" s="265" t="s">
        <v>308</v>
      </c>
      <c r="I53" s="256"/>
      <c r="J53" s="266"/>
      <c r="K53" s="256"/>
      <c r="L53" s="256"/>
      <c r="M53" s="257"/>
    </row>
    <row r="54" spans="1:48">
      <c r="A54" s="258" t="s">
        <v>33</v>
      </c>
      <c r="B54" s="259" t="s">
        <v>87</v>
      </c>
      <c r="C54" s="259" t="s">
        <v>309</v>
      </c>
      <c r="D54" s="259" t="s">
        <v>53</v>
      </c>
      <c r="E54" s="259" t="s">
        <v>89</v>
      </c>
      <c r="F54" s="260" t="s">
        <v>90</v>
      </c>
      <c r="H54" s="261" t="s">
        <v>33</v>
      </c>
      <c r="I54" s="261" t="s">
        <v>87</v>
      </c>
      <c r="J54" s="261" t="s">
        <v>309</v>
      </c>
      <c r="K54" s="261" t="s">
        <v>91</v>
      </c>
      <c r="L54" s="261" t="s">
        <v>89</v>
      </c>
      <c r="M54" s="261" t="s">
        <v>90</v>
      </c>
    </row>
    <row r="55" spans="1:48">
      <c r="A55" s="261">
        <v>1</v>
      </c>
      <c r="B55" s="109">
        <f>IF($B$6&gt;0,YEAR($B$6),"")</f>
        <v>2024</v>
      </c>
      <c r="C55" s="262" cm="1">
        <f t="array" ref="C55">INDEX('39-Year'!$A$1:$M$43,MATCH(_27.5_Year_Original11[[#This Row],[Year No.]],'39-Year'!$A:$A,0),MONTH($B$6)+1)</f>
        <v>2.461E-2</v>
      </c>
      <c r="D55" s="263">
        <f t="shared" ref="D55:D94" si="14">IF($E$11=39,$D$11,0)</f>
        <v>0</v>
      </c>
      <c r="E55" s="263">
        <f>_27.5_Year_Original11[[#This Row],[Original Basis]]*_27.5_Year_Original11[[#This Row],[39-Year Rate]]</f>
        <v>0</v>
      </c>
      <c r="F55" s="264">
        <f>E55</f>
        <v>0</v>
      </c>
      <c r="H55" s="261">
        <v>1</v>
      </c>
      <c r="I55" s="109">
        <f>IF($B$6&gt;0,YEAR($B$6),"")</f>
        <v>2024</v>
      </c>
      <c r="J55" s="262" cm="1">
        <f t="array" ref="J55">INDEX('39-Year'!$A$1:$M$43,MATCH(_39_Year_Post_CS12[[#This Row],[Year No.]],'39-Year'!$A:$A,0),MONTH($B$6)+1)</f>
        <v>2.461E-2</v>
      </c>
      <c r="K55" s="263">
        <f t="shared" ref="K55:K94" si="15">IF($E$11=39,$G$11,0)</f>
        <v>0</v>
      </c>
      <c r="L55" s="263">
        <f>_39_Year_Post_CS12[[#This Row],[Adj Basis]]*_39_Year_Post_CS12[[#This Row],[39-Year Rate]]</f>
        <v>0</v>
      </c>
      <c r="M55" s="263">
        <f>L55</f>
        <v>0</v>
      </c>
    </row>
    <row r="56" spans="1:48">
      <c r="A56" s="261">
        <f>A55+1</f>
        <v>2</v>
      </c>
      <c r="B56" s="109">
        <f>B55+1</f>
        <v>2025</v>
      </c>
      <c r="C56" s="262" cm="1">
        <f t="array" ref="C56">INDEX('39-Year'!$A$1:$M$43,MATCH(_27.5_Year_Original11[[#This Row],[Year No.]],'39-Year'!$A:$A,0),MONTH($B$6)+1)</f>
        <v>2.564E-2</v>
      </c>
      <c r="D56" s="263">
        <f t="shared" si="14"/>
        <v>0</v>
      </c>
      <c r="E56" s="263">
        <f>_27.5_Year_Original11[[#This Row],[Original Basis]]*_27.5_Year_Original11[[#This Row],[39-Year Rate]]</f>
        <v>0</v>
      </c>
      <c r="F56" s="264">
        <f>F55+_27.5_Year_Original11[[#This Row],[Annual Depreciation]]</f>
        <v>0</v>
      </c>
      <c r="H56" s="261">
        <f>H55+1</f>
        <v>2</v>
      </c>
      <c r="I56" s="109">
        <f>I55+1</f>
        <v>2025</v>
      </c>
      <c r="J56" s="262" cm="1">
        <f t="array" ref="J56">INDEX('39-Year'!$A$1:$M$43,MATCH(_39_Year_Post_CS12[[#This Row],[Year No.]],'39-Year'!$A:$A,0),MONTH($B$6)+1)</f>
        <v>2.564E-2</v>
      </c>
      <c r="K56" s="263">
        <f t="shared" si="15"/>
        <v>0</v>
      </c>
      <c r="L56" s="263">
        <f>_39_Year_Post_CS12[[#This Row],[Adj Basis]]*_39_Year_Post_CS12[[#This Row],[39-Year Rate]]</f>
        <v>0</v>
      </c>
      <c r="M56" s="263">
        <f>M55+_39_Year_Post_CS12[[#This Row],[Annual Depreciation]]</f>
        <v>0</v>
      </c>
    </row>
    <row r="57" spans="1:48">
      <c r="A57" s="261">
        <f t="shared" ref="A57:B72" si="16">A56+1</f>
        <v>3</v>
      </c>
      <c r="B57" s="109">
        <f t="shared" si="16"/>
        <v>2026</v>
      </c>
      <c r="C57" s="262" cm="1">
        <f t="array" ref="C57">INDEX('39-Year'!$A$1:$M$43,MATCH(_27.5_Year_Original11[[#This Row],[Year No.]],'39-Year'!$A:$A,0),MONTH($B$6)+1)</f>
        <v>2.564E-2</v>
      </c>
      <c r="D57" s="263">
        <f t="shared" si="14"/>
        <v>0</v>
      </c>
      <c r="E57" s="263">
        <f>_27.5_Year_Original11[[#This Row],[Original Basis]]*_27.5_Year_Original11[[#This Row],[39-Year Rate]]</f>
        <v>0</v>
      </c>
      <c r="F57" s="264">
        <f>F56+_27.5_Year_Original11[[#This Row],[Annual Depreciation]]</f>
        <v>0</v>
      </c>
      <c r="H57" s="261">
        <f t="shared" ref="H57:I72" si="17">H56+1</f>
        <v>3</v>
      </c>
      <c r="I57" s="109">
        <f t="shared" si="17"/>
        <v>2026</v>
      </c>
      <c r="J57" s="262" cm="1">
        <f t="array" ref="J57">INDEX('39-Year'!$A$1:$M$43,MATCH(_39_Year_Post_CS12[[#This Row],[Year No.]],'39-Year'!$A:$A,0),MONTH($B$6)+1)</f>
        <v>2.564E-2</v>
      </c>
      <c r="K57" s="263">
        <f t="shared" si="15"/>
        <v>0</v>
      </c>
      <c r="L57" s="263">
        <f>_39_Year_Post_CS12[[#This Row],[Adj Basis]]*_39_Year_Post_CS12[[#This Row],[39-Year Rate]]</f>
        <v>0</v>
      </c>
      <c r="M57" s="263">
        <f>M56+_39_Year_Post_CS12[[#This Row],[Annual Depreciation]]</f>
        <v>0</v>
      </c>
    </row>
    <row r="58" spans="1:48">
      <c r="A58" s="261">
        <f t="shared" si="16"/>
        <v>4</v>
      </c>
      <c r="B58" s="109">
        <f t="shared" si="16"/>
        <v>2027</v>
      </c>
      <c r="C58" s="262" cm="1">
        <f t="array" ref="C58">INDEX('39-Year'!$A$1:$M$43,MATCH(_27.5_Year_Original11[[#This Row],[Year No.]],'39-Year'!$A:$A,0),MONTH($B$6)+1)</f>
        <v>2.564E-2</v>
      </c>
      <c r="D58" s="263">
        <f t="shared" si="14"/>
        <v>0</v>
      </c>
      <c r="E58" s="263">
        <f>_27.5_Year_Original11[[#This Row],[Original Basis]]*_27.5_Year_Original11[[#This Row],[39-Year Rate]]</f>
        <v>0</v>
      </c>
      <c r="F58" s="264">
        <f>F57+_27.5_Year_Original11[[#This Row],[Annual Depreciation]]</f>
        <v>0</v>
      </c>
      <c r="H58" s="261">
        <f t="shared" si="17"/>
        <v>4</v>
      </c>
      <c r="I58" s="109">
        <f t="shared" si="17"/>
        <v>2027</v>
      </c>
      <c r="J58" s="262" cm="1">
        <f t="array" ref="J58">INDEX('39-Year'!$A$1:$M$43,MATCH(_39_Year_Post_CS12[[#This Row],[Year No.]],'39-Year'!$A:$A,0),MONTH($B$6)+1)</f>
        <v>2.564E-2</v>
      </c>
      <c r="K58" s="263">
        <f t="shared" si="15"/>
        <v>0</v>
      </c>
      <c r="L58" s="263">
        <f>_39_Year_Post_CS12[[#This Row],[Adj Basis]]*_39_Year_Post_CS12[[#This Row],[39-Year Rate]]</f>
        <v>0</v>
      </c>
      <c r="M58" s="263">
        <f>M57+_39_Year_Post_CS12[[#This Row],[Annual Depreciation]]</f>
        <v>0</v>
      </c>
    </row>
    <row r="59" spans="1:48">
      <c r="A59" s="261">
        <f t="shared" si="16"/>
        <v>5</v>
      </c>
      <c r="B59" s="109">
        <f t="shared" si="16"/>
        <v>2028</v>
      </c>
      <c r="C59" s="262" cm="1">
        <f t="array" ref="C59">INDEX('39-Year'!$A$1:$M$43,MATCH(_27.5_Year_Original11[[#This Row],[Year No.]],'39-Year'!$A:$A,0),MONTH($B$6)+1)</f>
        <v>2.564E-2</v>
      </c>
      <c r="D59" s="263">
        <f t="shared" si="14"/>
        <v>0</v>
      </c>
      <c r="E59" s="263">
        <f>_27.5_Year_Original11[[#This Row],[Original Basis]]*_27.5_Year_Original11[[#This Row],[39-Year Rate]]</f>
        <v>0</v>
      </c>
      <c r="F59" s="264">
        <f>F58+_27.5_Year_Original11[[#This Row],[Annual Depreciation]]</f>
        <v>0</v>
      </c>
      <c r="H59" s="261">
        <f t="shared" si="17"/>
        <v>5</v>
      </c>
      <c r="I59" s="109">
        <f t="shared" si="17"/>
        <v>2028</v>
      </c>
      <c r="J59" s="262" cm="1">
        <f t="array" ref="J59">INDEX('39-Year'!$A$1:$M$43,MATCH(_39_Year_Post_CS12[[#This Row],[Year No.]],'39-Year'!$A:$A,0),MONTH($B$6)+1)</f>
        <v>2.564E-2</v>
      </c>
      <c r="K59" s="263">
        <f t="shared" si="15"/>
        <v>0</v>
      </c>
      <c r="L59" s="263">
        <f>_39_Year_Post_CS12[[#This Row],[Adj Basis]]*_39_Year_Post_CS12[[#This Row],[39-Year Rate]]</f>
        <v>0</v>
      </c>
      <c r="M59" s="263">
        <f>M58+_39_Year_Post_CS12[[#This Row],[Annual Depreciation]]</f>
        <v>0</v>
      </c>
    </row>
    <row r="60" spans="1:48">
      <c r="A60" s="261">
        <f t="shared" si="16"/>
        <v>6</v>
      </c>
      <c r="B60" s="109">
        <f t="shared" si="16"/>
        <v>2029</v>
      </c>
      <c r="C60" s="262" cm="1">
        <f t="array" ref="C60">INDEX('39-Year'!$A$1:$M$43,MATCH(_27.5_Year_Original11[[#This Row],[Year No.]],'39-Year'!$A:$A,0),MONTH($B$6)+1)</f>
        <v>2.564E-2</v>
      </c>
      <c r="D60" s="263">
        <f t="shared" si="14"/>
        <v>0</v>
      </c>
      <c r="E60" s="263">
        <f>_27.5_Year_Original11[[#This Row],[Original Basis]]*_27.5_Year_Original11[[#This Row],[39-Year Rate]]</f>
        <v>0</v>
      </c>
      <c r="F60" s="264">
        <f>F59+_27.5_Year_Original11[[#This Row],[Annual Depreciation]]</f>
        <v>0</v>
      </c>
      <c r="H60" s="261">
        <f t="shared" si="17"/>
        <v>6</v>
      </c>
      <c r="I60" s="109">
        <f t="shared" si="17"/>
        <v>2029</v>
      </c>
      <c r="J60" s="262" cm="1">
        <f t="array" ref="J60">INDEX('39-Year'!$A$1:$M$43,MATCH(_39_Year_Post_CS12[[#This Row],[Year No.]],'39-Year'!$A:$A,0),MONTH($B$6)+1)</f>
        <v>2.564E-2</v>
      </c>
      <c r="K60" s="263">
        <f t="shared" si="15"/>
        <v>0</v>
      </c>
      <c r="L60" s="263">
        <f>_39_Year_Post_CS12[[#This Row],[Adj Basis]]*_39_Year_Post_CS12[[#This Row],[39-Year Rate]]</f>
        <v>0</v>
      </c>
      <c r="M60" s="263">
        <f>M59+_39_Year_Post_CS12[[#This Row],[Annual Depreciation]]</f>
        <v>0</v>
      </c>
    </row>
    <row r="61" spans="1:48">
      <c r="A61" s="261">
        <f t="shared" si="16"/>
        <v>7</v>
      </c>
      <c r="B61" s="109">
        <f t="shared" si="16"/>
        <v>2030</v>
      </c>
      <c r="C61" s="262" cm="1">
        <f t="array" ref="C61">INDEX('39-Year'!$A$1:$M$43,MATCH(_27.5_Year_Original11[[#This Row],[Year No.]],'39-Year'!$A:$A,0),MONTH($B$6)+1)</f>
        <v>2.564E-2</v>
      </c>
      <c r="D61" s="263">
        <f t="shared" si="14"/>
        <v>0</v>
      </c>
      <c r="E61" s="263">
        <f>_27.5_Year_Original11[[#This Row],[Original Basis]]*_27.5_Year_Original11[[#This Row],[39-Year Rate]]</f>
        <v>0</v>
      </c>
      <c r="F61" s="264">
        <f>F60+_27.5_Year_Original11[[#This Row],[Annual Depreciation]]</f>
        <v>0</v>
      </c>
      <c r="H61" s="261">
        <f t="shared" si="17"/>
        <v>7</v>
      </c>
      <c r="I61" s="109">
        <f t="shared" si="17"/>
        <v>2030</v>
      </c>
      <c r="J61" s="262" cm="1">
        <f t="array" ref="J61">INDEX('39-Year'!$A$1:$M$43,MATCH(_39_Year_Post_CS12[[#This Row],[Year No.]],'39-Year'!$A:$A,0),MONTH($B$6)+1)</f>
        <v>2.564E-2</v>
      </c>
      <c r="K61" s="263">
        <f t="shared" si="15"/>
        <v>0</v>
      </c>
      <c r="L61" s="263">
        <f>_39_Year_Post_CS12[[#This Row],[Adj Basis]]*_39_Year_Post_CS12[[#This Row],[39-Year Rate]]</f>
        <v>0</v>
      </c>
      <c r="M61" s="263">
        <f>M60+_39_Year_Post_CS12[[#This Row],[Annual Depreciation]]</f>
        <v>0</v>
      </c>
    </row>
    <row r="62" spans="1:48">
      <c r="A62" s="261">
        <f t="shared" si="16"/>
        <v>8</v>
      </c>
      <c r="B62" s="109">
        <f t="shared" si="16"/>
        <v>2031</v>
      </c>
      <c r="C62" s="262" cm="1">
        <f t="array" ref="C62">INDEX('39-Year'!$A$1:$M$43,MATCH(_27.5_Year_Original11[[#This Row],[Year No.]],'39-Year'!$A:$A,0),MONTH($B$6)+1)</f>
        <v>2.564E-2</v>
      </c>
      <c r="D62" s="263">
        <f t="shared" si="14"/>
        <v>0</v>
      </c>
      <c r="E62" s="263">
        <f>_27.5_Year_Original11[[#This Row],[Original Basis]]*_27.5_Year_Original11[[#This Row],[39-Year Rate]]</f>
        <v>0</v>
      </c>
      <c r="F62" s="264">
        <f>F61+_27.5_Year_Original11[[#This Row],[Annual Depreciation]]</f>
        <v>0</v>
      </c>
      <c r="H62" s="261">
        <f t="shared" si="17"/>
        <v>8</v>
      </c>
      <c r="I62" s="109">
        <f t="shared" si="17"/>
        <v>2031</v>
      </c>
      <c r="J62" s="262" cm="1">
        <f t="array" ref="J62">INDEX('39-Year'!$A$1:$M$43,MATCH(_39_Year_Post_CS12[[#This Row],[Year No.]],'39-Year'!$A:$A,0),MONTH($B$6)+1)</f>
        <v>2.564E-2</v>
      </c>
      <c r="K62" s="263">
        <f t="shared" si="15"/>
        <v>0</v>
      </c>
      <c r="L62" s="263">
        <f>_39_Year_Post_CS12[[#This Row],[Adj Basis]]*_39_Year_Post_CS12[[#This Row],[39-Year Rate]]</f>
        <v>0</v>
      </c>
      <c r="M62" s="263">
        <f>M61+_39_Year_Post_CS12[[#This Row],[Annual Depreciation]]</f>
        <v>0</v>
      </c>
    </row>
    <row r="63" spans="1:48">
      <c r="A63" s="261">
        <f t="shared" si="16"/>
        <v>9</v>
      </c>
      <c r="B63" s="109">
        <f t="shared" si="16"/>
        <v>2032</v>
      </c>
      <c r="C63" s="262" cm="1">
        <f t="array" ref="C63">INDEX('39-Year'!$A$1:$M$43,MATCH(_27.5_Year_Original11[[#This Row],[Year No.]],'39-Year'!$A:$A,0),MONTH($B$6)+1)</f>
        <v>2.564E-2</v>
      </c>
      <c r="D63" s="263">
        <f t="shared" si="14"/>
        <v>0</v>
      </c>
      <c r="E63" s="263">
        <f>_27.5_Year_Original11[[#This Row],[Original Basis]]*_27.5_Year_Original11[[#This Row],[39-Year Rate]]</f>
        <v>0</v>
      </c>
      <c r="F63" s="264">
        <f>F62+_27.5_Year_Original11[[#This Row],[Annual Depreciation]]</f>
        <v>0</v>
      </c>
      <c r="H63" s="261">
        <f t="shared" si="17"/>
        <v>9</v>
      </c>
      <c r="I63" s="109">
        <f t="shared" si="17"/>
        <v>2032</v>
      </c>
      <c r="J63" s="262" cm="1">
        <f t="array" ref="J63">INDEX('39-Year'!$A$1:$M$43,MATCH(_39_Year_Post_CS12[[#This Row],[Year No.]],'39-Year'!$A:$A,0),MONTH($B$6)+1)</f>
        <v>2.564E-2</v>
      </c>
      <c r="K63" s="263">
        <f t="shared" si="15"/>
        <v>0</v>
      </c>
      <c r="L63" s="263">
        <f>_39_Year_Post_CS12[[#This Row],[Adj Basis]]*_39_Year_Post_CS12[[#This Row],[39-Year Rate]]</f>
        <v>0</v>
      </c>
      <c r="M63" s="263">
        <f>M62+_39_Year_Post_CS12[[#This Row],[Annual Depreciation]]</f>
        <v>0</v>
      </c>
    </row>
    <row r="64" spans="1:48">
      <c r="A64" s="261">
        <f t="shared" si="16"/>
        <v>10</v>
      </c>
      <c r="B64" s="109">
        <f t="shared" si="16"/>
        <v>2033</v>
      </c>
      <c r="C64" s="262" cm="1">
        <f t="array" ref="C64">INDEX('39-Year'!$A$1:$M$43,MATCH(_27.5_Year_Original11[[#This Row],[Year No.]],'39-Year'!$A:$A,0),MONTH($B$6)+1)</f>
        <v>2.564E-2</v>
      </c>
      <c r="D64" s="263">
        <f t="shared" si="14"/>
        <v>0</v>
      </c>
      <c r="E64" s="263">
        <f>_27.5_Year_Original11[[#This Row],[Original Basis]]*_27.5_Year_Original11[[#This Row],[39-Year Rate]]</f>
        <v>0</v>
      </c>
      <c r="F64" s="264">
        <f>F63+_27.5_Year_Original11[[#This Row],[Annual Depreciation]]</f>
        <v>0</v>
      </c>
      <c r="H64" s="261">
        <f t="shared" si="17"/>
        <v>10</v>
      </c>
      <c r="I64" s="109">
        <f t="shared" si="17"/>
        <v>2033</v>
      </c>
      <c r="J64" s="262" cm="1">
        <f t="array" ref="J64">INDEX('39-Year'!$A$1:$M$43,MATCH(_39_Year_Post_CS12[[#This Row],[Year No.]],'39-Year'!$A:$A,0),MONTH($B$6)+1)</f>
        <v>2.564E-2</v>
      </c>
      <c r="K64" s="263">
        <f t="shared" si="15"/>
        <v>0</v>
      </c>
      <c r="L64" s="263">
        <f>_39_Year_Post_CS12[[#This Row],[Adj Basis]]*_39_Year_Post_CS12[[#This Row],[39-Year Rate]]</f>
        <v>0</v>
      </c>
      <c r="M64" s="263">
        <f>M63+_39_Year_Post_CS12[[#This Row],[Annual Depreciation]]</f>
        <v>0</v>
      </c>
    </row>
    <row r="65" spans="1:13">
      <c r="A65" s="261">
        <f t="shared" si="16"/>
        <v>11</v>
      </c>
      <c r="B65" s="109">
        <f t="shared" si="16"/>
        <v>2034</v>
      </c>
      <c r="C65" s="262" cm="1">
        <f t="array" ref="C65">INDEX('39-Year'!$A$1:$M$43,MATCH(_27.5_Year_Original11[[#This Row],[Year No.]],'39-Year'!$A:$A,0),MONTH($B$6)+1)</f>
        <v>2.564E-2</v>
      </c>
      <c r="D65" s="263">
        <f t="shared" si="14"/>
        <v>0</v>
      </c>
      <c r="E65" s="263">
        <f>_27.5_Year_Original11[[#This Row],[Original Basis]]*_27.5_Year_Original11[[#This Row],[39-Year Rate]]</f>
        <v>0</v>
      </c>
      <c r="F65" s="264">
        <f>F64+_27.5_Year_Original11[[#This Row],[Annual Depreciation]]</f>
        <v>0</v>
      </c>
      <c r="H65" s="261">
        <f t="shared" si="17"/>
        <v>11</v>
      </c>
      <c r="I65" s="109">
        <f t="shared" si="17"/>
        <v>2034</v>
      </c>
      <c r="J65" s="262" cm="1">
        <f t="array" ref="J65">INDEX('39-Year'!$A$1:$M$43,MATCH(_39_Year_Post_CS12[[#This Row],[Year No.]],'39-Year'!$A:$A,0),MONTH($B$6)+1)</f>
        <v>2.564E-2</v>
      </c>
      <c r="K65" s="263">
        <f t="shared" si="15"/>
        <v>0</v>
      </c>
      <c r="L65" s="263">
        <f>_39_Year_Post_CS12[[#This Row],[Adj Basis]]*_39_Year_Post_CS12[[#This Row],[39-Year Rate]]</f>
        <v>0</v>
      </c>
      <c r="M65" s="263">
        <f>M64+_39_Year_Post_CS12[[#This Row],[Annual Depreciation]]</f>
        <v>0</v>
      </c>
    </row>
    <row r="66" spans="1:13">
      <c r="A66" s="261">
        <f t="shared" si="16"/>
        <v>12</v>
      </c>
      <c r="B66" s="109">
        <f t="shared" si="16"/>
        <v>2035</v>
      </c>
      <c r="C66" s="262" cm="1">
        <f t="array" ref="C66">INDEX('39-Year'!$A$1:$M$43,MATCH(_27.5_Year_Original11[[#This Row],[Year No.]],'39-Year'!$A:$A,0),MONTH($B$6)+1)</f>
        <v>2.564E-2</v>
      </c>
      <c r="D66" s="263">
        <f t="shared" si="14"/>
        <v>0</v>
      </c>
      <c r="E66" s="263">
        <f>_27.5_Year_Original11[[#This Row],[Original Basis]]*_27.5_Year_Original11[[#This Row],[39-Year Rate]]</f>
        <v>0</v>
      </c>
      <c r="F66" s="264">
        <f>F65+_27.5_Year_Original11[[#This Row],[Annual Depreciation]]</f>
        <v>0</v>
      </c>
      <c r="H66" s="261">
        <f t="shared" si="17"/>
        <v>12</v>
      </c>
      <c r="I66" s="109">
        <f t="shared" si="17"/>
        <v>2035</v>
      </c>
      <c r="J66" s="262" cm="1">
        <f t="array" ref="J66">INDEX('39-Year'!$A$1:$M$43,MATCH(_39_Year_Post_CS12[[#This Row],[Year No.]],'39-Year'!$A:$A,0),MONTH($B$6)+1)</f>
        <v>2.564E-2</v>
      </c>
      <c r="K66" s="263">
        <f t="shared" si="15"/>
        <v>0</v>
      </c>
      <c r="L66" s="263">
        <f>_39_Year_Post_CS12[[#This Row],[Adj Basis]]*_39_Year_Post_CS12[[#This Row],[39-Year Rate]]</f>
        <v>0</v>
      </c>
      <c r="M66" s="263">
        <f>M65+_39_Year_Post_CS12[[#This Row],[Annual Depreciation]]</f>
        <v>0</v>
      </c>
    </row>
    <row r="67" spans="1:13">
      <c r="A67" s="261">
        <f t="shared" si="16"/>
        <v>13</v>
      </c>
      <c r="B67" s="109">
        <f t="shared" si="16"/>
        <v>2036</v>
      </c>
      <c r="C67" s="262" cm="1">
        <f t="array" ref="C67">INDEX('39-Year'!$A$1:$M$43,MATCH(_27.5_Year_Original11[[#This Row],[Year No.]],'39-Year'!$A:$A,0),MONTH($B$6)+1)</f>
        <v>2.564E-2</v>
      </c>
      <c r="D67" s="263">
        <f t="shared" si="14"/>
        <v>0</v>
      </c>
      <c r="E67" s="263">
        <f>_27.5_Year_Original11[[#This Row],[Original Basis]]*_27.5_Year_Original11[[#This Row],[39-Year Rate]]</f>
        <v>0</v>
      </c>
      <c r="F67" s="264">
        <f>F66+_27.5_Year_Original11[[#This Row],[Annual Depreciation]]</f>
        <v>0</v>
      </c>
      <c r="H67" s="261">
        <f t="shared" si="17"/>
        <v>13</v>
      </c>
      <c r="I67" s="109">
        <f t="shared" si="17"/>
        <v>2036</v>
      </c>
      <c r="J67" s="262" cm="1">
        <f t="array" ref="J67">INDEX('39-Year'!$A$1:$M$43,MATCH(_39_Year_Post_CS12[[#This Row],[Year No.]],'39-Year'!$A:$A,0),MONTH($B$6)+1)</f>
        <v>2.564E-2</v>
      </c>
      <c r="K67" s="263">
        <f t="shared" si="15"/>
        <v>0</v>
      </c>
      <c r="L67" s="263">
        <f>_39_Year_Post_CS12[[#This Row],[Adj Basis]]*_39_Year_Post_CS12[[#This Row],[39-Year Rate]]</f>
        <v>0</v>
      </c>
      <c r="M67" s="263">
        <f>M66+_39_Year_Post_CS12[[#This Row],[Annual Depreciation]]</f>
        <v>0</v>
      </c>
    </row>
    <row r="68" spans="1:13">
      <c r="A68" s="261">
        <f t="shared" si="16"/>
        <v>14</v>
      </c>
      <c r="B68" s="109">
        <f t="shared" si="16"/>
        <v>2037</v>
      </c>
      <c r="C68" s="262" cm="1">
        <f t="array" ref="C68">INDEX('39-Year'!$A$1:$M$43,MATCH(_27.5_Year_Original11[[#This Row],[Year No.]],'39-Year'!$A:$A,0),MONTH($B$6)+1)</f>
        <v>2.564E-2</v>
      </c>
      <c r="D68" s="263">
        <f t="shared" si="14"/>
        <v>0</v>
      </c>
      <c r="E68" s="263">
        <f>_27.5_Year_Original11[[#This Row],[Original Basis]]*_27.5_Year_Original11[[#This Row],[39-Year Rate]]</f>
        <v>0</v>
      </c>
      <c r="F68" s="264">
        <f>F67+_27.5_Year_Original11[[#This Row],[Annual Depreciation]]</f>
        <v>0</v>
      </c>
      <c r="H68" s="261">
        <f t="shared" si="17"/>
        <v>14</v>
      </c>
      <c r="I68" s="109">
        <f t="shared" si="17"/>
        <v>2037</v>
      </c>
      <c r="J68" s="262" cm="1">
        <f t="array" ref="J68">INDEX('39-Year'!$A$1:$M$43,MATCH(_39_Year_Post_CS12[[#This Row],[Year No.]],'39-Year'!$A:$A,0),MONTH($B$6)+1)</f>
        <v>2.564E-2</v>
      </c>
      <c r="K68" s="263">
        <f t="shared" si="15"/>
        <v>0</v>
      </c>
      <c r="L68" s="263">
        <f>_39_Year_Post_CS12[[#This Row],[Adj Basis]]*_39_Year_Post_CS12[[#This Row],[39-Year Rate]]</f>
        <v>0</v>
      </c>
      <c r="M68" s="263">
        <f>M67+_39_Year_Post_CS12[[#This Row],[Annual Depreciation]]</f>
        <v>0</v>
      </c>
    </row>
    <row r="69" spans="1:13">
      <c r="A69" s="261">
        <f t="shared" si="16"/>
        <v>15</v>
      </c>
      <c r="B69" s="109">
        <f t="shared" si="16"/>
        <v>2038</v>
      </c>
      <c r="C69" s="262" cm="1">
        <f t="array" ref="C69">INDEX('39-Year'!$A$1:$M$43,MATCH(_27.5_Year_Original11[[#This Row],[Year No.]],'39-Year'!$A:$A,0),MONTH($B$6)+1)</f>
        <v>2.564E-2</v>
      </c>
      <c r="D69" s="263">
        <f t="shared" si="14"/>
        <v>0</v>
      </c>
      <c r="E69" s="263">
        <f>_27.5_Year_Original11[[#This Row],[Original Basis]]*_27.5_Year_Original11[[#This Row],[39-Year Rate]]</f>
        <v>0</v>
      </c>
      <c r="F69" s="264">
        <f>F68+_27.5_Year_Original11[[#This Row],[Annual Depreciation]]</f>
        <v>0</v>
      </c>
      <c r="H69" s="261">
        <f t="shared" si="17"/>
        <v>15</v>
      </c>
      <c r="I69" s="109">
        <f t="shared" si="17"/>
        <v>2038</v>
      </c>
      <c r="J69" s="262" cm="1">
        <f t="array" ref="J69">INDEX('39-Year'!$A$1:$M$43,MATCH(_39_Year_Post_CS12[[#This Row],[Year No.]],'39-Year'!$A:$A,0),MONTH($B$6)+1)</f>
        <v>2.564E-2</v>
      </c>
      <c r="K69" s="263">
        <f t="shared" si="15"/>
        <v>0</v>
      </c>
      <c r="L69" s="263">
        <f>_39_Year_Post_CS12[[#This Row],[Adj Basis]]*_39_Year_Post_CS12[[#This Row],[39-Year Rate]]</f>
        <v>0</v>
      </c>
      <c r="M69" s="263">
        <f>M68+_39_Year_Post_CS12[[#This Row],[Annual Depreciation]]</f>
        <v>0</v>
      </c>
    </row>
    <row r="70" spans="1:13">
      <c r="A70" s="261">
        <f t="shared" si="16"/>
        <v>16</v>
      </c>
      <c r="B70" s="109">
        <f t="shared" si="16"/>
        <v>2039</v>
      </c>
      <c r="C70" s="262" cm="1">
        <f t="array" ref="C70">INDEX('39-Year'!$A$1:$M$43,MATCH(_27.5_Year_Original11[[#This Row],[Year No.]],'39-Year'!$A:$A,0),MONTH($B$6)+1)</f>
        <v>2.564E-2</v>
      </c>
      <c r="D70" s="263">
        <f t="shared" si="14"/>
        <v>0</v>
      </c>
      <c r="E70" s="263">
        <f>_27.5_Year_Original11[[#This Row],[Original Basis]]*_27.5_Year_Original11[[#This Row],[39-Year Rate]]</f>
        <v>0</v>
      </c>
      <c r="F70" s="264">
        <f>F69+_27.5_Year_Original11[[#This Row],[Annual Depreciation]]</f>
        <v>0</v>
      </c>
      <c r="H70" s="261">
        <f t="shared" si="17"/>
        <v>16</v>
      </c>
      <c r="I70" s="109">
        <f t="shared" si="17"/>
        <v>2039</v>
      </c>
      <c r="J70" s="262" cm="1">
        <f t="array" ref="J70">INDEX('39-Year'!$A$1:$M$43,MATCH(_39_Year_Post_CS12[[#This Row],[Year No.]],'39-Year'!$A:$A,0),MONTH($B$6)+1)</f>
        <v>2.564E-2</v>
      </c>
      <c r="K70" s="263">
        <f t="shared" si="15"/>
        <v>0</v>
      </c>
      <c r="L70" s="263">
        <f>_39_Year_Post_CS12[[#This Row],[Adj Basis]]*_39_Year_Post_CS12[[#This Row],[39-Year Rate]]</f>
        <v>0</v>
      </c>
      <c r="M70" s="263">
        <f>M69+_39_Year_Post_CS12[[#This Row],[Annual Depreciation]]</f>
        <v>0</v>
      </c>
    </row>
    <row r="71" spans="1:13">
      <c r="A71" s="261">
        <f t="shared" si="16"/>
        <v>17</v>
      </c>
      <c r="B71" s="109">
        <f t="shared" si="16"/>
        <v>2040</v>
      </c>
      <c r="C71" s="262" cm="1">
        <f t="array" ref="C71">INDEX('39-Year'!$A$1:$M$43,MATCH(_27.5_Year_Original11[[#This Row],[Year No.]],'39-Year'!$A:$A,0),MONTH($B$6)+1)</f>
        <v>2.564E-2</v>
      </c>
      <c r="D71" s="263">
        <f t="shared" si="14"/>
        <v>0</v>
      </c>
      <c r="E71" s="263">
        <f>_27.5_Year_Original11[[#This Row],[Original Basis]]*_27.5_Year_Original11[[#This Row],[39-Year Rate]]</f>
        <v>0</v>
      </c>
      <c r="F71" s="264">
        <f>F70+_27.5_Year_Original11[[#This Row],[Annual Depreciation]]</f>
        <v>0</v>
      </c>
      <c r="H71" s="261">
        <f t="shared" si="17"/>
        <v>17</v>
      </c>
      <c r="I71" s="109">
        <f t="shared" si="17"/>
        <v>2040</v>
      </c>
      <c r="J71" s="262" cm="1">
        <f t="array" ref="J71">INDEX('39-Year'!$A$1:$M$43,MATCH(_39_Year_Post_CS12[[#This Row],[Year No.]],'39-Year'!$A:$A,0),MONTH($B$6)+1)</f>
        <v>2.564E-2</v>
      </c>
      <c r="K71" s="263">
        <f t="shared" si="15"/>
        <v>0</v>
      </c>
      <c r="L71" s="263">
        <f>_39_Year_Post_CS12[[#This Row],[Adj Basis]]*_39_Year_Post_CS12[[#This Row],[39-Year Rate]]</f>
        <v>0</v>
      </c>
      <c r="M71" s="263">
        <f>M70+_39_Year_Post_CS12[[#This Row],[Annual Depreciation]]</f>
        <v>0</v>
      </c>
    </row>
    <row r="72" spans="1:13">
      <c r="A72" s="261">
        <f t="shared" si="16"/>
        <v>18</v>
      </c>
      <c r="B72" s="109">
        <f t="shared" si="16"/>
        <v>2041</v>
      </c>
      <c r="C72" s="262" cm="1">
        <f t="array" ref="C72">INDEX('39-Year'!$A$1:$M$43,MATCH(_27.5_Year_Original11[[#This Row],[Year No.]],'39-Year'!$A:$A,0),MONTH($B$6)+1)</f>
        <v>2.564E-2</v>
      </c>
      <c r="D72" s="263">
        <f t="shared" si="14"/>
        <v>0</v>
      </c>
      <c r="E72" s="263">
        <f>_27.5_Year_Original11[[#This Row],[Original Basis]]*_27.5_Year_Original11[[#This Row],[39-Year Rate]]</f>
        <v>0</v>
      </c>
      <c r="F72" s="264">
        <f>F71+_27.5_Year_Original11[[#This Row],[Annual Depreciation]]</f>
        <v>0</v>
      </c>
      <c r="H72" s="261">
        <f t="shared" si="17"/>
        <v>18</v>
      </c>
      <c r="I72" s="109">
        <f t="shared" si="17"/>
        <v>2041</v>
      </c>
      <c r="J72" s="262" cm="1">
        <f t="array" ref="J72">INDEX('39-Year'!$A$1:$M$43,MATCH(_39_Year_Post_CS12[[#This Row],[Year No.]],'39-Year'!$A:$A,0),MONTH($B$6)+1)</f>
        <v>2.564E-2</v>
      </c>
      <c r="K72" s="263">
        <f t="shared" si="15"/>
        <v>0</v>
      </c>
      <c r="L72" s="263">
        <f>_39_Year_Post_CS12[[#This Row],[Adj Basis]]*_39_Year_Post_CS12[[#This Row],[39-Year Rate]]</f>
        <v>0</v>
      </c>
      <c r="M72" s="263">
        <f>M71+_39_Year_Post_CS12[[#This Row],[Annual Depreciation]]</f>
        <v>0</v>
      </c>
    </row>
    <row r="73" spans="1:13">
      <c r="A73" s="261">
        <f t="shared" ref="A73:B88" si="18">A72+1</f>
        <v>19</v>
      </c>
      <c r="B73" s="109">
        <f t="shared" si="18"/>
        <v>2042</v>
      </c>
      <c r="C73" s="262" cm="1">
        <f t="array" ref="C73">INDEX('39-Year'!$A$1:$M$43,MATCH(_27.5_Year_Original11[[#This Row],[Year No.]],'39-Year'!$A:$A,0),MONTH($B$6)+1)</f>
        <v>2.564E-2</v>
      </c>
      <c r="D73" s="263">
        <f t="shared" si="14"/>
        <v>0</v>
      </c>
      <c r="E73" s="263">
        <f>_27.5_Year_Original11[[#This Row],[Original Basis]]*_27.5_Year_Original11[[#This Row],[39-Year Rate]]</f>
        <v>0</v>
      </c>
      <c r="F73" s="264">
        <f>F72+_27.5_Year_Original11[[#This Row],[Annual Depreciation]]</f>
        <v>0</v>
      </c>
      <c r="H73" s="261">
        <f t="shared" ref="H73:I88" si="19">H72+1</f>
        <v>19</v>
      </c>
      <c r="I73" s="109">
        <f t="shared" si="19"/>
        <v>2042</v>
      </c>
      <c r="J73" s="262" cm="1">
        <f t="array" ref="J73">INDEX('39-Year'!$A$1:$M$43,MATCH(_39_Year_Post_CS12[[#This Row],[Year No.]],'39-Year'!$A:$A,0),MONTH($B$6)+1)</f>
        <v>2.564E-2</v>
      </c>
      <c r="K73" s="263">
        <f t="shared" si="15"/>
        <v>0</v>
      </c>
      <c r="L73" s="263">
        <f>_39_Year_Post_CS12[[#This Row],[Adj Basis]]*_39_Year_Post_CS12[[#This Row],[39-Year Rate]]</f>
        <v>0</v>
      </c>
      <c r="M73" s="263">
        <f>M72+_39_Year_Post_CS12[[#This Row],[Annual Depreciation]]</f>
        <v>0</v>
      </c>
    </row>
    <row r="74" spans="1:13">
      <c r="A74" s="261">
        <f t="shared" si="18"/>
        <v>20</v>
      </c>
      <c r="B74" s="109">
        <f t="shared" si="18"/>
        <v>2043</v>
      </c>
      <c r="C74" s="262" cm="1">
        <f t="array" ref="C74">INDEX('39-Year'!$A$1:$M$43,MATCH(_27.5_Year_Original11[[#This Row],[Year No.]],'39-Year'!$A:$A,0),MONTH($B$6)+1)</f>
        <v>2.564E-2</v>
      </c>
      <c r="D74" s="263">
        <f t="shared" si="14"/>
        <v>0</v>
      </c>
      <c r="E74" s="263">
        <f>_27.5_Year_Original11[[#This Row],[Original Basis]]*_27.5_Year_Original11[[#This Row],[39-Year Rate]]</f>
        <v>0</v>
      </c>
      <c r="F74" s="264">
        <f>F73+_27.5_Year_Original11[[#This Row],[Annual Depreciation]]</f>
        <v>0</v>
      </c>
      <c r="H74" s="261">
        <f t="shared" si="19"/>
        <v>20</v>
      </c>
      <c r="I74" s="109">
        <f t="shared" si="19"/>
        <v>2043</v>
      </c>
      <c r="J74" s="262" cm="1">
        <f t="array" ref="J74">INDEX('39-Year'!$A$1:$M$43,MATCH(_39_Year_Post_CS12[[#This Row],[Year No.]],'39-Year'!$A:$A,0),MONTH($B$6)+1)</f>
        <v>2.564E-2</v>
      </c>
      <c r="K74" s="263">
        <f t="shared" si="15"/>
        <v>0</v>
      </c>
      <c r="L74" s="263">
        <f>_39_Year_Post_CS12[[#This Row],[Adj Basis]]*_39_Year_Post_CS12[[#This Row],[39-Year Rate]]</f>
        <v>0</v>
      </c>
      <c r="M74" s="263">
        <f>M73+_39_Year_Post_CS12[[#This Row],[Annual Depreciation]]</f>
        <v>0</v>
      </c>
    </row>
    <row r="75" spans="1:13">
      <c r="A75" s="261">
        <f t="shared" si="18"/>
        <v>21</v>
      </c>
      <c r="B75" s="109">
        <f t="shared" si="18"/>
        <v>2044</v>
      </c>
      <c r="C75" s="262" cm="1">
        <f t="array" ref="C75">INDEX('39-Year'!$A$1:$M$43,MATCH(_27.5_Year_Original11[[#This Row],[Year No.]],'39-Year'!$A:$A,0),MONTH($B$6)+1)</f>
        <v>2.564E-2</v>
      </c>
      <c r="D75" s="263">
        <f t="shared" si="14"/>
        <v>0</v>
      </c>
      <c r="E75" s="263">
        <f>_27.5_Year_Original11[[#This Row],[Original Basis]]*_27.5_Year_Original11[[#This Row],[39-Year Rate]]</f>
        <v>0</v>
      </c>
      <c r="F75" s="264">
        <f>F74+_27.5_Year_Original11[[#This Row],[Annual Depreciation]]</f>
        <v>0</v>
      </c>
      <c r="H75" s="261">
        <f t="shared" si="19"/>
        <v>21</v>
      </c>
      <c r="I75" s="109">
        <f t="shared" si="19"/>
        <v>2044</v>
      </c>
      <c r="J75" s="262" cm="1">
        <f t="array" ref="J75">INDEX('39-Year'!$A$1:$M$43,MATCH(_39_Year_Post_CS12[[#This Row],[Year No.]],'39-Year'!$A:$A,0),MONTH($B$6)+1)</f>
        <v>2.564E-2</v>
      </c>
      <c r="K75" s="263">
        <f t="shared" si="15"/>
        <v>0</v>
      </c>
      <c r="L75" s="263">
        <f>_39_Year_Post_CS12[[#This Row],[Adj Basis]]*_39_Year_Post_CS12[[#This Row],[39-Year Rate]]</f>
        <v>0</v>
      </c>
      <c r="M75" s="263">
        <f>M74+_39_Year_Post_CS12[[#This Row],[Annual Depreciation]]</f>
        <v>0</v>
      </c>
    </row>
    <row r="76" spans="1:13">
      <c r="A76" s="261">
        <f t="shared" si="18"/>
        <v>22</v>
      </c>
      <c r="B76" s="109">
        <f t="shared" si="18"/>
        <v>2045</v>
      </c>
      <c r="C76" s="262" cm="1">
        <f t="array" ref="C76">INDEX('39-Year'!$A$1:$M$43,MATCH(_27.5_Year_Original11[[#This Row],[Year No.]],'39-Year'!$A:$A,0),MONTH($B$6)+1)</f>
        <v>2.564E-2</v>
      </c>
      <c r="D76" s="263">
        <f t="shared" si="14"/>
        <v>0</v>
      </c>
      <c r="E76" s="263">
        <f>_27.5_Year_Original11[[#This Row],[Original Basis]]*_27.5_Year_Original11[[#This Row],[39-Year Rate]]</f>
        <v>0</v>
      </c>
      <c r="F76" s="264">
        <f>F75+_27.5_Year_Original11[[#This Row],[Annual Depreciation]]</f>
        <v>0</v>
      </c>
      <c r="H76" s="261">
        <f t="shared" si="19"/>
        <v>22</v>
      </c>
      <c r="I76" s="109">
        <f t="shared" si="19"/>
        <v>2045</v>
      </c>
      <c r="J76" s="262" cm="1">
        <f t="array" ref="J76">INDEX('39-Year'!$A$1:$M$43,MATCH(_39_Year_Post_CS12[[#This Row],[Year No.]],'39-Year'!$A:$A,0),MONTH($B$6)+1)</f>
        <v>2.564E-2</v>
      </c>
      <c r="K76" s="263">
        <f t="shared" si="15"/>
        <v>0</v>
      </c>
      <c r="L76" s="263">
        <f>_39_Year_Post_CS12[[#This Row],[Adj Basis]]*_39_Year_Post_CS12[[#This Row],[39-Year Rate]]</f>
        <v>0</v>
      </c>
      <c r="M76" s="263">
        <f>M75+_39_Year_Post_CS12[[#This Row],[Annual Depreciation]]</f>
        <v>0</v>
      </c>
    </row>
    <row r="77" spans="1:13">
      <c r="A77" s="261">
        <f t="shared" si="18"/>
        <v>23</v>
      </c>
      <c r="B77" s="109">
        <f t="shared" si="18"/>
        <v>2046</v>
      </c>
      <c r="C77" s="262" cm="1">
        <f t="array" ref="C77">INDEX('39-Year'!$A$1:$M$43,MATCH(_27.5_Year_Original11[[#This Row],[Year No.]],'39-Year'!$A:$A,0),MONTH($B$6)+1)</f>
        <v>2.564E-2</v>
      </c>
      <c r="D77" s="263">
        <f t="shared" si="14"/>
        <v>0</v>
      </c>
      <c r="E77" s="263">
        <f>_27.5_Year_Original11[[#This Row],[Original Basis]]*_27.5_Year_Original11[[#This Row],[39-Year Rate]]</f>
        <v>0</v>
      </c>
      <c r="F77" s="264">
        <f>F76+_27.5_Year_Original11[[#This Row],[Annual Depreciation]]</f>
        <v>0</v>
      </c>
      <c r="H77" s="261">
        <f t="shared" si="19"/>
        <v>23</v>
      </c>
      <c r="I77" s="109">
        <f t="shared" si="19"/>
        <v>2046</v>
      </c>
      <c r="J77" s="262" cm="1">
        <f t="array" ref="J77">INDEX('39-Year'!$A$1:$M$43,MATCH(_39_Year_Post_CS12[[#This Row],[Year No.]],'39-Year'!$A:$A,0),MONTH($B$6)+1)</f>
        <v>2.564E-2</v>
      </c>
      <c r="K77" s="263">
        <f t="shared" si="15"/>
        <v>0</v>
      </c>
      <c r="L77" s="263">
        <f>_39_Year_Post_CS12[[#This Row],[Adj Basis]]*_39_Year_Post_CS12[[#This Row],[39-Year Rate]]</f>
        <v>0</v>
      </c>
      <c r="M77" s="263">
        <f>M76+_39_Year_Post_CS12[[#This Row],[Annual Depreciation]]</f>
        <v>0</v>
      </c>
    </row>
    <row r="78" spans="1:13">
      <c r="A78" s="261">
        <f t="shared" si="18"/>
        <v>24</v>
      </c>
      <c r="B78" s="109">
        <f t="shared" si="18"/>
        <v>2047</v>
      </c>
      <c r="C78" s="262" cm="1">
        <f t="array" ref="C78">INDEX('39-Year'!$A$1:$M$43,MATCH(_27.5_Year_Original11[[#This Row],[Year No.]],'39-Year'!$A:$A,0),MONTH($B$6)+1)</f>
        <v>2.564E-2</v>
      </c>
      <c r="D78" s="263">
        <f t="shared" si="14"/>
        <v>0</v>
      </c>
      <c r="E78" s="263">
        <f>_27.5_Year_Original11[[#This Row],[Original Basis]]*_27.5_Year_Original11[[#This Row],[39-Year Rate]]</f>
        <v>0</v>
      </c>
      <c r="F78" s="264">
        <f>F77+_27.5_Year_Original11[[#This Row],[Annual Depreciation]]</f>
        <v>0</v>
      </c>
      <c r="H78" s="261">
        <f t="shared" si="19"/>
        <v>24</v>
      </c>
      <c r="I78" s="109">
        <f t="shared" si="19"/>
        <v>2047</v>
      </c>
      <c r="J78" s="262" cm="1">
        <f t="array" ref="J78">INDEX('39-Year'!$A$1:$M$43,MATCH(_39_Year_Post_CS12[[#This Row],[Year No.]],'39-Year'!$A:$A,0),MONTH($B$6)+1)</f>
        <v>2.564E-2</v>
      </c>
      <c r="K78" s="263">
        <f t="shared" si="15"/>
        <v>0</v>
      </c>
      <c r="L78" s="263">
        <f>_39_Year_Post_CS12[[#This Row],[Adj Basis]]*_39_Year_Post_CS12[[#This Row],[39-Year Rate]]</f>
        <v>0</v>
      </c>
      <c r="M78" s="263">
        <f>M77+_39_Year_Post_CS12[[#This Row],[Annual Depreciation]]</f>
        <v>0</v>
      </c>
    </row>
    <row r="79" spans="1:13">
      <c r="A79" s="261">
        <f t="shared" si="18"/>
        <v>25</v>
      </c>
      <c r="B79" s="109">
        <f t="shared" si="18"/>
        <v>2048</v>
      </c>
      <c r="C79" s="262" cm="1">
        <f t="array" ref="C79">INDEX('39-Year'!$A$1:$M$43,MATCH(_27.5_Year_Original11[[#This Row],[Year No.]],'39-Year'!$A:$A,0),MONTH($B$6)+1)</f>
        <v>2.564E-2</v>
      </c>
      <c r="D79" s="263">
        <f t="shared" si="14"/>
        <v>0</v>
      </c>
      <c r="E79" s="263">
        <f>_27.5_Year_Original11[[#This Row],[Original Basis]]*_27.5_Year_Original11[[#This Row],[39-Year Rate]]</f>
        <v>0</v>
      </c>
      <c r="F79" s="264">
        <f>F78+_27.5_Year_Original11[[#This Row],[Annual Depreciation]]</f>
        <v>0</v>
      </c>
      <c r="H79" s="261">
        <f t="shared" si="19"/>
        <v>25</v>
      </c>
      <c r="I79" s="109">
        <f t="shared" si="19"/>
        <v>2048</v>
      </c>
      <c r="J79" s="262" cm="1">
        <f t="array" ref="J79">INDEX('39-Year'!$A$1:$M$43,MATCH(_39_Year_Post_CS12[[#This Row],[Year No.]],'39-Year'!$A:$A,0),MONTH($B$6)+1)</f>
        <v>2.564E-2</v>
      </c>
      <c r="K79" s="263">
        <f t="shared" si="15"/>
        <v>0</v>
      </c>
      <c r="L79" s="263">
        <f>_39_Year_Post_CS12[[#This Row],[Adj Basis]]*_39_Year_Post_CS12[[#This Row],[39-Year Rate]]</f>
        <v>0</v>
      </c>
      <c r="M79" s="263">
        <f>M78+_39_Year_Post_CS12[[#This Row],[Annual Depreciation]]</f>
        <v>0</v>
      </c>
    </row>
    <row r="80" spans="1:13">
      <c r="A80" s="261">
        <f t="shared" si="18"/>
        <v>26</v>
      </c>
      <c r="B80" s="109">
        <f t="shared" si="18"/>
        <v>2049</v>
      </c>
      <c r="C80" s="262" cm="1">
        <f t="array" ref="C80">INDEX('39-Year'!$A$1:$M$43,MATCH(_27.5_Year_Original11[[#This Row],[Year No.]],'39-Year'!$A:$A,0),MONTH($B$6)+1)</f>
        <v>2.564E-2</v>
      </c>
      <c r="D80" s="263">
        <f t="shared" si="14"/>
        <v>0</v>
      </c>
      <c r="E80" s="263">
        <f>_27.5_Year_Original11[[#This Row],[Original Basis]]*_27.5_Year_Original11[[#This Row],[39-Year Rate]]</f>
        <v>0</v>
      </c>
      <c r="F80" s="264">
        <f>F79+_27.5_Year_Original11[[#This Row],[Annual Depreciation]]</f>
        <v>0</v>
      </c>
      <c r="H80" s="261">
        <f t="shared" si="19"/>
        <v>26</v>
      </c>
      <c r="I80" s="109">
        <f t="shared" si="19"/>
        <v>2049</v>
      </c>
      <c r="J80" s="262" cm="1">
        <f t="array" ref="J80">INDEX('39-Year'!$A$1:$M$43,MATCH(_39_Year_Post_CS12[[#This Row],[Year No.]],'39-Year'!$A:$A,0),MONTH($B$6)+1)</f>
        <v>2.564E-2</v>
      </c>
      <c r="K80" s="263">
        <f t="shared" si="15"/>
        <v>0</v>
      </c>
      <c r="L80" s="263">
        <f>_39_Year_Post_CS12[[#This Row],[Adj Basis]]*_39_Year_Post_CS12[[#This Row],[39-Year Rate]]</f>
        <v>0</v>
      </c>
      <c r="M80" s="263">
        <f>M79+_39_Year_Post_CS12[[#This Row],[Annual Depreciation]]</f>
        <v>0</v>
      </c>
    </row>
    <row r="81" spans="1:13">
      <c r="A81" s="261">
        <f t="shared" si="18"/>
        <v>27</v>
      </c>
      <c r="B81" s="109">
        <f t="shared" si="18"/>
        <v>2050</v>
      </c>
      <c r="C81" s="262" cm="1">
        <f t="array" ref="C81">INDEX('39-Year'!$A$1:$M$43,MATCH(_27.5_Year_Original11[[#This Row],[Year No.]],'39-Year'!$A:$A,0),MONTH($B$6)+1)</f>
        <v>2.564E-2</v>
      </c>
      <c r="D81" s="263">
        <f t="shared" si="14"/>
        <v>0</v>
      </c>
      <c r="E81" s="263">
        <f>_27.5_Year_Original11[[#This Row],[Original Basis]]*_27.5_Year_Original11[[#This Row],[39-Year Rate]]</f>
        <v>0</v>
      </c>
      <c r="F81" s="264">
        <f>F80+_27.5_Year_Original11[[#This Row],[Annual Depreciation]]</f>
        <v>0</v>
      </c>
      <c r="H81" s="261">
        <f t="shared" si="19"/>
        <v>27</v>
      </c>
      <c r="I81" s="109">
        <f t="shared" si="19"/>
        <v>2050</v>
      </c>
      <c r="J81" s="262" cm="1">
        <f t="array" ref="J81">INDEX('39-Year'!$A$1:$M$43,MATCH(_39_Year_Post_CS12[[#This Row],[Year No.]],'39-Year'!$A:$A,0),MONTH($B$6)+1)</f>
        <v>2.564E-2</v>
      </c>
      <c r="K81" s="263">
        <f t="shared" si="15"/>
        <v>0</v>
      </c>
      <c r="L81" s="263">
        <f>_39_Year_Post_CS12[[#This Row],[Adj Basis]]*_39_Year_Post_CS12[[#This Row],[39-Year Rate]]</f>
        <v>0</v>
      </c>
      <c r="M81" s="263">
        <f>M80+_39_Year_Post_CS12[[#This Row],[Annual Depreciation]]</f>
        <v>0</v>
      </c>
    </row>
    <row r="82" spans="1:13">
      <c r="A82" s="261">
        <f t="shared" si="18"/>
        <v>28</v>
      </c>
      <c r="B82" s="109">
        <f t="shared" si="18"/>
        <v>2051</v>
      </c>
      <c r="C82" s="262" cm="1">
        <f t="array" ref="C82">INDEX('39-Year'!$A$1:$M$43,MATCH(_27.5_Year_Original11[[#This Row],[Year No.]],'39-Year'!$A:$A,0),MONTH($B$6)+1)</f>
        <v>2.564E-2</v>
      </c>
      <c r="D82" s="263">
        <f t="shared" si="14"/>
        <v>0</v>
      </c>
      <c r="E82" s="263">
        <f>_27.5_Year_Original11[[#This Row],[Original Basis]]*_27.5_Year_Original11[[#This Row],[39-Year Rate]]</f>
        <v>0</v>
      </c>
      <c r="F82" s="264">
        <f>F81+_27.5_Year_Original11[[#This Row],[Annual Depreciation]]</f>
        <v>0</v>
      </c>
      <c r="H82" s="261">
        <f t="shared" si="19"/>
        <v>28</v>
      </c>
      <c r="I82" s="109">
        <f t="shared" si="19"/>
        <v>2051</v>
      </c>
      <c r="J82" s="262" cm="1">
        <f t="array" ref="J82">INDEX('39-Year'!$A$1:$M$43,MATCH(_39_Year_Post_CS12[[#This Row],[Year No.]],'39-Year'!$A:$A,0),MONTH($B$6)+1)</f>
        <v>2.564E-2</v>
      </c>
      <c r="K82" s="263">
        <f t="shared" si="15"/>
        <v>0</v>
      </c>
      <c r="L82" s="263">
        <f>_39_Year_Post_CS12[[#This Row],[Adj Basis]]*_39_Year_Post_CS12[[#This Row],[39-Year Rate]]</f>
        <v>0</v>
      </c>
      <c r="M82" s="263">
        <f>M81+_39_Year_Post_CS12[[#This Row],[Annual Depreciation]]</f>
        <v>0</v>
      </c>
    </row>
    <row r="83" spans="1:13">
      <c r="A83" s="261">
        <f t="shared" si="18"/>
        <v>29</v>
      </c>
      <c r="B83" s="109">
        <f t="shared" si="18"/>
        <v>2052</v>
      </c>
      <c r="C83" s="262" cm="1">
        <f t="array" ref="C83">INDEX('39-Year'!$A$1:$M$43,MATCH(_27.5_Year_Original11[[#This Row],[Year No.]],'39-Year'!$A:$A,0),MONTH($B$6)+1)</f>
        <v>2.564E-2</v>
      </c>
      <c r="D83" s="263">
        <f t="shared" si="14"/>
        <v>0</v>
      </c>
      <c r="E83" s="263">
        <f>_27.5_Year_Original11[[#This Row],[Original Basis]]*_27.5_Year_Original11[[#This Row],[39-Year Rate]]</f>
        <v>0</v>
      </c>
      <c r="F83" s="264">
        <f>F82+_27.5_Year_Original11[[#This Row],[Annual Depreciation]]</f>
        <v>0</v>
      </c>
      <c r="H83" s="261">
        <f t="shared" si="19"/>
        <v>29</v>
      </c>
      <c r="I83" s="109">
        <f t="shared" si="19"/>
        <v>2052</v>
      </c>
      <c r="J83" s="262" cm="1">
        <f t="array" ref="J83">INDEX('39-Year'!$A$1:$M$43,MATCH(_39_Year_Post_CS12[[#This Row],[Year No.]],'39-Year'!$A:$A,0),MONTH($B$6)+1)</f>
        <v>2.564E-2</v>
      </c>
      <c r="K83" s="263">
        <f t="shared" si="15"/>
        <v>0</v>
      </c>
      <c r="L83" s="263">
        <f>_39_Year_Post_CS12[[#This Row],[Adj Basis]]*_39_Year_Post_CS12[[#This Row],[39-Year Rate]]</f>
        <v>0</v>
      </c>
      <c r="M83" s="263">
        <f>M82+_39_Year_Post_CS12[[#This Row],[Annual Depreciation]]</f>
        <v>0</v>
      </c>
    </row>
    <row r="84" spans="1:13">
      <c r="A84" s="261">
        <f t="shared" si="18"/>
        <v>30</v>
      </c>
      <c r="B84" s="109">
        <f t="shared" si="18"/>
        <v>2053</v>
      </c>
      <c r="C84" s="262" cm="1">
        <f t="array" ref="C84">INDEX('39-Year'!$A$1:$M$43,MATCH(_27.5_Year_Original11[[#This Row],[Year No.]],'39-Year'!$A:$A,0),MONTH($B$6)+1)</f>
        <v>2.564E-2</v>
      </c>
      <c r="D84" s="264">
        <f t="shared" si="14"/>
        <v>0</v>
      </c>
      <c r="E84" s="264">
        <f>_27.5_Year_Original11[[#This Row],[Original Basis]]*_27.5_Year_Original11[[#This Row],[39-Year Rate]]</f>
        <v>0</v>
      </c>
      <c r="F84" s="264">
        <f t="shared" ref="F84:F94" si="20">SUM(E84+F83)</f>
        <v>0</v>
      </c>
      <c r="H84" s="261">
        <f t="shared" si="19"/>
        <v>30</v>
      </c>
      <c r="I84" s="109">
        <f t="shared" si="19"/>
        <v>2053</v>
      </c>
      <c r="J84" s="262" cm="1">
        <f t="array" ref="J84">INDEX('39-Year'!$A$1:$M$43,MATCH(_39_Year_Post_CS12[[#This Row],[Year No.]],'39-Year'!$A:$A,0),MONTH($B$6)+1)</f>
        <v>2.564E-2</v>
      </c>
      <c r="K84" s="264">
        <f t="shared" si="15"/>
        <v>0</v>
      </c>
      <c r="L84" s="264">
        <f>_39_Year_Post_CS12[[#This Row],[Adj Basis]]*_39_Year_Post_CS12[[#This Row],[39-Year Rate]]</f>
        <v>0</v>
      </c>
      <c r="M84" s="264">
        <f t="shared" ref="M84:M94" si="21">SUM(L84+M83)</f>
        <v>0</v>
      </c>
    </row>
    <row r="85" spans="1:13">
      <c r="A85" s="261">
        <f t="shared" si="18"/>
        <v>31</v>
      </c>
      <c r="B85" s="109">
        <f t="shared" si="18"/>
        <v>2054</v>
      </c>
      <c r="C85" s="262" cm="1">
        <f t="array" ref="C85">INDEX('39-Year'!$A$1:$M$43,MATCH(_27.5_Year_Original11[[#This Row],[Year No.]],'39-Year'!$A:$A,0),MONTH($B$6)+1)</f>
        <v>2.564E-2</v>
      </c>
      <c r="D85" s="264">
        <f t="shared" si="14"/>
        <v>0</v>
      </c>
      <c r="E85" s="264">
        <f>_27.5_Year_Original11[[#This Row],[Original Basis]]*_27.5_Year_Original11[[#This Row],[39-Year Rate]]</f>
        <v>0</v>
      </c>
      <c r="F85" s="264">
        <f t="shared" si="20"/>
        <v>0</v>
      </c>
      <c r="H85" s="261">
        <f t="shared" si="19"/>
        <v>31</v>
      </c>
      <c r="I85" s="109">
        <f t="shared" si="19"/>
        <v>2054</v>
      </c>
      <c r="J85" s="262" cm="1">
        <f t="array" ref="J85">INDEX('39-Year'!$A$1:$M$43,MATCH(_39_Year_Post_CS12[[#This Row],[Year No.]],'39-Year'!$A:$A,0),MONTH($B$6)+1)</f>
        <v>2.564E-2</v>
      </c>
      <c r="K85" s="264">
        <f t="shared" si="15"/>
        <v>0</v>
      </c>
      <c r="L85" s="264">
        <f>_39_Year_Post_CS12[[#This Row],[Adj Basis]]*_39_Year_Post_CS12[[#This Row],[39-Year Rate]]</f>
        <v>0</v>
      </c>
      <c r="M85" s="264">
        <f t="shared" si="21"/>
        <v>0</v>
      </c>
    </row>
    <row r="86" spans="1:13">
      <c r="A86" s="261">
        <f t="shared" si="18"/>
        <v>32</v>
      </c>
      <c r="B86" s="109">
        <f t="shared" si="18"/>
        <v>2055</v>
      </c>
      <c r="C86" s="262" cm="1">
        <f t="array" ref="C86">INDEX('39-Year'!$A$1:$M$43,MATCH(_27.5_Year_Original11[[#This Row],[Year No.]],'39-Year'!$A:$A,0),MONTH($B$6)+1)</f>
        <v>2.564E-2</v>
      </c>
      <c r="D86" s="264">
        <f t="shared" si="14"/>
        <v>0</v>
      </c>
      <c r="E86" s="264">
        <f>_27.5_Year_Original11[[#This Row],[Original Basis]]*_27.5_Year_Original11[[#This Row],[39-Year Rate]]</f>
        <v>0</v>
      </c>
      <c r="F86" s="264">
        <f t="shared" si="20"/>
        <v>0</v>
      </c>
      <c r="H86" s="261">
        <f t="shared" si="19"/>
        <v>32</v>
      </c>
      <c r="I86" s="109">
        <f t="shared" si="19"/>
        <v>2055</v>
      </c>
      <c r="J86" s="262" cm="1">
        <f t="array" ref="J86">INDEX('39-Year'!$A$1:$M$43,MATCH(_39_Year_Post_CS12[[#This Row],[Year No.]],'39-Year'!$A:$A,0),MONTH($B$6)+1)</f>
        <v>2.564E-2</v>
      </c>
      <c r="K86" s="264">
        <f t="shared" si="15"/>
        <v>0</v>
      </c>
      <c r="L86" s="264">
        <f>_39_Year_Post_CS12[[#This Row],[Adj Basis]]*_39_Year_Post_CS12[[#This Row],[39-Year Rate]]</f>
        <v>0</v>
      </c>
      <c r="M86" s="264">
        <f t="shared" si="21"/>
        <v>0</v>
      </c>
    </row>
    <row r="87" spans="1:13">
      <c r="A87" s="261">
        <f t="shared" si="18"/>
        <v>33</v>
      </c>
      <c r="B87" s="109">
        <f t="shared" si="18"/>
        <v>2056</v>
      </c>
      <c r="C87" s="262" cm="1">
        <f t="array" ref="C87">INDEX('39-Year'!$A$1:$M$43,MATCH(_27.5_Year_Original11[[#This Row],[Year No.]],'39-Year'!$A:$A,0),MONTH($B$6)+1)</f>
        <v>2.564E-2</v>
      </c>
      <c r="D87" s="264">
        <f t="shared" si="14"/>
        <v>0</v>
      </c>
      <c r="E87" s="264">
        <f>_27.5_Year_Original11[[#This Row],[Original Basis]]*_27.5_Year_Original11[[#This Row],[39-Year Rate]]</f>
        <v>0</v>
      </c>
      <c r="F87" s="264">
        <f t="shared" si="20"/>
        <v>0</v>
      </c>
      <c r="H87" s="261">
        <f t="shared" si="19"/>
        <v>33</v>
      </c>
      <c r="I87" s="109">
        <f t="shared" si="19"/>
        <v>2056</v>
      </c>
      <c r="J87" s="262" cm="1">
        <f t="array" ref="J87">INDEX('39-Year'!$A$1:$M$43,MATCH(_39_Year_Post_CS12[[#This Row],[Year No.]],'39-Year'!$A:$A,0),MONTH($B$6)+1)</f>
        <v>2.564E-2</v>
      </c>
      <c r="K87" s="264">
        <f t="shared" si="15"/>
        <v>0</v>
      </c>
      <c r="L87" s="264">
        <f>_39_Year_Post_CS12[[#This Row],[Adj Basis]]*_39_Year_Post_CS12[[#This Row],[39-Year Rate]]</f>
        <v>0</v>
      </c>
      <c r="M87" s="264">
        <f t="shared" si="21"/>
        <v>0</v>
      </c>
    </row>
    <row r="88" spans="1:13">
      <c r="A88" s="261">
        <f t="shared" si="18"/>
        <v>34</v>
      </c>
      <c r="B88" s="109">
        <f t="shared" si="18"/>
        <v>2057</v>
      </c>
      <c r="C88" s="262" cm="1">
        <f t="array" ref="C88">INDEX('39-Year'!$A$1:$M$43,MATCH(_27.5_Year_Original11[[#This Row],[Year No.]],'39-Year'!$A:$A,0),MONTH($B$6)+1)</f>
        <v>2.564E-2</v>
      </c>
      <c r="D88" s="264">
        <f t="shared" si="14"/>
        <v>0</v>
      </c>
      <c r="E88" s="264">
        <f>_27.5_Year_Original11[[#This Row],[Original Basis]]*_27.5_Year_Original11[[#This Row],[39-Year Rate]]</f>
        <v>0</v>
      </c>
      <c r="F88" s="264">
        <f t="shared" si="20"/>
        <v>0</v>
      </c>
      <c r="H88" s="261">
        <f t="shared" si="19"/>
        <v>34</v>
      </c>
      <c r="I88" s="109">
        <f t="shared" si="19"/>
        <v>2057</v>
      </c>
      <c r="J88" s="262" cm="1">
        <f t="array" ref="J88">INDEX('39-Year'!$A$1:$M$43,MATCH(_39_Year_Post_CS12[[#This Row],[Year No.]],'39-Year'!$A:$A,0),MONTH($B$6)+1)</f>
        <v>2.564E-2</v>
      </c>
      <c r="K88" s="264">
        <f t="shared" si="15"/>
        <v>0</v>
      </c>
      <c r="L88" s="264">
        <f>_39_Year_Post_CS12[[#This Row],[Adj Basis]]*_39_Year_Post_CS12[[#This Row],[39-Year Rate]]</f>
        <v>0</v>
      </c>
      <c r="M88" s="264">
        <f t="shared" si="21"/>
        <v>0</v>
      </c>
    </row>
    <row r="89" spans="1:13">
      <c r="A89" s="261">
        <f t="shared" ref="A89:B94" si="22">A88+1</f>
        <v>35</v>
      </c>
      <c r="B89" s="109">
        <f t="shared" si="22"/>
        <v>2058</v>
      </c>
      <c r="C89" s="262" cm="1">
        <f t="array" ref="C89">INDEX('39-Year'!$A$1:$M$43,MATCH(_27.5_Year_Original11[[#This Row],[Year No.]],'39-Year'!$A:$A,0),MONTH($B$6)+1)</f>
        <v>2.564E-2</v>
      </c>
      <c r="D89" s="264">
        <f t="shared" si="14"/>
        <v>0</v>
      </c>
      <c r="E89" s="264">
        <f>_27.5_Year_Original11[[#This Row],[Original Basis]]*_27.5_Year_Original11[[#This Row],[39-Year Rate]]</f>
        <v>0</v>
      </c>
      <c r="F89" s="264">
        <f t="shared" si="20"/>
        <v>0</v>
      </c>
      <c r="H89" s="261">
        <f t="shared" ref="H89:I94" si="23">H88+1</f>
        <v>35</v>
      </c>
      <c r="I89" s="109">
        <f t="shared" si="23"/>
        <v>2058</v>
      </c>
      <c r="J89" s="262" cm="1">
        <f t="array" ref="J89">INDEX('39-Year'!$A$1:$M$43,MATCH(_39_Year_Post_CS12[[#This Row],[Year No.]],'39-Year'!$A:$A,0),MONTH($B$6)+1)</f>
        <v>2.564E-2</v>
      </c>
      <c r="K89" s="264">
        <f t="shared" si="15"/>
        <v>0</v>
      </c>
      <c r="L89" s="264">
        <f>_39_Year_Post_CS12[[#This Row],[Adj Basis]]*_39_Year_Post_CS12[[#This Row],[39-Year Rate]]</f>
        <v>0</v>
      </c>
      <c r="M89" s="264">
        <f t="shared" si="21"/>
        <v>0</v>
      </c>
    </row>
    <row r="90" spans="1:13">
      <c r="A90" s="261">
        <f t="shared" si="22"/>
        <v>36</v>
      </c>
      <c r="B90" s="109">
        <f t="shared" si="22"/>
        <v>2059</v>
      </c>
      <c r="C90" s="262" cm="1">
        <f t="array" ref="C90">INDEX('39-Year'!$A$1:$M$43,MATCH(_27.5_Year_Original11[[#This Row],[Year No.]],'39-Year'!$A:$A,0),MONTH($B$6)+1)</f>
        <v>2.564E-2</v>
      </c>
      <c r="D90" s="264">
        <f t="shared" si="14"/>
        <v>0</v>
      </c>
      <c r="E90" s="264">
        <f>_27.5_Year_Original11[[#This Row],[Original Basis]]*_27.5_Year_Original11[[#This Row],[39-Year Rate]]</f>
        <v>0</v>
      </c>
      <c r="F90" s="264">
        <f t="shared" si="20"/>
        <v>0</v>
      </c>
      <c r="H90" s="261">
        <f t="shared" si="23"/>
        <v>36</v>
      </c>
      <c r="I90" s="109">
        <f t="shared" si="23"/>
        <v>2059</v>
      </c>
      <c r="J90" s="262" cm="1">
        <f t="array" ref="J90">INDEX('39-Year'!$A$1:$M$43,MATCH(_39_Year_Post_CS12[[#This Row],[Year No.]],'39-Year'!$A:$A,0),MONTH($B$6)+1)</f>
        <v>2.564E-2</v>
      </c>
      <c r="K90" s="264">
        <f t="shared" si="15"/>
        <v>0</v>
      </c>
      <c r="L90" s="264">
        <f>_39_Year_Post_CS12[[#This Row],[Adj Basis]]*_39_Year_Post_CS12[[#This Row],[39-Year Rate]]</f>
        <v>0</v>
      </c>
      <c r="M90" s="264">
        <f t="shared" si="21"/>
        <v>0</v>
      </c>
    </row>
    <row r="91" spans="1:13">
      <c r="A91" s="261">
        <f t="shared" si="22"/>
        <v>37</v>
      </c>
      <c r="B91" s="109">
        <f t="shared" si="22"/>
        <v>2060</v>
      </c>
      <c r="C91" s="262" cm="1">
        <f t="array" ref="C91">INDEX('39-Year'!$A$1:$M$43,MATCH(_27.5_Year_Original11[[#This Row],[Year No.]],'39-Year'!$A:$A,0),MONTH($B$6)+1)</f>
        <v>2.564E-2</v>
      </c>
      <c r="D91" s="264">
        <f t="shared" si="14"/>
        <v>0</v>
      </c>
      <c r="E91" s="264">
        <f>_27.5_Year_Original11[[#This Row],[Original Basis]]*_27.5_Year_Original11[[#This Row],[39-Year Rate]]</f>
        <v>0</v>
      </c>
      <c r="F91" s="264">
        <f t="shared" si="20"/>
        <v>0</v>
      </c>
      <c r="H91" s="261">
        <f t="shared" si="23"/>
        <v>37</v>
      </c>
      <c r="I91" s="109">
        <f t="shared" si="23"/>
        <v>2060</v>
      </c>
      <c r="J91" s="262" cm="1">
        <f t="array" ref="J91">INDEX('39-Year'!$A$1:$M$43,MATCH(_39_Year_Post_CS12[[#This Row],[Year No.]],'39-Year'!$A:$A,0),MONTH($B$6)+1)</f>
        <v>2.564E-2</v>
      </c>
      <c r="K91" s="264">
        <f t="shared" si="15"/>
        <v>0</v>
      </c>
      <c r="L91" s="264">
        <f>_39_Year_Post_CS12[[#This Row],[Adj Basis]]*_39_Year_Post_CS12[[#This Row],[39-Year Rate]]</f>
        <v>0</v>
      </c>
      <c r="M91" s="264">
        <f t="shared" si="21"/>
        <v>0</v>
      </c>
    </row>
    <row r="92" spans="1:13">
      <c r="A92" s="261">
        <f t="shared" si="22"/>
        <v>38</v>
      </c>
      <c r="B92" s="109">
        <f t="shared" si="22"/>
        <v>2061</v>
      </c>
      <c r="C92" s="262" cm="1">
        <f t="array" ref="C92">INDEX('39-Year'!$A$1:$M$43,MATCH(_27.5_Year_Original11[[#This Row],[Year No.]],'39-Year'!$A:$A,0),MONTH($B$6)+1)</f>
        <v>2.564E-2</v>
      </c>
      <c r="D92" s="264">
        <f t="shared" si="14"/>
        <v>0</v>
      </c>
      <c r="E92" s="264">
        <f>_27.5_Year_Original11[[#This Row],[Original Basis]]*_27.5_Year_Original11[[#This Row],[39-Year Rate]]</f>
        <v>0</v>
      </c>
      <c r="F92" s="264">
        <f t="shared" si="20"/>
        <v>0</v>
      </c>
      <c r="H92" s="261">
        <f t="shared" si="23"/>
        <v>38</v>
      </c>
      <c r="I92" s="109">
        <f t="shared" si="23"/>
        <v>2061</v>
      </c>
      <c r="J92" s="262" cm="1">
        <f t="array" ref="J92">INDEX('39-Year'!$A$1:$M$43,MATCH(_39_Year_Post_CS12[[#This Row],[Year No.]],'39-Year'!$A:$A,0),MONTH($B$6)+1)</f>
        <v>2.564E-2</v>
      </c>
      <c r="K92" s="264">
        <f t="shared" si="15"/>
        <v>0</v>
      </c>
      <c r="L92" s="264">
        <f>_39_Year_Post_CS12[[#This Row],[Adj Basis]]*_39_Year_Post_CS12[[#This Row],[39-Year Rate]]</f>
        <v>0</v>
      </c>
      <c r="M92" s="264">
        <f t="shared" si="21"/>
        <v>0</v>
      </c>
    </row>
    <row r="93" spans="1:13">
      <c r="A93" s="261">
        <f t="shared" si="22"/>
        <v>39</v>
      </c>
      <c r="B93" s="109">
        <f t="shared" si="22"/>
        <v>2062</v>
      </c>
      <c r="C93" s="262" cm="1">
        <f t="array" ref="C93">INDEX('39-Year'!$A$1:$M$43,MATCH(_27.5_Year_Original11[[#This Row],[Year No.]],'39-Year'!$A:$A,0),MONTH($B$6)+1)</f>
        <v>2.564E-2</v>
      </c>
      <c r="D93" s="264">
        <f t="shared" si="14"/>
        <v>0</v>
      </c>
      <c r="E93" s="264">
        <f>_27.5_Year_Original11[[#This Row],[Original Basis]]*_27.5_Year_Original11[[#This Row],[39-Year Rate]]</f>
        <v>0</v>
      </c>
      <c r="F93" s="264">
        <f t="shared" si="20"/>
        <v>0</v>
      </c>
      <c r="H93" s="261">
        <f t="shared" si="23"/>
        <v>39</v>
      </c>
      <c r="I93" s="109">
        <f t="shared" si="23"/>
        <v>2062</v>
      </c>
      <c r="J93" s="262" cm="1">
        <f t="array" ref="J93">INDEX('39-Year'!$A$1:$M$43,MATCH(_39_Year_Post_CS12[[#This Row],[Year No.]],'39-Year'!$A:$A,0),MONTH($B$6)+1)</f>
        <v>2.564E-2</v>
      </c>
      <c r="K93" s="264">
        <f t="shared" si="15"/>
        <v>0</v>
      </c>
      <c r="L93" s="264">
        <f>_39_Year_Post_CS12[[#This Row],[Adj Basis]]*_39_Year_Post_CS12[[#This Row],[39-Year Rate]]</f>
        <v>0</v>
      </c>
      <c r="M93" s="264">
        <f t="shared" si="21"/>
        <v>0</v>
      </c>
    </row>
    <row r="94" spans="1:13">
      <c r="A94" s="261">
        <f t="shared" si="22"/>
        <v>40</v>
      </c>
      <c r="B94" s="109">
        <f t="shared" si="22"/>
        <v>2063</v>
      </c>
      <c r="C94" s="262" cm="1">
        <f t="array" ref="C94">INDEX('39-Year'!$A$1:$M$43,MATCH(_27.5_Year_Original11[[#This Row],[Year No.]],'39-Year'!$A:$A,0),MONTH($B$6)+1)</f>
        <v>1.07E-3</v>
      </c>
      <c r="D94" s="264">
        <f t="shared" si="14"/>
        <v>0</v>
      </c>
      <c r="E94" s="264">
        <f>_27.5_Year_Original11[[#This Row],[Original Basis]]*_27.5_Year_Original11[[#This Row],[39-Year Rate]]</f>
        <v>0</v>
      </c>
      <c r="F94" s="264">
        <f t="shared" si="20"/>
        <v>0</v>
      </c>
      <c r="H94" s="261">
        <f t="shared" si="23"/>
        <v>40</v>
      </c>
      <c r="I94" s="109">
        <f t="shared" si="23"/>
        <v>2063</v>
      </c>
      <c r="J94" s="262" cm="1">
        <f t="array" ref="J94">INDEX('39-Year'!$A$1:$M$43,MATCH(_39_Year_Post_CS12[[#This Row],[Year No.]],'39-Year'!$A:$A,0),MONTH($B$6)+1)</f>
        <v>1.07E-3</v>
      </c>
      <c r="K94" s="264">
        <f t="shared" si="15"/>
        <v>0</v>
      </c>
      <c r="L94" s="264">
        <f>_39_Year_Post_CS12[[#This Row],[Adj Basis]]*_39_Year_Post_CS12[[#This Row],[39-Year Rate]]</f>
        <v>0</v>
      </c>
      <c r="M94" s="264">
        <f t="shared" si="21"/>
        <v>0</v>
      </c>
    </row>
  </sheetData>
  <mergeCells count="11">
    <mergeCell ref="A52:F52"/>
    <mergeCell ref="H52:M52"/>
    <mergeCell ref="A18:F18"/>
    <mergeCell ref="H18:M18"/>
    <mergeCell ref="O18:T18"/>
    <mergeCell ref="V18:AA18"/>
    <mergeCell ref="AC18:AH18"/>
    <mergeCell ref="G9:K9"/>
    <mergeCell ref="A1:E1"/>
    <mergeCell ref="B2:E2"/>
    <mergeCell ref="D9:F9"/>
  </mergeCells>
  <conditionalFormatting sqref="B22:B49">
    <cfRule type="containsErrors" dxfId="6" priority="6">
      <formula>ISERROR(B22)</formula>
    </cfRule>
  </conditionalFormatting>
  <conditionalFormatting sqref="B56:B94">
    <cfRule type="containsErrors" dxfId="5" priority="2">
      <formula>ISERROR(B56)</formula>
    </cfRule>
  </conditionalFormatting>
  <conditionalFormatting sqref="I22:I49">
    <cfRule type="containsErrors" dxfId="4" priority="5">
      <formula>ISERROR(I22)</formula>
    </cfRule>
  </conditionalFormatting>
  <conditionalFormatting sqref="I56:I94">
    <cfRule type="containsErrors" dxfId="3" priority="1">
      <formula>ISERROR(I56)</formula>
    </cfRule>
  </conditionalFormatting>
  <conditionalFormatting sqref="P22:P26">
    <cfRule type="containsErrors" dxfId="2" priority="4">
      <formula>ISERROR(P22)</formula>
    </cfRule>
  </conditionalFormatting>
  <conditionalFormatting sqref="W21:W28">
    <cfRule type="containsErrors" dxfId="1" priority="7">
      <formula>ISERROR(W21)</formula>
    </cfRule>
  </conditionalFormatting>
  <conditionalFormatting sqref="AD22:AD36">
    <cfRule type="containsErrors" dxfId="0" priority="3">
      <formula>ISERROR(AD22)</formula>
    </cfRule>
  </conditionalFormatting>
  <pageMargins left="0.7" right="0.7" top="0.75" bottom="0.75" header="0.3" footer="0.3"/>
  <pageSetup scale="50" orientation="landscape" r:id="rId1"/>
  <ignoredErrors>
    <ignoredError sqref="B21:B49 F21:F49 M21:M49 T22:T26 AA22:AA28 AH22:AH36 F55:F94 B55:B94" calculatedColumn="1"/>
  </ignoredErrors>
  <tableParts count="7">
    <tablePart r:id="rId2"/>
    <tablePart r:id="rId3"/>
    <tablePart r:id="rId4"/>
    <tablePart r:id="rId5"/>
    <tablePart r:id="rId6"/>
    <tablePart r:id="rId7"/>
    <tablePart r:id="rId8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3A195-8D94-7F4D-838B-E6FF869FA431}">
  <sheetPr codeName="Sheet7"/>
  <dimension ref="A1:K44"/>
  <sheetViews>
    <sheetView zoomScaleNormal="100" workbookViewId="0">
      <selection activeCell="F29" sqref="F29"/>
    </sheetView>
  </sheetViews>
  <sheetFormatPr defaultColWidth="8.796875" defaultRowHeight="14.4"/>
  <cols>
    <col min="1" max="2" width="17.296875" style="109" customWidth="1"/>
    <col min="3" max="3" width="8.19921875" style="109" customWidth="1"/>
    <col min="4" max="4" width="3" style="109" customWidth="1"/>
    <col min="5" max="5" width="34.5" style="109" bestFit="1" customWidth="1"/>
    <col min="6" max="6" width="22.19921875" style="109" bestFit="1" customWidth="1"/>
    <col min="7" max="8" width="8.796875" style="109"/>
    <col min="9" max="9" width="8.796875" style="109" customWidth="1"/>
    <col min="10" max="10" width="3" style="109" customWidth="1"/>
    <col min="11" max="11" width="36.19921875" style="109" customWidth="1"/>
    <col min="12" max="16384" width="8.796875" style="2"/>
  </cols>
  <sheetData>
    <row r="1" spans="1:11">
      <c r="A1" s="283" t="s">
        <v>303</v>
      </c>
      <c r="B1" s="283"/>
      <c r="C1" s="283"/>
      <c r="E1" s="274"/>
      <c r="F1" s="274"/>
      <c r="G1" s="274" t="s">
        <v>313</v>
      </c>
      <c r="H1" s="274" t="s">
        <v>314</v>
      </c>
      <c r="I1" s="274" t="s">
        <v>62</v>
      </c>
    </row>
    <row r="2" spans="1:11">
      <c r="A2" s="222">
        <v>37145</v>
      </c>
      <c r="B2" s="223">
        <v>37746</v>
      </c>
      <c r="C2" s="224">
        <v>0.3</v>
      </c>
      <c r="E2" s="110" t="s">
        <v>9</v>
      </c>
      <c r="F2" s="110"/>
      <c r="G2" s="224"/>
      <c r="H2" s="224"/>
      <c r="I2" s="224"/>
    </row>
    <row r="3" spans="1:11">
      <c r="A3" s="223">
        <v>37747</v>
      </c>
      <c r="B3" s="223">
        <v>38352</v>
      </c>
      <c r="C3" s="224">
        <v>0.5</v>
      </c>
      <c r="E3" s="276" t="s">
        <v>315</v>
      </c>
      <c r="F3" s="276" t="str">
        <f>E3</f>
        <v>Custom</v>
      </c>
      <c r="G3" s="277">
        <v>0</v>
      </c>
      <c r="H3" s="277">
        <v>0</v>
      </c>
      <c r="I3" s="277">
        <f>SUM(G3:H3)</f>
        <v>0</v>
      </c>
      <c r="K3" s="110" t="s">
        <v>9</v>
      </c>
    </row>
    <row r="4" spans="1:11">
      <c r="A4" s="223">
        <v>38353</v>
      </c>
      <c r="B4" s="223">
        <v>39447</v>
      </c>
      <c r="C4" s="224">
        <v>0</v>
      </c>
      <c r="E4" s="109" t="s">
        <v>325</v>
      </c>
      <c r="F4" s="109" t="str">
        <f>E4</f>
        <v>Single Family Residence</v>
      </c>
      <c r="G4" s="224">
        <v>0.12</v>
      </c>
      <c r="H4" s="224">
        <v>0.08</v>
      </c>
      <c r="I4" s="224">
        <f t="shared" ref="I4:I13" si="0">SUM(G4:H4)</f>
        <v>0.2</v>
      </c>
      <c r="K4" s="109" t="s">
        <v>315</v>
      </c>
    </row>
    <row r="5" spans="1:11">
      <c r="A5" s="223">
        <v>39448</v>
      </c>
      <c r="B5" s="223">
        <v>40429</v>
      </c>
      <c r="C5" s="224">
        <v>0.5</v>
      </c>
      <c r="E5" s="109" t="s">
        <v>330</v>
      </c>
      <c r="F5" s="109" t="str">
        <f t="shared" ref="F5:F13" si="1">E5</f>
        <v>Duplex</v>
      </c>
      <c r="G5" s="224">
        <v>0.14000000000000001</v>
      </c>
      <c r="H5" s="224">
        <v>0.08</v>
      </c>
      <c r="I5" s="224">
        <f t="shared" si="0"/>
        <v>0.22000000000000003</v>
      </c>
      <c r="K5" s="109" t="s">
        <v>325</v>
      </c>
    </row>
    <row r="6" spans="1:11">
      <c r="A6" s="223">
        <v>40430</v>
      </c>
      <c r="B6" s="223">
        <v>40908</v>
      </c>
      <c r="C6" s="224">
        <v>1</v>
      </c>
      <c r="E6" s="109" t="s">
        <v>331</v>
      </c>
      <c r="F6" s="109" t="str">
        <f t="shared" si="1"/>
        <v>Triplex</v>
      </c>
      <c r="G6" s="224">
        <v>0.14000000000000001</v>
      </c>
      <c r="H6" s="224">
        <v>0.08</v>
      </c>
      <c r="I6" s="224">
        <f t="shared" si="0"/>
        <v>0.22000000000000003</v>
      </c>
      <c r="K6" s="109" t="s">
        <v>330</v>
      </c>
    </row>
    <row r="7" spans="1:11">
      <c r="A7" s="223">
        <v>40909</v>
      </c>
      <c r="B7" s="223">
        <v>43005</v>
      </c>
      <c r="C7" s="224">
        <v>0.5</v>
      </c>
      <c r="E7" s="109" t="s">
        <v>332</v>
      </c>
      <c r="F7" s="109" t="str">
        <f t="shared" si="1"/>
        <v>4-Plex</v>
      </c>
      <c r="G7" s="224">
        <v>0.14000000000000001</v>
      </c>
      <c r="H7" s="224">
        <v>0.08</v>
      </c>
      <c r="I7" s="224">
        <f t="shared" si="0"/>
        <v>0.22000000000000003</v>
      </c>
      <c r="K7" s="109" t="s">
        <v>331</v>
      </c>
    </row>
    <row r="8" spans="1:11">
      <c r="A8" s="223">
        <v>43006</v>
      </c>
      <c r="B8" s="223">
        <v>44926</v>
      </c>
      <c r="C8" s="224">
        <v>1</v>
      </c>
      <c r="E8" s="109" t="s">
        <v>333</v>
      </c>
      <c r="F8" s="109" t="str">
        <f t="shared" si="1"/>
        <v>Townhome</v>
      </c>
      <c r="G8" s="224">
        <v>0.12</v>
      </c>
      <c r="H8" s="224">
        <v>0.08</v>
      </c>
      <c r="I8" s="224">
        <f t="shared" si="0"/>
        <v>0.2</v>
      </c>
      <c r="K8" s="109" t="s">
        <v>332</v>
      </c>
    </row>
    <row r="9" spans="1:11">
      <c r="A9" s="223">
        <v>44927</v>
      </c>
      <c r="B9" s="223">
        <v>45291</v>
      </c>
      <c r="C9" s="224">
        <v>0.8</v>
      </c>
      <c r="E9" s="109" t="s">
        <v>95</v>
      </c>
      <c r="F9" s="109" t="str">
        <f t="shared" si="1"/>
        <v>Condo</v>
      </c>
      <c r="G9" s="224">
        <v>0.17</v>
      </c>
      <c r="H9" s="224">
        <v>0</v>
      </c>
      <c r="I9" s="224">
        <f t="shared" si="0"/>
        <v>0.17</v>
      </c>
      <c r="K9" s="109" t="s">
        <v>333</v>
      </c>
    </row>
    <row r="10" spans="1:11">
      <c r="A10" s="223">
        <v>45292</v>
      </c>
      <c r="B10" s="223">
        <v>45657</v>
      </c>
      <c r="C10" s="224">
        <v>0.6</v>
      </c>
      <c r="E10" s="109" t="s">
        <v>334</v>
      </c>
      <c r="F10" s="109" t="str">
        <f t="shared" si="1"/>
        <v>Apartment</v>
      </c>
      <c r="G10" s="224">
        <v>0.14000000000000001</v>
      </c>
      <c r="H10" s="224">
        <v>0.08</v>
      </c>
      <c r="I10" s="224">
        <f t="shared" si="0"/>
        <v>0.22000000000000003</v>
      </c>
      <c r="K10" s="109" t="s">
        <v>95</v>
      </c>
    </row>
    <row r="11" spans="1:11">
      <c r="A11" s="223">
        <v>45658</v>
      </c>
      <c r="B11" s="223">
        <v>45676</v>
      </c>
      <c r="C11" s="224">
        <v>0.4</v>
      </c>
      <c r="E11" s="109" t="s">
        <v>335</v>
      </c>
      <c r="F11" s="109" t="str">
        <f t="shared" si="1"/>
        <v>Mixed-Use</v>
      </c>
      <c r="G11" s="224">
        <v>0.14000000000000001</v>
      </c>
      <c r="H11" s="224">
        <v>0.08</v>
      </c>
      <c r="I11" s="224">
        <f t="shared" si="0"/>
        <v>0.22000000000000003</v>
      </c>
      <c r="K11" s="109" t="s">
        <v>334</v>
      </c>
    </row>
    <row r="12" spans="1:11">
      <c r="A12" s="223">
        <v>45677</v>
      </c>
      <c r="B12" s="223">
        <v>47483</v>
      </c>
      <c r="C12" s="224">
        <v>1</v>
      </c>
      <c r="E12" s="109" t="s">
        <v>326</v>
      </c>
      <c r="F12" s="109" t="str">
        <f t="shared" si="1"/>
        <v>STR Single Family Residence</v>
      </c>
      <c r="G12" s="224">
        <v>0.12</v>
      </c>
      <c r="H12" s="224">
        <v>0.08</v>
      </c>
      <c r="I12" s="224">
        <f t="shared" si="0"/>
        <v>0.2</v>
      </c>
      <c r="K12" s="109" t="s">
        <v>335</v>
      </c>
    </row>
    <row r="13" spans="1:11">
      <c r="A13" s="223"/>
      <c r="B13" s="223"/>
      <c r="E13" s="109" t="s">
        <v>304</v>
      </c>
      <c r="F13" s="109" t="str">
        <f t="shared" si="1"/>
        <v>STR Condo</v>
      </c>
      <c r="G13" s="224">
        <v>0.17</v>
      </c>
      <c r="H13" s="224">
        <v>0</v>
      </c>
      <c r="I13" s="224">
        <f t="shared" si="0"/>
        <v>0.17</v>
      </c>
      <c r="K13" s="109" t="s">
        <v>326</v>
      </c>
    </row>
    <row r="14" spans="1:11">
      <c r="A14" s="223"/>
      <c r="B14" s="223"/>
      <c r="E14" s="109" t="s">
        <v>316</v>
      </c>
      <c r="F14" s="109" t="s">
        <v>325</v>
      </c>
      <c r="G14" s="224">
        <v>0.12</v>
      </c>
      <c r="H14" s="224">
        <v>0.08</v>
      </c>
      <c r="I14" s="224">
        <f>SUM(G14:H14)</f>
        <v>0.2</v>
      </c>
      <c r="K14" s="109" t="s">
        <v>304</v>
      </c>
    </row>
    <row r="15" spans="1:11">
      <c r="A15" s="223"/>
      <c r="B15" s="223"/>
      <c r="E15" s="109" t="s">
        <v>317</v>
      </c>
      <c r="F15" s="109" t="s">
        <v>326</v>
      </c>
      <c r="G15" s="224">
        <v>0.12</v>
      </c>
      <c r="H15" s="224">
        <v>0.08</v>
      </c>
      <c r="I15" s="224">
        <f t="shared" ref="I15" si="2">SUM(G15:H15)</f>
        <v>0.2</v>
      </c>
      <c r="K15" s="109" t="s">
        <v>324</v>
      </c>
    </row>
    <row r="16" spans="1:11">
      <c r="C16" s="225"/>
      <c r="E16" s="109" t="s">
        <v>318</v>
      </c>
      <c r="F16" s="109" t="s">
        <v>325</v>
      </c>
      <c r="G16" s="224">
        <v>0.14000000000000001</v>
      </c>
      <c r="H16" s="224">
        <v>0.1</v>
      </c>
      <c r="I16" s="224">
        <f>SUM(G16:H16)</f>
        <v>0.24000000000000002</v>
      </c>
      <c r="K16" s="109" t="s">
        <v>124</v>
      </c>
    </row>
    <row r="17" spans="3:11">
      <c r="C17" s="225"/>
      <c r="E17" s="109" t="s">
        <v>319</v>
      </c>
      <c r="F17" s="109" t="s">
        <v>326</v>
      </c>
      <c r="G17" s="224">
        <v>0.14000000000000001</v>
      </c>
      <c r="H17" s="224">
        <v>0.1</v>
      </c>
      <c r="I17" s="224">
        <f>SUM(G17:H17)</f>
        <v>0.24000000000000002</v>
      </c>
      <c r="K17" s="109" t="s">
        <v>133</v>
      </c>
    </row>
    <row r="18" spans="3:11">
      <c r="C18" s="225"/>
      <c r="E18" s="109" t="s">
        <v>320</v>
      </c>
      <c r="F18" s="109" t="s">
        <v>325</v>
      </c>
      <c r="G18" s="224">
        <v>0.16</v>
      </c>
      <c r="H18" s="224">
        <v>0.12</v>
      </c>
      <c r="I18" s="224">
        <f>SUM(G18:H18)</f>
        <v>0.28000000000000003</v>
      </c>
      <c r="K18" s="109" t="s">
        <v>171</v>
      </c>
    </row>
    <row r="19" spans="3:11">
      <c r="C19" s="225"/>
      <c r="E19" s="109" t="s">
        <v>321</v>
      </c>
      <c r="F19" s="109" t="s">
        <v>326</v>
      </c>
      <c r="G19" s="224">
        <v>0.16</v>
      </c>
      <c r="H19" s="224">
        <v>0.12</v>
      </c>
      <c r="I19" s="224">
        <f>SUM(G19:H19)</f>
        <v>0.28000000000000003</v>
      </c>
      <c r="K19" s="109" t="s">
        <v>170</v>
      </c>
    </row>
    <row r="20" spans="3:11">
      <c r="C20" s="225"/>
      <c r="E20" s="109" t="s">
        <v>95</v>
      </c>
      <c r="F20" s="109" t="s">
        <v>95</v>
      </c>
      <c r="G20" s="224">
        <v>0.17</v>
      </c>
      <c r="H20" s="224">
        <v>0</v>
      </c>
      <c r="I20" s="224">
        <f t="shared" ref="I20:I44" si="3">SUM(G20:H20)</f>
        <v>0.17</v>
      </c>
      <c r="K20" s="109" t="s">
        <v>329</v>
      </c>
    </row>
    <row r="21" spans="3:11">
      <c r="C21" s="225"/>
      <c r="E21" s="109" t="s">
        <v>304</v>
      </c>
      <c r="F21" s="109" t="s">
        <v>304</v>
      </c>
      <c r="G21" s="224">
        <v>0.17</v>
      </c>
      <c r="H21" s="224">
        <v>0</v>
      </c>
      <c r="I21" s="224">
        <f t="shared" si="3"/>
        <v>0.17</v>
      </c>
      <c r="K21" s="109" t="s">
        <v>336</v>
      </c>
    </row>
    <row r="22" spans="3:11">
      <c r="C22" s="225"/>
      <c r="E22" s="109" t="s">
        <v>322</v>
      </c>
      <c r="F22" s="109" t="s">
        <v>327</v>
      </c>
      <c r="G22" s="224">
        <v>0.14000000000000001</v>
      </c>
      <c r="H22" s="224">
        <v>0.08</v>
      </c>
      <c r="I22" s="224">
        <f t="shared" si="3"/>
        <v>0.22000000000000003</v>
      </c>
      <c r="K22" s="276"/>
    </row>
    <row r="23" spans="3:11">
      <c r="C23" s="225"/>
      <c r="E23" s="109" t="s">
        <v>323</v>
      </c>
      <c r="F23" s="109" t="s">
        <v>327</v>
      </c>
      <c r="G23" s="224">
        <v>0.16</v>
      </c>
      <c r="H23" s="224">
        <v>0.1</v>
      </c>
      <c r="I23" s="224">
        <f t="shared" si="3"/>
        <v>0.26</v>
      </c>
    </row>
    <row r="24" spans="3:11">
      <c r="C24" s="225"/>
      <c r="E24" s="109" t="s">
        <v>324</v>
      </c>
      <c r="F24" s="109" t="s">
        <v>324</v>
      </c>
      <c r="G24" s="224">
        <v>0.15</v>
      </c>
      <c r="H24" s="224">
        <v>0.1</v>
      </c>
      <c r="I24" s="224">
        <f t="shared" si="3"/>
        <v>0.25</v>
      </c>
    </row>
    <row r="25" spans="3:11">
      <c r="C25" s="225"/>
      <c r="E25" s="109" t="s">
        <v>311</v>
      </c>
      <c r="F25" s="109" t="s">
        <v>311</v>
      </c>
      <c r="G25" s="224">
        <v>0.15</v>
      </c>
      <c r="H25" s="224">
        <v>0.1</v>
      </c>
      <c r="I25" s="224">
        <f t="shared" si="3"/>
        <v>0.25</v>
      </c>
    </row>
    <row r="26" spans="3:11">
      <c r="C26" s="225"/>
      <c r="E26" s="109" t="s">
        <v>112</v>
      </c>
      <c r="F26" s="109" t="s">
        <v>112</v>
      </c>
      <c r="G26" s="224">
        <v>0.05</v>
      </c>
      <c r="H26" s="224">
        <v>0.95</v>
      </c>
      <c r="I26" s="224">
        <f t="shared" si="3"/>
        <v>1</v>
      </c>
    </row>
    <row r="27" spans="3:11">
      <c r="C27" s="225"/>
      <c r="E27" s="109" t="s">
        <v>117</v>
      </c>
      <c r="F27" s="109" t="s">
        <v>117</v>
      </c>
      <c r="G27" s="224">
        <v>0.1</v>
      </c>
      <c r="H27" s="224">
        <v>0.1</v>
      </c>
      <c r="I27" s="224">
        <f t="shared" si="3"/>
        <v>0.2</v>
      </c>
    </row>
    <row r="28" spans="3:11">
      <c r="E28" s="109" t="s">
        <v>120</v>
      </c>
      <c r="F28" s="109" t="s">
        <v>120</v>
      </c>
      <c r="G28" s="224">
        <v>0.2</v>
      </c>
      <c r="H28" s="224">
        <v>0.05</v>
      </c>
      <c r="I28" s="224">
        <f t="shared" si="3"/>
        <v>0.25</v>
      </c>
    </row>
    <row r="29" spans="3:11">
      <c r="E29" s="109" t="s">
        <v>124</v>
      </c>
      <c r="F29" s="109" t="s">
        <v>124</v>
      </c>
      <c r="G29" s="224">
        <v>0.2</v>
      </c>
      <c r="H29" s="224">
        <v>0.15</v>
      </c>
      <c r="I29" s="224">
        <f t="shared" si="3"/>
        <v>0.35</v>
      </c>
    </row>
    <row r="30" spans="3:11">
      <c r="E30" s="109" t="s">
        <v>127</v>
      </c>
      <c r="F30" s="109" t="s">
        <v>328</v>
      </c>
      <c r="G30" s="224">
        <v>0.19</v>
      </c>
      <c r="H30" s="224">
        <v>0.06</v>
      </c>
      <c r="I30" s="224">
        <f t="shared" si="3"/>
        <v>0.25</v>
      </c>
    </row>
    <row r="31" spans="3:11">
      <c r="E31" s="109" t="s">
        <v>128</v>
      </c>
      <c r="F31" s="109" t="s">
        <v>328</v>
      </c>
      <c r="G31" s="224">
        <v>0.17</v>
      </c>
      <c r="H31" s="224">
        <v>0.1</v>
      </c>
      <c r="I31" s="224">
        <f t="shared" si="3"/>
        <v>0.27</v>
      </c>
    </row>
    <row r="32" spans="3:11">
      <c r="E32" s="109" t="s">
        <v>312</v>
      </c>
      <c r="F32" s="109" t="s">
        <v>312</v>
      </c>
      <c r="G32" s="224">
        <v>0.12</v>
      </c>
      <c r="H32" s="224">
        <v>0.13</v>
      </c>
      <c r="I32" s="224">
        <f t="shared" si="3"/>
        <v>0.25</v>
      </c>
    </row>
    <row r="33" spans="5:9">
      <c r="E33" s="109" t="s">
        <v>132</v>
      </c>
      <c r="F33" s="109" t="s">
        <v>132</v>
      </c>
      <c r="G33" s="224">
        <v>0.15</v>
      </c>
      <c r="H33" s="224">
        <v>0.15</v>
      </c>
      <c r="I33" s="224">
        <f t="shared" si="3"/>
        <v>0.3</v>
      </c>
    </row>
    <row r="34" spans="5:9">
      <c r="E34" s="109" t="s">
        <v>133</v>
      </c>
      <c r="F34" s="109" t="s">
        <v>133</v>
      </c>
      <c r="G34" s="224">
        <v>0.15</v>
      </c>
      <c r="H34" s="224">
        <v>0.1</v>
      </c>
      <c r="I34" s="224">
        <f t="shared" si="3"/>
        <v>0.25</v>
      </c>
    </row>
    <row r="35" spans="5:9">
      <c r="E35" s="109" t="s">
        <v>168</v>
      </c>
      <c r="F35" s="109" t="s">
        <v>168</v>
      </c>
      <c r="G35" s="224">
        <v>0.15</v>
      </c>
      <c r="H35" s="224">
        <v>0.1</v>
      </c>
      <c r="I35" s="224">
        <f t="shared" si="3"/>
        <v>0.25</v>
      </c>
    </row>
    <row r="36" spans="5:9">
      <c r="E36" s="109" t="s">
        <v>169</v>
      </c>
      <c r="F36" s="109" t="s">
        <v>169</v>
      </c>
      <c r="G36" s="224">
        <v>0.1</v>
      </c>
      <c r="H36" s="224">
        <v>0.1</v>
      </c>
      <c r="I36" s="224">
        <f t="shared" si="3"/>
        <v>0.2</v>
      </c>
    </row>
    <row r="37" spans="5:9">
      <c r="E37" s="109" t="s">
        <v>170</v>
      </c>
      <c r="F37" s="109" t="s">
        <v>170</v>
      </c>
      <c r="G37" s="224">
        <v>0.08</v>
      </c>
      <c r="H37" s="224">
        <v>0.11</v>
      </c>
      <c r="I37" s="224">
        <f t="shared" si="3"/>
        <v>0.19</v>
      </c>
    </row>
    <row r="38" spans="5:9">
      <c r="E38" s="109" t="s">
        <v>171</v>
      </c>
      <c r="F38" s="109" t="s">
        <v>171</v>
      </c>
      <c r="G38" s="224">
        <v>0.1</v>
      </c>
      <c r="H38" s="224">
        <v>0.1</v>
      </c>
      <c r="I38" s="224">
        <f t="shared" si="3"/>
        <v>0.2</v>
      </c>
    </row>
    <row r="39" spans="5:9">
      <c r="E39" s="109" t="s">
        <v>172</v>
      </c>
      <c r="F39" s="109" t="s">
        <v>172</v>
      </c>
      <c r="G39" s="224">
        <v>0.08</v>
      </c>
      <c r="H39" s="224">
        <v>0.1</v>
      </c>
      <c r="I39" s="224">
        <f t="shared" si="3"/>
        <v>0.18</v>
      </c>
    </row>
    <row r="40" spans="5:9">
      <c r="E40" s="109" t="s">
        <v>179</v>
      </c>
      <c r="F40" s="109" t="s">
        <v>329</v>
      </c>
      <c r="G40" s="224">
        <v>0.15</v>
      </c>
      <c r="H40" s="224">
        <v>0.1</v>
      </c>
      <c r="I40" s="224">
        <f t="shared" si="3"/>
        <v>0.25</v>
      </c>
    </row>
    <row r="41" spans="5:9">
      <c r="E41" s="109" t="s">
        <v>181</v>
      </c>
      <c r="F41" s="109" t="s">
        <v>329</v>
      </c>
      <c r="G41" s="224">
        <v>0.15</v>
      </c>
      <c r="H41" s="224">
        <v>0.15</v>
      </c>
      <c r="I41" s="224">
        <f t="shared" si="3"/>
        <v>0.3</v>
      </c>
    </row>
    <row r="42" spans="5:9">
      <c r="E42" s="109" t="s">
        <v>183</v>
      </c>
      <c r="F42" s="109" t="s">
        <v>184</v>
      </c>
      <c r="G42" s="224">
        <v>0.12</v>
      </c>
      <c r="H42" s="224">
        <v>0.2</v>
      </c>
      <c r="I42" s="224">
        <f t="shared" si="3"/>
        <v>0.32</v>
      </c>
    </row>
    <row r="43" spans="5:9">
      <c r="E43" s="109" t="s">
        <v>184</v>
      </c>
      <c r="F43" s="109" t="s">
        <v>184</v>
      </c>
      <c r="G43" s="224">
        <v>0.05</v>
      </c>
      <c r="H43" s="224">
        <v>0.1</v>
      </c>
      <c r="I43" s="224">
        <f t="shared" si="3"/>
        <v>0.15000000000000002</v>
      </c>
    </row>
    <row r="44" spans="5:9">
      <c r="E44" s="109" t="s">
        <v>193</v>
      </c>
      <c r="F44" s="109" t="s">
        <v>336</v>
      </c>
      <c r="G44" s="224">
        <v>0.02</v>
      </c>
      <c r="H44" s="224">
        <v>0.12</v>
      </c>
      <c r="I44" s="224">
        <f t="shared" si="3"/>
        <v>0.13999999999999999</v>
      </c>
    </row>
  </sheetData>
  <mergeCells count="1">
    <mergeCell ref="A1:C1"/>
  </mergeCells>
  <dataValidations count="1">
    <dataValidation type="list" allowBlank="1" showInputMessage="1" sqref="E3" xr:uid="{3B7F67AE-55A4-D840-A573-D5FDC79FED0A}">
      <formula1>$K$3:$K$22</formula1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DED46-DE04-1F46-A6DE-30BA9F8C6F27}">
  <sheetPr codeName="Sheet4">
    <tabColor rgb="FFFFFF00"/>
  </sheetPr>
  <dimension ref="A1:S126"/>
  <sheetViews>
    <sheetView showGridLines="0" tabSelected="1" zoomScale="121" zoomScaleNormal="121" zoomScalePageLayoutView="140" workbookViewId="0">
      <selection activeCell="F37" sqref="F37"/>
    </sheetView>
  </sheetViews>
  <sheetFormatPr defaultColWidth="8.796875" defaultRowHeight="14.4"/>
  <cols>
    <col min="1" max="4" width="9.19921875" style="51" customWidth="1"/>
    <col min="5" max="5" width="12.69921875" style="51" customWidth="1"/>
    <col min="6" max="6" width="21.796875" style="51" customWidth="1"/>
    <col min="7" max="7" width="11.5" style="51" bestFit="1" customWidth="1"/>
    <col min="8" max="8" width="9.19921875" style="51" customWidth="1"/>
    <col min="9" max="9" width="12" style="51" bestFit="1" customWidth="1"/>
    <col min="10" max="10" width="6.296875" style="51" customWidth="1"/>
    <col min="11" max="11" width="11" style="51" customWidth="1"/>
    <col min="12" max="12" width="6.296875" style="10" customWidth="1"/>
    <col min="13" max="13" width="11" style="10" customWidth="1"/>
    <col min="14" max="14" width="17" style="10" customWidth="1"/>
    <col min="15" max="16384" width="8.796875" style="10"/>
  </cols>
  <sheetData>
    <row r="1" spans="1:19">
      <c r="A1" s="289" t="e" vm="1">
        <v>#VALUE!</v>
      </c>
      <c r="B1" s="289"/>
      <c r="C1" s="289"/>
      <c r="D1" s="289"/>
      <c r="E1" s="289"/>
      <c r="F1" s="289"/>
      <c r="G1" s="289"/>
      <c r="H1" s="289"/>
      <c r="I1" s="289"/>
      <c r="J1" s="289"/>
      <c r="K1" s="289"/>
    </row>
    <row r="2" spans="1:19">
      <c r="A2" s="289"/>
      <c r="B2" s="289"/>
      <c r="C2" s="289"/>
      <c r="D2" s="289"/>
      <c r="E2" s="289"/>
      <c r="F2" s="289"/>
      <c r="G2" s="289"/>
      <c r="H2" s="289"/>
      <c r="I2" s="289"/>
      <c r="J2" s="289"/>
      <c r="K2" s="289"/>
    </row>
    <row r="3" spans="1:19">
      <c r="A3" s="289"/>
      <c r="B3" s="289"/>
      <c r="C3" s="289"/>
      <c r="D3" s="289"/>
      <c r="E3" s="289"/>
      <c r="F3" s="289"/>
      <c r="G3" s="289"/>
      <c r="H3" s="289"/>
      <c r="I3" s="289"/>
      <c r="J3" s="289"/>
      <c r="K3" s="289"/>
    </row>
    <row r="4" spans="1:19" s="2" customFormat="1">
      <c r="A4" s="289"/>
      <c r="B4" s="289"/>
      <c r="C4" s="289"/>
      <c r="D4" s="289"/>
      <c r="E4" s="289"/>
      <c r="F4" s="289"/>
      <c r="G4" s="289"/>
      <c r="H4" s="289"/>
      <c r="I4" s="289"/>
      <c r="J4" s="289"/>
      <c r="K4" s="289"/>
      <c r="L4" s="10"/>
      <c r="M4" s="10"/>
    </row>
    <row r="5" spans="1:19" s="2" customFormat="1">
      <c r="A5" s="289"/>
      <c r="B5" s="289"/>
      <c r="C5" s="289"/>
      <c r="D5" s="289"/>
      <c r="E5" s="289"/>
      <c r="F5" s="289"/>
      <c r="G5" s="289"/>
      <c r="H5" s="289"/>
      <c r="I5" s="289"/>
      <c r="J5" s="289"/>
      <c r="K5" s="289"/>
      <c r="L5" s="10"/>
      <c r="M5" s="10"/>
    </row>
    <row r="6" spans="1:19" s="2" customFormat="1" ht="15" customHeight="1">
      <c r="A6" s="51"/>
      <c r="B6" s="51"/>
      <c r="C6" s="51"/>
      <c r="D6" s="51"/>
      <c r="E6" s="51"/>
      <c r="F6" s="51"/>
      <c r="G6" s="51"/>
      <c r="H6" s="51"/>
      <c r="I6" s="51"/>
      <c r="J6" s="51"/>
      <c r="K6" s="51"/>
      <c r="L6" s="10"/>
      <c r="M6" s="10"/>
    </row>
    <row r="7" spans="1:19" ht="39" customHeight="1">
      <c r="A7" s="294" t="s">
        <v>243</v>
      </c>
      <c r="B7" s="294"/>
      <c r="C7" s="294"/>
      <c r="D7" s="294"/>
      <c r="E7" s="294"/>
      <c r="F7" s="294"/>
      <c r="G7" s="294"/>
      <c r="H7" s="294"/>
      <c r="I7" s="294"/>
      <c r="J7" s="294"/>
      <c r="K7" s="294"/>
      <c r="L7" s="2"/>
      <c r="M7" s="2"/>
    </row>
    <row r="8" spans="1:19" s="2" customFormat="1" ht="15" customHeight="1">
      <c r="A8" s="53"/>
      <c r="B8" s="53"/>
      <c r="C8" s="53"/>
      <c r="D8" s="53"/>
      <c r="E8" s="53"/>
      <c r="F8" s="53"/>
      <c r="G8" s="53"/>
      <c r="H8" s="53"/>
      <c r="I8" s="53"/>
      <c r="J8" s="53"/>
      <c r="K8" s="53"/>
      <c r="L8" s="54"/>
      <c r="M8" s="54"/>
      <c r="N8" s="55"/>
      <c r="O8" s="55"/>
      <c r="P8" s="55"/>
      <c r="Q8" s="55"/>
      <c r="R8" s="55"/>
      <c r="S8" s="55"/>
    </row>
    <row r="9" spans="1:19" s="11" customFormat="1" ht="13.8">
      <c r="A9" s="295" t="s">
        <v>240</v>
      </c>
      <c r="B9" s="295"/>
      <c r="C9" s="295"/>
      <c r="D9" s="295"/>
      <c r="E9" s="295"/>
      <c r="F9" s="295"/>
      <c r="G9" s="295"/>
      <c r="H9" s="295"/>
      <c r="I9" s="295"/>
      <c r="J9" s="295"/>
      <c r="K9" s="295"/>
      <c r="L9" s="56"/>
      <c r="M9" s="56"/>
      <c r="N9" s="56"/>
      <c r="O9" s="56"/>
      <c r="P9" s="56"/>
      <c r="Q9" s="56"/>
      <c r="R9" s="56"/>
      <c r="S9" s="56"/>
    </row>
    <row r="10" spans="1:19" s="11" customFormat="1" ht="13.8">
      <c r="A10" s="295"/>
      <c r="B10" s="295"/>
      <c r="C10" s="295"/>
      <c r="D10" s="295"/>
      <c r="E10" s="295"/>
      <c r="F10" s="295"/>
      <c r="G10" s="295"/>
      <c r="H10" s="295"/>
      <c r="I10" s="295"/>
      <c r="J10" s="295"/>
      <c r="K10" s="295"/>
      <c r="L10" s="56"/>
      <c r="M10" s="56"/>
      <c r="N10" s="56"/>
      <c r="O10" s="56"/>
      <c r="P10" s="56"/>
      <c r="Q10" s="56"/>
      <c r="R10" s="56"/>
      <c r="S10" s="56"/>
    </row>
    <row r="11" spans="1:19" s="11" customFormat="1" ht="15" customHeight="1">
      <c r="A11" s="295"/>
      <c r="B11" s="295"/>
      <c r="C11" s="295"/>
      <c r="D11" s="295"/>
      <c r="E11" s="295"/>
      <c r="F11" s="295"/>
      <c r="G11" s="295"/>
      <c r="H11" s="295"/>
      <c r="I11" s="295"/>
      <c r="J11" s="295"/>
      <c r="K11" s="295"/>
      <c r="L11" s="56"/>
      <c r="M11" s="56"/>
      <c r="N11" s="56"/>
      <c r="O11" s="56"/>
      <c r="P11" s="56"/>
      <c r="Q11" s="56"/>
      <c r="R11" s="56"/>
      <c r="S11" s="56"/>
    </row>
    <row r="12" spans="1:19" ht="15" customHeight="1">
      <c r="A12" s="57"/>
      <c r="B12" s="53"/>
      <c r="C12" s="57" t="s">
        <v>34</v>
      </c>
      <c r="D12" s="57"/>
      <c r="E12" s="57"/>
      <c r="F12" s="57"/>
      <c r="G12" s="57" t="s">
        <v>237</v>
      </c>
      <c r="H12" s="53"/>
      <c r="I12" s="57"/>
      <c r="J12" s="57"/>
      <c r="K12" s="57"/>
      <c r="L12" s="54"/>
      <c r="M12" s="54"/>
      <c r="N12" s="54"/>
      <c r="O12" s="54"/>
      <c r="P12" s="54"/>
      <c r="Q12" s="54"/>
      <c r="R12" s="54"/>
      <c r="S12" s="54"/>
    </row>
    <row r="13" spans="1:19">
      <c r="A13" s="57"/>
      <c r="B13" s="53"/>
      <c r="C13" s="57" t="s">
        <v>99</v>
      </c>
      <c r="D13" s="57"/>
      <c r="E13" s="57"/>
      <c r="F13" s="57"/>
      <c r="G13" s="293">
        <v>45292</v>
      </c>
      <c r="H13" s="293"/>
      <c r="I13" s="58"/>
      <c r="J13" s="58"/>
      <c r="K13" s="58"/>
      <c r="L13" s="54"/>
      <c r="M13" s="92" t="s">
        <v>61</v>
      </c>
      <c r="N13" s="275">
        <v>2025</v>
      </c>
      <c r="O13" s="54"/>
      <c r="P13" s="54"/>
      <c r="Q13" s="54"/>
      <c r="R13" s="54"/>
      <c r="S13" s="54"/>
    </row>
    <row r="14" spans="1:19">
      <c r="A14" s="57"/>
      <c r="B14" s="53"/>
      <c r="C14" s="111" t="s">
        <v>244</v>
      </c>
      <c r="D14" s="59"/>
      <c r="E14" s="59"/>
      <c r="F14" s="59"/>
      <c r="G14" s="60">
        <v>0</v>
      </c>
      <c r="H14" s="53"/>
      <c r="I14" s="61"/>
      <c r="J14" s="61"/>
      <c r="K14" s="61"/>
      <c r="L14" s="54"/>
      <c r="M14" s="54"/>
      <c r="N14" s="54"/>
      <c r="O14" s="54"/>
      <c r="P14" s="54"/>
      <c r="Q14" s="54"/>
      <c r="R14" s="54"/>
      <c r="S14" s="54"/>
    </row>
    <row r="15" spans="1:19">
      <c r="A15" s="57"/>
      <c r="B15" s="53"/>
      <c r="C15" s="111" t="s">
        <v>98</v>
      </c>
      <c r="D15" s="59"/>
      <c r="E15" s="59"/>
      <c r="F15" s="59"/>
      <c r="G15" s="60">
        <v>0</v>
      </c>
      <c r="H15" s="53"/>
      <c r="I15" s="62"/>
      <c r="J15" s="62"/>
      <c r="K15" s="62"/>
      <c r="L15" s="54"/>
      <c r="M15" s="54"/>
      <c r="N15" s="54"/>
      <c r="O15" s="54"/>
      <c r="P15" s="54"/>
      <c r="Q15" s="54"/>
      <c r="R15" s="54"/>
      <c r="S15" s="54"/>
    </row>
    <row r="16" spans="1:19">
      <c r="A16" s="57"/>
      <c r="B16" s="53"/>
      <c r="C16" s="107" t="s">
        <v>247</v>
      </c>
      <c r="D16" s="59"/>
      <c r="E16" s="59"/>
      <c r="F16" s="59"/>
      <c r="G16" s="60">
        <f>G14-G15</f>
        <v>0</v>
      </c>
      <c r="H16" s="53"/>
      <c r="I16" s="62"/>
      <c r="J16" s="62"/>
      <c r="K16" s="62"/>
      <c r="L16" s="54"/>
      <c r="M16" s="54"/>
      <c r="N16" s="54"/>
      <c r="O16" s="54"/>
      <c r="P16" s="54"/>
      <c r="Q16" s="54"/>
      <c r="R16" s="54"/>
      <c r="S16" s="54"/>
    </row>
    <row r="17" spans="1:19">
      <c r="A17" s="57"/>
      <c r="B17" s="53"/>
      <c r="C17" s="111" t="s">
        <v>239</v>
      </c>
      <c r="D17" s="59"/>
      <c r="E17" s="59"/>
      <c r="F17" s="59"/>
      <c r="G17" s="60">
        <v>0</v>
      </c>
      <c r="H17" s="53"/>
      <c r="I17" s="62"/>
      <c r="J17" s="62"/>
      <c r="K17" s="62"/>
      <c r="L17" s="54"/>
      <c r="M17" s="54"/>
      <c r="N17" s="54"/>
      <c r="O17" s="54"/>
      <c r="P17" s="54"/>
      <c r="Q17" s="54"/>
      <c r="R17" s="54"/>
      <c r="S17" s="54"/>
    </row>
    <row r="18" spans="1:19">
      <c r="A18" s="57"/>
      <c r="B18" s="53"/>
      <c r="C18" s="107" t="s">
        <v>245</v>
      </c>
      <c r="D18" s="57"/>
      <c r="E18" s="57"/>
      <c r="F18" s="57"/>
      <c r="G18" s="60">
        <f>G16+G17</f>
        <v>0</v>
      </c>
      <c r="H18" s="53"/>
      <c r="I18" s="63"/>
      <c r="J18" s="63"/>
      <c r="K18" s="63"/>
      <c r="L18" s="54"/>
      <c r="M18" s="54"/>
      <c r="N18" s="54"/>
      <c r="O18" s="54"/>
      <c r="P18" s="54"/>
      <c r="Q18" s="54"/>
      <c r="R18" s="54"/>
      <c r="S18" s="54"/>
    </row>
    <row r="19" spans="1:19" ht="15" customHeight="1">
      <c r="A19" s="57"/>
      <c r="B19" s="53"/>
      <c r="C19" s="57" t="str">
        <f>"Accumulated Depreciation as of 12/31/"&amp;'Study Data'!$B$5-1&amp;":"</f>
        <v>Accumulated Depreciation as of 12/31/2024:</v>
      </c>
      <c r="D19" s="57"/>
      <c r="E19" s="57"/>
      <c r="F19" s="57"/>
      <c r="G19" s="62">
        <v>0</v>
      </c>
      <c r="H19" s="53"/>
      <c r="I19" s="63"/>
      <c r="J19" s="63"/>
      <c r="K19" s="63"/>
      <c r="L19" s="54"/>
      <c r="M19" s="54"/>
      <c r="N19" s="54"/>
      <c r="O19" s="54"/>
      <c r="P19" s="54"/>
      <c r="Q19" s="54"/>
      <c r="R19" s="54"/>
      <c r="S19" s="54"/>
    </row>
    <row r="20" spans="1:19" s="2" customFormat="1">
      <c r="A20" s="57"/>
      <c r="B20" s="57"/>
      <c r="C20" s="57" t="s">
        <v>36</v>
      </c>
      <c r="D20" s="57"/>
      <c r="E20" s="57"/>
      <c r="F20" s="64"/>
      <c r="G20" s="57" t="s">
        <v>63</v>
      </c>
      <c r="H20" s="57"/>
      <c r="I20" s="57"/>
      <c r="J20" s="57"/>
      <c r="K20" s="57"/>
      <c r="L20" s="54"/>
      <c r="M20" s="54"/>
      <c r="O20" s="55"/>
      <c r="P20" s="55"/>
      <c r="Q20" s="55"/>
      <c r="R20" s="55"/>
      <c r="S20" s="55"/>
    </row>
    <row r="21" spans="1:19" ht="15" customHeight="1">
      <c r="A21" s="53"/>
      <c r="B21" s="122"/>
      <c r="C21" s="57" t="s">
        <v>37</v>
      </c>
      <c r="D21" s="122"/>
      <c r="E21" s="122"/>
      <c r="F21" s="122"/>
      <c r="G21" s="57" t="s">
        <v>325</v>
      </c>
      <c r="H21" s="123"/>
      <c r="I21" s="65"/>
      <c r="J21" s="65"/>
      <c r="K21" s="53"/>
      <c r="L21" s="54"/>
      <c r="M21" s="54"/>
      <c r="N21" s="59"/>
      <c r="O21" s="54"/>
      <c r="P21" s="54"/>
      <c r="Q21" s="54"/>
      <c r="R21" s="54"/>
      <c r="S21" s="54"/>
    </row>
    <row r="22" spans="1:19">
      <c r="G22" s="53"/>
      <c r="H22" s="57"/>
      <c r="I22" s="57"/>
      <c r="J22" s="57"/>
      <c r="K22" s="66"/>
      <c r="L22" s="55"/>
      <c r="M22" s="55"/>
      <c r="N22" s="54"/>
      <c r="O22" s="54"/>
      <c r="P22" s="54"/>
      <c r="Q22" s="54"/>
      <c r="R22" s="54"/>
      <c r="S22" s="54"/>
    </row>
    <row r="23" spans="1:19">
      <c r="A23" s="57"/>
      <c r="B23" s="57"/>
      <c r="C23" s="57"/>
      <c r="D23" s="57"/>
      <c r="E23" s="57"/>
      <c r="F23" s="57"/>
      <c r="G23" s="57"/>
      <c r="H23" s="57"/>
      <c r="I23" s="57"/>
      <c r="J23" s="57"/>
      <c r="K23" s="57"/>
      <c r="L23" s="54"/>
      <c r="M23" s="54"/>
      <c r="N23" s="54"/>
      <c r="O23" s="54"/>
      <c r="P23" s="54"/>
      <c r="Q23" s="54"/>
      <c r="R23" s="54"/>
      <c r="S23" s="54"/>
    </row>
    <row r="24" spans="1:19" ht="12" customHeight="1" thickBot="1">
      <c r="A24" s="57" t="s">
        <v>38</v>
      </c>
      <c r="B24" s="57"/>
      <c r="C24" s="57"/>
      <c r="D24" s="57"/>
      <c r="E24" s="57"/>
      <c r="F24" s="57"/>
      <c r="G24" s="57"/>
      <c r="H24" s="57"/>
      <c r="I24" s="57"/>
      <c r="J24" s="57"/>
      <c r="K24" s="57"/>
      <c r="L24" s="54"/>
      <c r="M24" s="54"/>
      <c r="N24" s="54"/>
      <c r="O24" s="54"/>
      <c r="P24" s="54"/>
      <c r="Q24" s="54"/>
      <c r="R24" s="54"/>
      <c r="S24" s="54"/>
    </row>
    <row r="25" spans="1:19" ht="45" customHeight="1">
      <c r="A25" s="157" t="s">
        <v>39</v>
      </c>
      <c r="B25" s="286" t="s">
        <v>40</v>
      </c>
      <c r="C25" s="286"/>
      <c r="D25" s="286"/>
      <c r="E25" s="158" t="s">
        <v>41</v>
      </c>
      <c r="F25" s="158" t="s">
        <v>42</v>
      </c>
      <c r="G25" s="158" t="s">
        <v>43</v>
      </c>
      <c r="H25" s="158" t="s">
        <v>44</v>
      </c>
      <c r="I25" s="158" t="s">
        <v>45</v>
      </c>
      <c r="J25" s="286" t="str">
        <f>"Accumulated Depreciation as of 12/31/"&amp;'Study Data'!$B$5-1</f>
        <v>Accumulated Depreciation as of 12/31/2024</v>
      </c>
      <c r="K25" s="286"/>
      <c r="L25" s="296" t="s">
        <v>264</v>
      </c>
      <c r="M25" s="297"/>
      <c r="N25" s="54"/>
      <c r="O25" s="54"/>
      <c r="P25" s="54"/>
      <c r="Q25" s="54"/>
      <c r="R25" s="54"/>
      <c r="S25" s="54"/>
    </row>
    <row r="26" spans="1:19" ht="16.05" customHeight="1">
      <c r="A26" s="159">
        <v>1</v>
      </c>
      <c r="B26" s="287" t="s">
        <v>46</v>
      </c>
      <c r="C26" s="287"/>
      <c r="D26" s="287"/>
      <c r="E26" s="161">
        <f>+$G$13</f>
        <v>45292</v>
      </c>
      <c r="F26" s="162">
        <f>_xlfn.IFNA(ROUND(Calculator!C5,0),0)</f>
        <v>0</v>
      </c>
      <c r="G26" s="160">
        <f>IF($G$20="Residential",27.5,39)</f>
        <v>27.5</v>
      </c>
      <c r="H26" s="160" t="s">
        <v>17</v>
      </c>
      <c r="I26" s="160" t="s">
        <v>72</v>
      </c>
      <c r="J26" s="288">
        <f>ROUND(IF(F26=0,0,'Study Data'!K11),0)</f>
        <v>0</v>
      </c>
      <c r="K26" s="288"/>
      <c r="L26" s="298">
        <f>J26-G19</f>
        <v>0</v>
      </c>
      <c r="M26" s="299"/>
      <c r="N26" s="292"/>
      <c r="O26" s="292"/>
      <c r="P26" s="292"/>
      <c r="Q26" s="292"/>
      <c r="R26" s="54"/>
      <c r="S26" s="54"/>
    </row>
    <row r="27" spans="1:19" ht="41.25" customHeight="1">
      <c r="A27" s="163">
        <v>1.1000000000000001</v>
      </c>
      <c r="B27" s="284" t="s">
        <v>47</v>
      </c>
      <c r="C27" s="284"/>
      <c r="D27" s="284"/>
      <c r="E27" s="164">
        <f>+$G$13</f>
        <v>45292</v>
      </c>
      <c r="F27" s="165">
        <f>_xlfn.IFNA(ROUND(Calculator!C7,0),0)</f>
        <v>0</v>
      </c>
      <c r="G27" s="166">
        <v>5</v>
      </c>
      <c r="H27" s="166" t="s">
        <v>48</v>
      </c>
      <c r="I27" s="166" t="s">
        <v>4</v>
      </c>
      <c r="J27" s="285">
        <f>ROUND(IF(F27=0,0,'Study Data'!K12),0)</f>
        <v>0</v>
      </c>
      <c r="K27" s="285"/>
      <c r="L27" s="300">
        <f>J27</f>
        <v>0</v>
      </c>
      <c r="M27" s="301"/>
      <c r="N27" s="54"/>
      <c r="O27" s="54"/>
      <c r="P27" s="54"/>
      <c r="Q27" s="54"/>
      <c r="R27" s="54"/>
      <c r="S27" s="54"/>
    </row>
    <row r="28" spans="1:19" ht="36" customHeight="1">
      <c r="A28" s="159">
        <v>1.2</v>
      </c>
      <c r="B28" s="290" t="s">
        <v>49</v>
      </c>
      <c r="C28" s="290"/>
      <c r="D28" s="290"/>
      <c r="E28" s="161">
        <f>+$G$13</f>
        <v>45292</v>
      </c>
      <c r="F28" s="162">
        <v>0</v>
      </c>
      <c r="G28" s="160">
        <v>7</v>
      </c>
      <c r="H28" s="160" t="s">
        <v>48</v>
      </c>
      <c r="I28" s="160" t="s">
        <v>4</v>
      </c>
      <c r="J28" s="288">
        <f>ROUND(IF(F28=0,0,'Study Data'!K13),0)</f>
        <v>0</v>
      </c>
      <c r="K28" s="288"/>
      <c r="L28" s="298">
        <f t="shared" ref="L28:L29" si="0">J28</f>
        <v>0</v>
      </c>
      <c r="M28" s="299"/>
      <c r="N28" s="54"/>
      <c r="O28" s="54"/>
      <c r="P28" s="54"/>
      <c r="Q28" s="54"/>
      <c r="R28" s="54"/>
      <c r="S28" s="54"/>
    </row>
    <row r="29" spans="1:19" ht="39" customHeight="1">
      <c r="A29" s="163">
        <v>1.3</v>
      </c>
      <c r="B29" s="284" t="s">
        <v>50</v>
      </c>
      <c r="C29" s="284"/>
      <c r="D29" s="284"/>
      <c r="E29" s="164">
        <f>+$G$13</f>
        <v>45292</v>
      </c>
      <c r="F29" s="165">
        <f>_xlfn.IFNA(ROUND(Calculator!C6,0),0)</f>
        <v>0</v>
      </c>
      <c r="G29" s="166">
        <v>15</v>
      </c>
      <c r="H29" s="166" t="s">
        <v>51</v>
      </c>
      <c r="I29" s="166" t="s">
        <v>4</v>
      </c>
      <c r="J29" s="285">
        <f>ROUND(IF(F29=0,0,'Study Data'!K14),0)</f>
        <v>0</v>
      </c>
      <c r="K29" s="285"/>
      <c r="L29" s="300">
        <f t="shared" si="0"/>
        <v>0</v>
      </c>
      <c r="M29" s="301"/>
      <c r="N29" s="54"/>
      <c r="O29" s="54"/>
      <c r="P29" s="54"/>
      <c r="Q29" s="54"/>
      <c r="R29" s="54"/>
      <c r="S29" s="54"/>
    </row>
    <row r="30" spans="1:19" ht="16.05" customHeight="1" thickBot="1">
      <c r="A30" s="167"/>
      <c r="B30" s="304" t="s">
        <v>52</v>
      </c>
      <c r="C30" s="304"/>
      <c r="D30" s="304"/>
      <c r="E30" s="168"/>
      <c r="F30" s="169">
        <f>SUM(F26:F29)</f>
        <v>0</v>
      </c>
      <c r="G30" s="168"/>
      <c r="H30" s="168"/>
      <c r="I30" s="168"/>
      <c r="J30" s="305">
        <f>SUM(J26:K29)</f>
        <v>0</v>
      </c>
      <c r="K30" s="304"/>
      <c r="L30" s="302">
        <f>SUM(L26:M29)</f>
        <v>0</v>
      </c>
      <c r="M30" s="303"/>
      <c r="N30" s="54"/>
      <c r="O30" s="54"/>
      <c r="P30" s="54"/>
      <c r="Q30" s="54"/>
      <c r="R30" s="54"/>
      <c r="S30" s="54"/>
    </row>
    <row r="31" spans="1:19">
      <c r="A31" s="57"/>
      <c r="B31" s="57"/>
      <c r="C31" s="57"/>
      <c r="D31" s="57"/>
      <c r="E31" s="57"/>
      <c r="F31" s="57"/>
      <c r="G31" s="57"/>
      <c r="H31" s="57"/>
      <c r="I31" s="57"/>
      <c r="J31" s="57"/>
      <c r="K31" s="57"/>
      <c r="L31" s="54"/>
      <c r="M31" s="54"/>
      <c r="N31" s="54"/>
      <c r="O31" s="54"/>
      <c r="P31" s="54"/>
      <c r="Q31" s="54"/>
      <c r="R31" s="54"/>
      <c r="S31" s="54"/>
    </row>
    <row r="32" spans="1:19" ht="15" customHeight="1">
      <c r="A32" s="291" t="s">
        <v>241</v>
      </c>
      <c r="B32" s="291"/>
      <c r="C32" s="291"/>
      <c r="D32" s="291"/>
      <c r="E32" s="291"/>
      <c r="F32" s="291"/>
      <c r="G32" s="291"/>
      <c r="H32" s="291"/>
      <c r="I32" s="291"/>
      <c r="J32" s="291"/>
      <c r="K32" s="291"/>
      <c r="L32" s="291"/>
      <c r="M32" s="291"/>
      <c r="N32" s="54"/>
      <c r="O32" s="54"/>
      <c r="P32" s="54"/>
      <c r="Q32" s="54"/>
      <c r="R32" s="54"/>
      <c r="S32" s="54"/>
    </row>
    <row r="33" spans="1:19">
      <c r="A33" s="291"/>
      <c r="B33" s="291"/>
      <c r="C33" s="291"/>
      <c r="D33" s="291"/>
      <c r="E33" s="291"/>
      <c r="F33" s="291"/>
      <c r="G33" s="291"/>
      <c r="H33" s="291"/>
      <c r="I33" s="291"/>
      <c r="J33" s="291"/>
      <c r="K33" s="291"/>
      <c r="L33" s="291"/>
      <c r="M33" s="291"/>
      <c r="N33" s="54"/>
      <c r="O33" s="54"/>
      <c r="P33" s="54"/>
      <c r="Q33" s="54"/>
      <c r="R33" s="54"/>
      <c r="S33" s="54"/>
    </row>
    <row r="34" spans="1:19">
      <c r="A34" s="53"/>
      <c r="B34" s="53"/>
      <c r="C34" s="53"/>
      <c r="D34" s="53"/>
      <c r="E34" s="53"/>
      <c r="F34" s="53"/>
      <c r="G34" s="53"/>
      <c r="H34" s="53"/>
      <c r="I34" s="53"/>
      <c r="J34" s="53"/>
      <c r="K34" s="53"/>
      <c r="L34" s="54"/>
      <c r="M34" s="54"/>
      <c r="N34" s="54"/>
      <c r="O34" s="54"/>
      <c r="P34" s="54"/>
      <c r="Q34" s="54"/>
      <c r="R34" s="54"/>
      <c r="S34" s="54"/>
    </row>
    <row r="35" spans="1:19">
      <c r="A35" s="53"/>
      <c r="B35" s="53"/>
      <c r="C35" s="53"/>
      <c r="D35" s="53"/>
      <c r="E35" s="53"/>
      <c r="F35" s="53"/>
      <c r="G35" s="53"/>
      <c r="H35" s="53"/>
      <c r="I35" s="53"/>
      <c r="J35" s="53"/>
      <c r="K35" s="53"/>
      <c r="L35" s="54"/>
      <c r="M35" s="267">
        <f>SUM(F27:F29)</f>
        <v>0</v>
      </c>
      <c r="N35" s="54"/>
      <c r="O35" s="54"/>
      <c r="P35" s="54"/>
      <c r="Q35" s="54"/>
      <c r="R35" s="54"/>
      <c r="S35" s="54"/>
    </row>
    <row r="36" spans="1:19">
      <c r="A36" s="53"/>
      <c r="B36" s="53"/>
      <c r="C36" s="53"/>
      <c r="D36" s="53"/>
      <c r="E36" s="53"/>
      <c r="F36" s="53"/>
      <c r="G36" s="53"/>
      <c r="H36" s="53"/>
      <c r="I36" s="53"/>
      <c r="J36" s="53"/>
      <c r="K36" s="53"/>
      <c r="L36" s="54"/>
      <c r="M36" s="54"/>
      <c r="N36" s="54"/>
      <c r="O36" s="54"/>
      <c r="P36" s="54"/>
      <c r="Q36" s="54"/>
      <c r="R36" s="54"/>
      <c r="S36" s="54"/>
    </row>
    <row r="37" spans="1:19">
      <c r="A37" s="53"/>
      <c r="B37" s="53"/>
      <c r="C37" s="53"/>
      <c r="D37" s="53"/>
      <c r="E37" s="53"/>
      <c r="F37" s="53"/>
      <c r="G37" s="53"/>
      <c r="H37" s="53"/>
      <c r="I37" s="53"/>
      <c r="J37" s="53"/>
      <c r="K37" s="53"/>
      <c r="L37" s="54"/>
      <c r="M37" s="54"/>
      <c r="N37" s="54"/>
      <c r="O37" s="54"/>
      <c r="P37" s="54"/>
      <c r="Q37" s="54"/>
      <c r="R37" s="54"/>
      <c r="S37" s="54"/>
    </row>
    <row r="38" spans="1:19">
      <c r="A38" s="308" t="s">
        <v>195</v>
      </c>
      <c r="B38" s="308"/>
      <c r="C38" s="308"/>
      <c r="D38" s="308"/>
      <c r="E38" s="308"/>
      <c r="F38" s="308"/>
      <c r="G38" s="308"/>
      <c r="H38" s="308"/>
      <c r="I38" s="308"/>
      <c r="J38" s="308"/>
      <c r="K38" s="308"/>
      <c r="L38" s="54"/>
      <c r="M38" s="54"/>
      <c r="N38" s="54"/>
      <c r="O38" s="54"/>
      <c r="P38" s="54"/>
      <c r="Q38" s="54"/>
      <c r="R38" s="54"/>
      <c r="S38" s="54"/>
    </row>
    <row r="39" spans="1:19">
      <c r="A39" s="67"/>
      <c r="B39" s="67"/>
      <c r="C39" s="67"/>
      <c r="D39" s="67"/>
      <c r="E39" s="67"/>
      <c r="F39" s="67"/>
      <c r="G39" s="67"/>
      <c r="H39" s="67"/>
      <c r="I39" s="67"/>
      <c r="J39" s="67"/>
      <c r="K39" s="67"/>
      <c r="L39" s="54"/>
      <c r="M39" s="54"/>
      <c r="N39" s="54"/>
      <c r="O39" s="54"/>
      <c r="P39" s="54"/>
      <c r="Q39" s="54"/>
      <c r="R39" s="54"/>
      <c r="S39" s="54"/>
    </row>
    <row r="40" spans="1:19">
      <c r="A40" s="42" t="s">
        <v>196</v>
      </c>
      <c r="B40" s="42"/>
      <c r="C40" s="42"/>
      <c r="D40" s="42"/>
      <c r="E40" s="42" t="str">
        <f>G12</f>
        <v>861 E 800 S, Salt Lake City, UT 84102</v>
      </c>
      <c r="F40" s="42"/>
      <c r="G40" s="42"/>
      <c r="H40" s="42"/>
      <c r="I40" s="42"/>
      <c r="J40" s="42"/>
      <c r="K40" s="42"/>
      <c r="L40" s="54"/>
      <c r="M40" s="54"/>
      <c r="N40" s="54"/>
      <c r="O40" s="54"/>
      <c r="P40" s="54"/>
      <c r="Q40" s="54"/>
      <c r="R40" s="54"/>
      <c r="S40" s="54"/>
    </row>
    <row r="41" spans="1:19">
      <c r="A41" s="309" t="s">
        <v>197</v>
      </c>
      <c r="B41" s="309"/>
      <c r="C41" s="309"/>
      <c r="D41" s="309"/>
      <c r="E41" s="309"/>
      <c r="F41" s="309"/>
      <c r="G41" s="309"/>
      <c r="H41" s="309"/>
      <c r="I41" s="309"/>
      <c r="J41" s="309"/>
      <c r="K41" s="309"/>
      <c r="L41" s="54"/>
      <c r="M41" s="54"/>
      <c r="N41" s="54"/>
      <c r="O41" s="54"/>
      <c r="P41" s="54"/>
      <c r="Q41" s="54"/>
      <c r="R41" s="54"/>
      <c r="S41" s="54"/>
    </row>
    <row r="42" spans="1:19">
      <c r="A42" s="310" t="s">
        <v>198</v>
      </c>
      <c r="B42" s="310"/>
      <c r="C42" s="310"/>
      <c r="D42" s="310"/>
      <c r="E42" s="310"/>
      <c r="F42" s="310"/>
      <c r="G42" s="310"/>
      <c r="H42" s="310"/>
      <c r="I42" s="310"/>
      <c r="J42" s="310"/>
      <c r="K42" s="310"/>
      <c r="L42" s="54"/>
      <c r="M42" s="54"/>
      <c r="N42" s="54"/>
      <c r="O42" s="54"/>
      <c r="P42" s="54"/>
      <c r="Q42" s="54"/>
      <c r="R42" s="54"/>
      <c r="S42" s="54"/>
    </row>
    <row r="43" spans="1:19">
      <c r="A43" s="42" t="s">
        <v>199</v>
      </c>
      <c r="B43" s="311" t="s">
        <v>200</v>
      </c>
      <c r="C43" s="311"/>
      <c r="D43" s="311"/>
      <c r="E43" s="311"/>
      <c r="F43" s="311"/>
      <c r="G43" s="311"/>
      <c r="H43" s="311"/>
      <c r="I43" s="311"/>
      <c r="J43" s="311"/>
      <c r="K43" s="311"/>
      <c r="L43" s="54"/>
      <c r="M43" s="54"/>
      <c r="N43" s="54"/>
      <c r="O43" s="54"/>
      <c r="P43" s="54"/>
      <c r="Q43" s="54"/>
      <c r="R43" s="54"/>
      <c r="S43" s="54"/>
    </row>
    <row r="44" spans="1:19">
      <c r="A44" s="42"/>
      <c r="B44" s="42"/>
      <c r="C44" s="42"/>
      <c r="D44" s="42"/>
      <c r="E44" s="42"/>
      <c r="F44" s="42"/>
      <c r="G44" s="42"/>
      <c r="H44" s="42"/>
      <c r="I44" s="42"/>
      <c r="J44" s="42"/>
      <c r="K44" s="42"/>
      <c r="L44" s="54"/>
      <c r="M44" s="54"/>
      <c r="N44" s="54"/>
      <c r="O44" s="54"/>
      <c r="P44" s="54"/>
      <c r="Q44" s="54"/>
      <c r="R44" s="54"/>
      <c r="S44" s="54"/>
    </row>
    <row r="45" spans="1:19">
      <c r="A45" s="312" t="s">
        <v>201</v>
      </c>
      <c r="B45" s="312"/>
      <c r="C45" s="312"/>
      <c r="D45" s="312"/>
      <c r="E45" s="312"/>
      <c r="F45" s="312"/>
      <c r="G45" s="312"/>
      <c r="H45" s="313" t="s">
        <v>35</v>
      </c>
      <c r="I45" s="313"/>
      <c r="J45" s="312" t="s">
        <v>53</v>
      </c>
      <c r="K45" s="312"/>
      <c r="L45" s="54"/>
      <c r="M45" s="54"/>
      <c r="N45" s="54"/>
      <c r="O45" s="54"/>
      <c r="P45" s="54"/>
      <c r="Q45" s="54"/>
      <c r="R45" s="54"/>
      <c r="S45" s="54"/>
    </row>
    <row r="46" spans="1:19">
      <c r="A46" s="42" t="s">
        <v>47</v>
      </c>
      <c r="B46" s="42"/>
      <c r="C46" s="42"/>
      <c r="D46" s="42"/>
      <c r="E46" s="42"/>
      <c r="F46" s="42"/>
      <c r="G46" s="42"/>
      <c r="H46" s="306">
        <f>$G$13</f>
        <v>45292</v>
      </c>
      <c r="I46" s="306"/>
      <c r="J46" s="307">
        <f>F27</f>
        <v>0</v>
      </c>
      <c r="K46" s="307"/>
      <c r="L46" s="54"/>
      <c r="M46" s="54"/>
      <c r="N46" s="54"/>
      <c r="O46" s="54"/>
      <c r="P46" s="54"/>
      <c r="Q46" s="54"/>
      <c r="R46" s="54"/>
      <c r="S46" s="54"/>
    </row>
    <row r="47" spans="1:19">
      <c r="A47" s="42" t="s">
        <v>202</v>
      </c>
      <c r="B47" s="42"/>
      <c r="C47" s="42"/>
      <c r="D47" s="42"/>
      <c r="E47" s="42"/>
      <c r="F47" s="42"/>
      <c r="G47" s="42"/>
      <c r="H47" s="306">
        <f t="shared" ref="H47:H48" si="1">$G$13</f>
        <v>45292</v>
      </c>
      <c r="I47" s="306"/>
      <c r="J47" s="307">
        <f>F28</f>
        <v>0</v>
      </c>
      <c r="K47" s="307"/>
      <c r="L47" s="54"/>
      <c r="M47" s="54"/>
      <c r="N47" s="54"/>
      <c r="O47" s="54"/>
      <c r="P47" s="54"/>
      <c r="Q47" s="54"/>
      <c r="R47" s="54"/>
      <c r="S47" s="54"/>
    </row>
    <row r="48" spans="1:19">
      <c r="A48" s="42" t="s">
        <v>50</v>
      </c>
      <c r="B48" s="42"/>
      <c r="C48" s="42"/>
      <c r="D48" s="42"/>
      <c r="E48" s="42"/>
      <c r="F48" s="42"/>
      <c r="G48" s="42"/>
      <c r="H48" s="306">
        <f t="shared" si="1"/>
        <v>45292</v>
      </c>
      <c r="I48" s="306"/>
      <c r="J48" s="307">
        <f>F29</f>
        <v>0</v>
      </c>
      <c r="K48" s="307"/>
      <c r="L48" s="54"/>
      <c r="M48" s="54"/>
      <c r="N48" s="54"/>
      <c r="O48" s="54"/>
      <c r="P48" s="54"/>
      <c r="Q48" s="54"/>
      <c r="R48" s="54"/>
      <c r="S48" s="54"/>
    </row>
    <row r="49" spans="1:19">
      <c r="A49" s="42"/>
      <c r="B49" s="42"/>
      <c r="C49" s="42"/>
      <c r="D49" s="42"/>
      <c r="E49" s="42"/>
      <c r="F49" s="42"/>
      <c r="G49" s="42"/>
      <c r="H49" s="42"/>
      <c r="I49" s="42"/>
      <c r="J49" s="42"/>
      <c r="K49" s="42"/>
      <c r="L49" s="54"/>
      <c r="M49" s="54"/>
      <c r="N49" s="54"/>
      <c r="O49" s="54"/>
      <c r="P49" s="54"/>
      <c r="Q49" s="54"/>
      <c r="R49" s="54"/>
      <c r="S49" s="54"/>
    </row>
    <row r="50" spans="1:19">
      <c r="A50" s="68" t="s">
        <v>203</v>
      </c>
      <c r="B50" s="311" t="s">
        <v>204</v>
      </c>
      <c r="C50" s="311"/>
      <c r="D50" s="311"/>
      <c r="E50" s="311"/>
      <c r="F50" s="311"/>
      <c r="G50" s="311"/>
      <c r="H50" s="311"/>
      <c r="I50" s="311"/>
      <c r="J50" s="311"/>
      <c r="K50" s="311"/>
      <c r="L50" s="54"/>
      <c r="M50" s="54"/>
      <c r="N50" s="54"/>
      <c r="O50" s="54"/>
      <c r="P50" s="54"/>
      <c r="Q50" s="54"/>
      <c r="R50" s="54"/>
      <c r="S50" s="54"/>
    </row>
    <row r="51" spans="1:19">
      <c r="A51" s="42" t="s">
        <v>205</v>
      </c>
      <c r="B51" s="311" t="s">
        <v>206</v>
      </c>
      <c r="C51" s="311"/>
      <c r="D51" s="311"/>
      <c r="E51" s="311"/>
      <c r="F51" s="311"/>
      <c r="G51" s="311"/>
      <c r="H51" s="311"/>
      <c r="I51" s="311"/>
      <c r="J51" s="311"/>
      <c r="K51" s="311"/>
      <c r="L51" s="54"/>
      <c r="M51" s="54"/>
      <c r="N51" s="54"/>
      <c r="O51" s="54"/>
      <c r="P51" s="54"/>
      <c r="Q51" s="54"/>
      <c r="R51" s="54"/>
      <c r="S51" s="54"/>
    </row>
    <row r="52" spans="1:19">
      <c r="A52" s="42" t="s">
        <v>207</v>
      </c>
      <c r="B52" s="311" t="s">
        <v>208</v>
      </c>
      <c r="C52" s="311"/>
      <c r="D52" s="311"/>
      <c r="E52" s="311"/>
      <c r="F52" s="311"/>
      <c r="G52" s="311"/>
      <c r="H52" s="316" t="s">
        <v>64</v>
      </c>
      <c r="I52" s="316"/>
      <c r="J52" s="316"/>
      <c r="K52" s="316"/>
      <c r="L52" s="54"/>
      <c r="M52" s="54"/>
      <c r="N52" s="54"/>
      <c r="O52" s="54"/>
      <c r="P52" s="54"/>
      <c r="Q52" s="54"/>
      <c r="R52" s="54"/>
      <c r="S52" s="54"/>
    </row>
    <row r="53" spans="1:19">
      <c r="A53" s="42"/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54"/>
      <c r="M53" s="54"/>
      <c r="N53" s="54"/>
      <c r="O53" s="54"/>
      <c r="P53" s="54"/>
      <c r="Q53" s="54"/>
      <c r="R53" s="54"/>
      <c r="S53" s="54"/>
    </row>
    <row r="54" spans="1:19">
      <c r="A54" s="310" t="s">
        <v>248</v>
      </c>
      <c r="B54" s="310"/>
      <c r="C54" s="310"/>
      <c r="D54" s="310"/>
      <c r="E54" s="310"/>
      <c r="F54" s="310"/>
      <c r="G54" s="310"/>
      <c r="H54" s="310"/>
      <c r="I54" s="310"/>
      <c r="J54" s="310"/>
      <c r="K54" s="310"/>
      <c r="L54" s="54"/>
      <c r="M54" s="54"/>
      <c r="N54" s="54"/>
      <c r="O54" s="54"/>
      <c r="P54" s="54"/>
      <c r="Q54" s="54"/>
      <c r="R54" s="54"/>
      <c r="S54" s="54"/>
    </row>
    <row r="55" spans="1:19">
      <c r="A55" s="310" t="s">
        <v>209</v>
      </c>
      <c r="B55" s="310"/>
      <c r="C55" s="310"/>
      <c r="D55" s="310"/>
      <c r="E55" s="310"/>
      <c r="F55" s="316" t="str">
        <f>IF($F$56=531110,"Lessors of Residential Buildings and Dwellings","Lessors of Nonresidential Buildings")</f>
        <v>Lessors of Residential Buildings and Dwellings</v>
      </c>
      <c r="G55" s="316"/>
      <c r="H55" s="316"/>
      <c r="I55" s="316"/>
      <c r="J55" s="316"/>
      <c r="K55" s="316"/>
      <c r="L55" s="54"/>
      <c r="M55" s="54"/>
      <c r="N55" s="54"/>
      <c r="O55" s="54"/>
      <c r="P55" s="54"/>
      <c r="Q55" s="54"/>
      <c r="R55" s="54"/>
      <c r="S55" s="54"/>
    </row>
    <row r="56" spans="1:19">
      <c r="A56" s="310" t="s">
        <v>210</v>
      </c>
      <c r="B56" s="310"/>
      <c r="C56" s="310"/>
      <c r="D56" s="310"/>
      <c r="E56" s="310"/>
      <c r="F56" s="316">
        <f>IF($G$20="Residential",531110,531120)</f>
        <v>531110</v>
      </c>
      <c r="G56" s="316"/>
      <c r="H56" s="316"/>
      <c r="I56" s="316"/>
      <c r="J56" s="316"/>
      <c r="K56" s="316"/>
      <c r="L56" s="54"/>
      <c r="M56" s="54"/>
      <c r="N56" s="54"/>
      <c r="O56" s="54"/>
      <c r="P56" s="54"/>
      <c r="Q56" s="54"/>
      <c r="R56" s="54"/>
      <c r="S56" s="54"/>
    </row>
    <row r="57" spans="1:19">
      <c r="A57" s="114"/>
      <c r="B57" s="114"/>
      <c r="C57" s="114"/>
      <c r="D57" s="114"/>
      <c r="E57" s="114"/>
      <c r="F57" s="71"/>
      <c r="G57" s="71"/>
      <c r="H57" s="71"/>
      <c r="I57" s="71"/>
      <c r="J57" s="71"/>
      <c r="K57" s="71"/>
      <c r="L57" s="54"/>
      <c r="M57" s="54"/>
      <c r="N57" s="54"/>
      <c r="O57" s="54"/>
      <c r="P57" s="54"/>
      <c r="Q57" s="54"/>
      <c r="R57" s="54"/>
      <c r="S57" s="54"/>
    </row>
    <row r="58" spans="1:19">
      <c r="A58" s="310" t="s">
        <v>249</v>
      </c>
      <c r="B58" s="310"/>
      <c r="C58" s="310"/>
      <c r="D58" s="310"/>
      <c r="E58" s="310"/>
      <c r="F58" s="310"/>
      <c r="G58" s="310"/>
      <c r="H58" s="310"/>
      <c r="I58" s="310"/>
      <c r="J58" s="310"/>
      <c r="K58" s="310"/>
      <c r="L58" s="54"/>
      <c r="M58" s="54"/>
      <c r="N58" s="54"/>
      <c r="O58" s="54"/>
      <c r="P58" s="54"/>
      <c r="Q58" s="54"/>
      <c r="R58" s="54"/>
      <c r="S58" s="54"/>
    </row>
    <row r="59" spans="1:19">
      <c r="A59" s="114" t="s">
        <v>199</v>
      </c>
      <c r="B59" s="314" t="s">
        <v>250</v>
      </c>
      <c r="C59" s="314"/>
      <c r="D59" s="314"/>
      <c r="E59" s="314"/>
      <c r="F59" s="314"/>
      <c r="G59" s="314"/>
      <c r="H59" s="314"/>
      <c r="I59" s="314"/>
      <c r="J59" s="314"/>
      <c r="K59" s="314"/>
      <c r="L59" s="54"/>
      <c r="M59" s="54"/>
      <c r="N59" s="54"/>
      <c r="O59" s="54"/>
      <c r="P59" s="54"/>
      <c r="Q59" s="54"/>
      <c r="R59" s="54"/>
      <c r="S59" s="54"/>
    </row>
    <row r="60" spans="1:19">
      <c r="A60" s="114"/>
      <c r="B60" s="314" t="s">
        <v>251</v>
      </c>
      <c r="C60" s="314"/>
      <c r="D60" s="314"/>
      <c r="E60" s="314"/>
      <c r="F60" s="314"/>
      <c r="G60" s="314"/>
      <c r="H60" s="314"/>
      <c r="I60" s="314"/>
      <c r="J60" s="314"/>
      <c r="K60" s="314"/>
      <c r="L60" s="54"/>
      <c r="M60" s="54"/>
      <c r="N60" s="54"/>
      <c r="O60" s="54"/>
      <c r="P60" s="54"/>
      <c r="Q60" s="54"/>
      <c r="R60" s="54"/>
      <c r="S60" s="54"/>
    </row>
    <row r="61" spans="1:19">
      <c r="A61" s="114"/>
      <c r="B61" s="114"/>
      <c r="C61" s="114"/>
      <c r="D61" s="114"/>
      <c r="E61" s="114"/>
      <c r="F61" s="71"/>
      <c r="G61" s="71"/>
      <c r="H61" s="71"/>
      <c r="I61" s="71"/>
      <c r="J61" s="71"/>
      <c r="K61" s="71"/>
      <c r="L61" s="54"/>
      <c r="M61" s="54"/>
      <c r="N61" s="54"/>
      <c r="O61" s="54"/>
      <c r="P61" s="54"/>
      <c r="Q61" s="54"/>
      <c r="R61" s="54"/>
      <c r="S61" s="54"/>
    </row>
    <row r="62" spans="1:19">
      <c r="A62" s="114"/>
      <c r="B62" s="114" t="s">
        <v>252</v>
      </c>
      <c r="C62" s="114"/>
      <c r="D62" s="114"/>
      <c r="E62" s="114"/>
      <c r="F62" s="71"/>
      <c r="G62" s="71"/>
      <c r="H62" s="71"/>
      <c r="I62" s="71"/>
      <c r="J62" s="71"/>
      <c r="K62" s="71"/>
      <c r="L62" s="54"/>
      <c r="M62" s="54"/>
      <c r="N62" s="54"/>
      <c r="O62" s="54"/>
      <c r="P62" s="54"/>
      <c r="Q62" s="54"/>
      <c r="R62" s="54"/>
      <c r="S62" s="54"/>
    </row>
    <row r="63" spans="1:19">
      <c r="A63" s="114"/>
      <c r="B63" s="114"/>
      <c r="C63" s="114"/>
      <c r="D63" s="114"/>
      <c r="E63" s="114"/>
      <c r="F63" s="71"/>
      <c r="G63" s="71"/>
      <c r="H63" s="71"/>
      <c r="I63" s="71"/>
      <c r="J63" s="71"/>
      <c r="K63" s="71"/>
      <c r="L63" s="54"/>
      <c r="M63" s="54"/>
      <c r="N63" s="54"/>
      <c r="O63" s="54"/>
      <c r="P63" s="54"/>
      <c r="Q63" s="54"/>
      <c r="R63" s="54"/>
      <c r="S63" s="54"/>
    </row>
    <row r="64" spans="1:19">
      <c r="A64" s="114"/>
      <c r="B64" s="314" t="s">
        <v>253</v>
      </c>
      <c r="C64" s="314"/>
      <c r="D64" s="314"/>
      <c r="E64" s="314"/>
      <c r="F64" s="314"/>
      <c r="G64" s="314"/>
      <c r="H64" s="314"/>
      <c r="I64" s="314"/>
      <c r="J64" s="314"/>
      <c r="K64" s="314"/>
      <c r="L64" s="54"/>
      <c r="M64" s="54"/>
      <c r="N64" s="54"/>
      <c r="O64" s="54"/>
      <c r="P64" s="54"/>
      <c r="Q64" s="54"/>
      <c r="R64" s="54"/>
      <c r="S64" s="54"/>
    </row>
    <row r="65" spans="1:19">
      <c r="A65" s="114"/>
      <c r="B65" s="314" t="s">
        <v>254</v>
      </c>
      <c r="C65" s="314"/>
      <c r="D65" s="314"/>
      <c r="E65" s="314"/>
      <c r="F65" s="314"/>
      <c r="G65" s="314"/>
      <c r="H65" s="314"/>
      <c r="I65" s="314"/>
      <c r="J65" s="314"/>
      <c r="K65" s="314"/>
      <c r="L65" s="54"/>
      <c r="M65" s="54"/>
      <c r="N65" s="54"/>
      <c r="O65" s="54"/>
      <c r="P65" s="54"/>
      <c r="Q65" s="54"/>
      <c r="R65" s="54"/>
      <c r="S65" s="54"/>
    </row>
    <row r="66" spans="1:19">
      <c r="A66" s="114"/>
      <c r="B66" s="314" t="s">
        <v>255</v>
      </c>
      <c r="C66" s="314"/>
      <c r="D66" s="314"/>
      <c r="E66" s="314"/>
      <c r="F66" s="314"/>
      <c r="G66" s="314"/>
      <c r="H66" s="314"/>
      <c r="I66" s="314"/>
      <c r="J66" s="314"/>
      <c r="K66" s="314"/>
      <c r="L66" s="54"/>
      <c r="M66" s="54"/>
      <c r="N66" s="54"/>
      <c r="O66" s="54"/>
      <c r="P66" s="54"/>
      <c r="Q66" s="54"/>
      <c r="R66" s="54"/>
      <c r="S66" s="54"/>
    </row>
    <row r="67" spans="1:19">
      <c r="A67" s="114"/>
      <c r="B67" s="314" t="s">
        <v>256</v>
      </c>
      <c r="C67" s="314"/>
      <c r="D67" s="314"/>
      <c r="E67" s="314"/>
      <c r="F67" s="314"/>
      <c r="G67" s="314"/>
      <c r="H67" s="314"/>
      <c r="I67" s="314"/>
      <c r="J67" s="314"/>
      <c r="K67" s="314"/>
      <c r="L67" s="54"/>
      <c r="M67" s="54"/>
      <c r="N67" s="54"/>
      <c r="O67" s="54"/>
      <c r="P67" s="54"/>
      <c r="Q67" s="54"/>
      <c r="R67" s="54"/>
      <c r="S67" s="54"/>
    </row>
    <row r="68" spans="1:19">
      <c r="A68" s="114"/>
      <c r="B68" s="314" t="s">
        <v>257</v>
      </c>
      <c r="C68" s="314"/>
      <c r="D68" s="314"/>
      <c r="E68" s="314"/>
      <c r="F68" s="314"/>
      <c r="G68" s="314"/>
      <c r="H68" s="314"/>
      <c r="I68" s="314"/>
      <c r="J68" s="314"/>
      <c r="K68" s="314"/>
      <c r="L68" s="54"/>
      <c r="M68" s="54"/>
      <c r="N68" s="54"/>
      <c r="O68" s="54"/>
      <c r="P68" s="54"/>
      <c r="Q68" s="54"/>
      <c r="R68" s="54"/>
      <c r="S68" s="54"/>
    </row>
    <row r="69" spans="1:19">
      <c r="A69" s="114"/>
      <c r="B69" s="114"/>
      <c r="C69" s="114"/>
      <c r="D69" s="114"/>
      <c r="E69" s="114"/>
      <c r="F69" s="71"/>
      <c r="G69" s="71"/>
      <c r="H69" s="71"/>
      <c r="I69" s="71"/>
      <c r="J69" s="71"/>
      <c r="K69" s="71"/>
      <c r="L69" s="54"/>
      <c r="M69" s="54"/>
      <c r="N69" s="54"/>
      <c r="O69" s="54"/>
      <c r="P69" s="54"/>
      <c r="Q69" s="54"/>
      <c r="R69" s="54"/>
      <c r="S69" s="54"/>
    </row>
    <row r="70" spans="1:19">
      <c r="A70" s="114"/>
      <c r="B70" s="114" t="s">
        <v>258</v>
      </c>
      <c r="C70" s="114"/>
      <c r="D70" s="114"/>
      <c r="E70" s="114"/>
      <c r="F70" s="71"/>
      <c r="G70" s="71"/>
      <c r="H70" s="71"/>
      <c r="I70" s="71"/>
      <c r="J70" s="71"/>
      <c r="K70" s="71"/>
      <c r="L70" s="54"/>
      <c r="M70" s="54"/>
      <c r="N70" s="54"/>
      <c r="O70" s="54"/>
      <c r="P70" s="54"/>
      <c r="Q70" s="54"/>
      <c r="R70" s="54"/>
      <c r="S70" s="54"/>
    </row>
    <row r="71" spans="1:19">
      <c r="A71" s="114"/>
      <c r="B71" s="114"/>
      <c r="C71" s="114"/>
      <c r="D71" s="114"/>
      <c r="E71" s="114"/>
      <c r="F71" s="71"/>
      <c r="G71" s="71"/>
      <c r="H71" s="71"/>
      <c r="I71" s="71"/>
      <c r="J71" s="71"/>
      <c r="K71" s="71"/>
      <c r="L71" s="54"/>
      <c r="M71" s="54"/>
      <c r="N71" s="54"/>
      <c r="O71" s="54"/>
      <c r="P71" s="54"/>
      <c r="Q71" s="54"/>
      <c r="R71" s="54"/>
      <c r="S71" s="54"/>
    </row>
    <row r="72" spans="1:19">
      <c r="A72" s="114"/>
      <c r="B72" s="314" t="s">
        <v>259</v>
      </c>
      <c r="C72" s="314"/>
      <c r="D72" s="314"/>
      <c r="E72" s="314"/>
      <c r="F72" s="314"/>
      <c r="G72" s="314"/>
      <c r="H72" s="314"/>
      <c r="I72" s="314"/>
      <c r="J72" s="314"/>
      <c r="K72" s="314"/>
      <c r="L72" s="54"/>
      <c r="M72" s="54"/>
      <c r="N72" s="54"/>
      <c r="O72" s="54"/>
      <c r="P72" s="54"/>
      <c r="Q72" s="54"/>
      <c r="R72" s="54"/>
      <c r="S72" s="54"/>
    </row>
    <row r="73" spans="1:19">
      <c r="A73" s="114"/>
      <c r="B73" s="314" t="s">
        <v>260</v>
      </c>
      <c r="C73" s="314"/>
      <c r="D73" s="314"/>
      <c r="E73" s="314"/>
      <c r="F73" s="314"/>
      <c r="G73" s="314"/>
      <c r="H73" s="314"/>
      <c r="I73" s="314"/>
      <c r="J73" s="314"/>
      <c r="K73" s="314"/>
      <c r="L73" s="54"/>
      <c r="M73" s="54"/>
      <c r="N73" s="54"/>
      <c r="O73" s="54"/>
      <c r="P73" s="54"/>
      <c r="Q73" s="54"/>
      <c r="R73" s="54"/>
      <c r="S73" s="54"/>
    </row>
    <row r="74" spans="1:19">
      <c r="A74" s="114"/>
      <c r="B74" s="314" t="s">
        <v>261</v>
      </c>
      <c r="C74" s="314"/>
      <c r="D74" s="314"/>
      <c r="E74" s="314"/>
      <c r="F74" s="314"/>
      <c r="G74" s="314"/>
      <c r="H74" s="314"/>
      <c r="I74" s="314"/>
      <c r="J74" s="314"/>
      <c r="K74" s="314"/>
      <c r="L74" s="54"/>
      <c r="M74" s="54"/>
      <c r="N74" s="54"/>
      <c r="O74" s="54"/>
      <c r="P74" s="54"/>
      <c r="Q74" s="54"/>
      <c r="R74" s="54"/>
      <c r="S74" s="54"/>
    </row>
    <row r="75" spans="1:19">
      <c r="A75" s="114"/>
      <c r="B75" s="314" t="s">
        <v>262</v>
      </c>
      <c r="C75" s="314"/>
      <c r="D75" s="314"/>
      <c r="E75" s="314"/>
      <c r="F75" s="314"/>
      <c r="G75" s="314"/>
      <c r="H75" s="314"/>
      <c r="I75" s="314"/>
      <c r="J75" s="314"/>
      <c r="K75" s="314"/>
      <c r="L75" s="54"/>
      <c r="M75" s="54"/>
      <c r="N75" s="54"/>
      <c r="O75" s="54"/>
      <c r="P75" s="54"/>
      <c r="Q75" s="54"/>
      <c r="R75" s="54"/>
      <c r="S75" s="54"/>
    </row>
    <row r="76" spans="1:19">
      <c r="A76" s="114"/>
      <c r="B76" s="114"/>
      <c r="C76" s="114"/>
      <c r="D76" s="114"/>
      <c r="E76" s="114"/>
      <c r="F76" s="71"/>
      <c r="G76" s="71"/>
      <c r="H76" s="71"/>
      <c r="I76" s="71"/>
      <c r="J76" s="71"/>
      <c r="K76" s="71"/>
      <c r="L76" s="54"/>
      <c r="M76" s="54"/>
      <c r="N76" s="54"/>
      <c r="O76" s="54"/>
      <c r="P76" s="54"/>
      <c r="Q76" s="54"/>
      <c r="R76" s="54"/>
      <c r="S76" s="54"/>
    </row>
    <row r="77" spans="1:19">
      <c r="A77" s="42" t="s">
        <v>203</v>
      </c>
      <c r="B77" s="315" t="s">
        <v>263</v>
      </c>
      <c r="C77" s="315"/>
      <c r="D77" s="315"/>
      <c r="E77" s="315"/>
      <c r="F77" s="315"/>
      <c r="G77" s="315"/>
      <c r="H77" s="315"/>
      <c r="I77" s="315"/>
      <c r="J77" s="315"/>
      <c r="K77" s="315"/>
      <c r="L77" s="54"/>
      <c r="M77" s="54"/>
      <c r="N77" s="54"/>
      <c r="O77" s="54"/>
      <c r="P77" s="54"/>
      <c r="Q77" s="54"/>
      <c r="R77" s="54"/>
      <c r="S77" s="54"/>
    </row>
    <row r="78" spans="1:19">
      <c r="A78" s="42"/>
      <c r="B78" s="42"/>
      <c r="C78" s="42"/>
      <c r="D78" s="42"/>
      <c r="E78" s="42"/>
      <c r="F78" s="42"/>
      <c r="G78" s="42"/>
      <c r="H78" s="42"/>
      <c r="I78" s="42"/>
      <c r="J78" s="42"/>
      <c r="K78" s="42"/>
      <c r="L78" s="54"/>
      <c r="M78" s="54"/>
      <c r="N78" s="54"/>
      <c r="O78" s="54"/>
      <c r="P78" s="54"/>
      <c r="Q78" s="54"/>
      <c r="R78" s="54"/>
      <c r="S78" s="54"/>
    </row>
    <row r="79" spans="1:19">
      <c r="A79" s="309" t="s">
        <v>211</v>
      </c>
      <c r="B79" s="309"/>
      <c r="C79" s="309"/>
      <c r="D79" s="309"/>
      <c r="E79" s="309"/>
      <c r="F79" s="309"/>
      <c r="G79" s="309"/>
      <c r="H79" s="309"/>
      <c r="I79" s="309"/>
      <c r="J79" s="309"/>
      <c r="K79" s="309"/>
      <c r="L79" s="54"/>
      <c r="M79" s="54"/>
      <c r="N79" s="54"/>
      <c r="O79" s="54"/>
      <c r="P79" s="54"/>
      <c r="Q79" s="54"/>
      <c r="R79" s="54"/>
      <c r="S79" s="54"/>
    </row>
    <row r="80" spans="1:19">
      <c r="A80" s="310" t="s">
        <v>212</v>
      </c>
      <c r="B80" s="310"/>
      <c r="C80" s="310"/>
      <c r="D80" s="310"/>
      <c r="E80" s="310"/>
      <c r="F80" s="310"/>
      <c r="G80" s="310"/>
      <c r="H80" s="310"/>
      <c r="I80" s="310"/>
      <c r="J80" s="310"/>
      <c r="K80" s="310"/>
      <c r="L80" s="54"/>
      <c r="M80" s="54"/>
      <c r="N80" s="54"/>
      <c r="O80" s="54"/>
      <c r="P80" s="54"/>
      <c r="Q80" s="54"/>
      <c r="R80" s="54"/>
      <c r="S80" s="54"/>
    </row>
    <row r="81" spans="1:19">
      <c r="A81" s="310" t="s">
        <v>213</v>
      </c>
      <c r="B81" s="310"/>
      <c r="C81" s="310"/>
      <c r="D81" s="310"/>
      <c r="E81" s="310"/>
      <c r="F81" s="310"/>
      <c r="G81" s="310"/>
      <c r="H81" s="310"/>
      <c r="I81" s="310"/>
      <c r="J81" s="310"/>
      <c r="K81" s="310"/>
      <c r="L81" s="54"/>
      <c r="M81" s="54"/>
      <c r="N81" s="54"/>
      <c r="O81" s="54"/>
      <c r="P81" s="54"/>
      <c r="Q81" s="54"/>
      <c r="R81" s="54"/>
      <c r="S81" s="54"/>
    </row>
    <row r="82" spans="1:19">
      <c r="A82" s="42"/>
      <c r="B82" s="42"/>
      <c r="C82" s="42"/>
      <c r="D82" s="42"/>
      <c r="E82" s="42"/>
      <c r="F82" s="42"/>
      <c r="G82" s="42"/>
      <c r="H82" s="42"/>
      <c r="I82" s="42"/>
      <c r="J82" s="42"/>
      <c r="K82" s="42"/>
      <c r="L82" s="54"/>
      <c r="M82" s="54"/>
      <c r="N82" s="54"/>
      <c r="O82" s="54"/>
      <c r="P82" s="54"/>
      <c r="Q82" s="54"/>
      <c r="R82" s="54"/>
      <c r="S82" s="54"/>
    </row>
    <row r="83" spans="1:19">
      <c r="A83" s="42"/>
      <c r="B83" s="312" t="s">
        <v>201</v>
      </c>
      <c r="C83" s="312"/>
      <c r="D83" s="112"/>
      <c r="E83" s="312" t="s">
        <v>214</v>
      </c>
      <c r="F83" s="312"/>
      <c r="G83" s="42"/>
      <c r="H83" s="42"/>
      <c r="I83" s="42"/>
      <c r="J83" s="42"/>
      <c r="K83" s="42"/>
      <c r="L83" s="54"/>
      <c r="M83" s="54"/>
      <c r="N83" s="54"/>
      <c r="O83" s="54"/>
      <c r="P83" s="54"/>
      <c r="Q83" s="54"/>
      <c r="R83" s="54"/>
      <c r="S83" s="54"/>
    </row>
    <row r="84" spans="1:19">
      <c r="A84" s="42"/>
      <c r="B84" s="310" t="s">
        <v>54</v>
      </c>
      <c r="C84" s="310"/>
      <c r="D84" s="42"/>
      <c r="E84" s="307">
        <f>ROUND(-J27,0)</f>
        <v>0</v>
      </c>
      <c r="F84" s="307"/>
      <c r="G84" s="69"/>
      <c r="H84" s="42"/>
      <c r="I84" s="42"/>
      <c r="J84" s="42"/>
      <c r="K84" s="42"/>
      <c r="L84" s="54"/>
      <c r="M84" s="54"/>
      <c r="N84" s="54"/>
      <c r="O84" s="54"/>
      <c r="P84" s="54"/>
      <c r="Q84" s="54"/>
      <c r="R84" s="54"/>
      <c r="S84" s="54"/>
    </row>
    <row r="85" spans="1:19">
      <c r="A85" s="42"/>
      <c r="B85" s="310" t="s">
        <v>55</v>
      </c>
      <c r="C85" s="310"/>
      <c r="D85" s="42"/>
      <c r="E85" s="307">
        <f>ROUND(-J28,0)</f>
        <v>0</v>
      </c>
      <c r="F85" s="307"/>
      <c r="G85" s="69"/>
      <c r="H85" s="42"/>
      <c r="I85" s="42"/>
      <c r="J85" s="42"/>
      <c r="K85" s="42"/>
      <c r="L85" s="54"/>
      <c r="M85" s="54"/>
      <c r="N85" s="54"/>
      <c r="O85" s="54"/>
      <c r="P85" s="54"/>
      <c r="Q85" s="54"/>
      <c r="R85" s="54"/>
      <c r="S85" s="54"/>
    </row>
    <row r="86" spans="1:19">
      <c r="A86" s="42"/>
      <c r="B86" s="310" t="s">
        <v>56</v>
      </c>
      <c r="C86" s="310"/>
      <c r="D86" s="42"/>
      <c r="E86" s="307">
        <f>ROUND(-J29,0)</f>
        <v>0</v>
      </c>
      <c r="F86" s="307"/>
      <c r="G86" s="69"/>
      <c r="H86" s="42"/>
      <c r="I86" s="42"/>
      <c r="J86" s="42"/>
      <c r="K86" s="42"/>
      <c r="L86" s="54"/>
      <c r="M86" s="54"/>
      <c r="N86" s="54"/>
      <c r="O86" s="54"/>
      <c r="P86" s="54"/>
      <c r="Q86" s="54"/>
      <c r="R86" s="54"/>
      <c r="S86" s="54"/>
    </row>
    <row r="87" spans="1:19">
      <c r="A87" s="42"/>
      <c r="B87" s="310" t="s">
        <v>57</v>
      </c>
      <c r="C87" s="310"/>
      <c r="D87" s="42"/>
      <c r="E87" s="307">
        <f>ROUND(G19-J26,0)</f>
        <v>0</v>
      </c>
      <c r="F87" s="307"/>
      <c r="G87" s="69"/>
      <c r="H87" s="42"/>
      <c r="I87" s="42"/>
      <c r="J87" s="42"/>
      <c r="K87" s="42"/>
      <c r="L87" s="54"/>
      <c r="M87" s="54"/>
      <c r="N87" s="54"/>
      <c r="O87" s="54"/>
      <c r="P87" s="54"/>
      <c r="Q87" s="54"/>
      <c r="R87" s="54"/>
      <c r="S87" s="54"/>
    </row>
    <row r="88" spans="1:19" ht="15" thickBot="1">
      <c r="A88" s="42"/>
      <c r="B88" s="317" t="s">
        <v>215</v>
      </c>
      <c r="C88" s="317"/>
      <c r="D88" s="113"/>
      <c r="E88" s="318">
        <f>+SUM(E84:F87)</f>
        <v>0</v>
      </c>
      <c r="F88" s="318"/>
      <c r="G88" s="69"/>
      <c r="H88" s="42"/>
      <c r="I88" s="42"/>
      <c r="J88" s="42"/>
      <c r="K88" s="42"/>
      <c r="L88" s="54"/>
      <c r="M88" s="54"/>
      <c r="N88" s="54"/>
      <c r="O88" s="54"/>
      <c r="P88" s="54"/>
      <c r="Q88" s="54"/>
      <c r="R88" s="54"/>
      <c r="S88" s="54"/>
    </row>
    <row r="89" spans="1:19" ht="15" thickTop="1">
      <c r="A89" s="42"/>
      <c r="B89" s="42"/>
      <c r="C89" s="42"/>
      <c r="D89" s="42"/>
      <c r="E89" s="42"/>
      <c r="F89" s="42"/>
      <c r="G89" s="42"/>
      <c r="H89" s="42"/>
      <c r="I89" s="42"/>
      <c r="J89" s="42"/>
      <c r="K89" s="42"/>
      <c r="L89" s="54"/>
      <c r="M89" s="54"/>
      <c r="N89" s="54"/>
      <c r="O89" s="54"/>
      <c r="P89" s="54"/>
      <c r="Q89" s="54"/>
      <c r="R89" s="54"/>
      <c r="S89" s="54"/>
    </row>
    <row r="90" spans="1:19">
      <c r="A90" s="309" t="s">
        <v>216</v>
      </c>
      <c r="B90" s="309"/>
      <c r="C90" s="309"/>
      <c r="D90" s="309"/>
      <c r="E90" s="309"/>
      <c r="F90" s="309"/>
      <c r="G90" s="309"/>
      <c r="H90" s="309"/>
      <c r="I90" s="309"/>
      <c r="J90" s="309"/>
      <c r="K90" s="309"/>
      <c r="L90" s="54"/>
      <c r="M90" s="54"/>
      <c r="N90" s="54"/>
      <c r="O90" s="54"/>
      <c r="P90" s="54"/>
      <c r="Q90" s="54"/>
      <c r="R90" s="54"/>
      <c r="S90" s="54"/>
    </row>
    <row r="91" spans="1:19">
      <c r="A91" s="310" t="s">
        <v>217</v>
      </c>
      <c r="B91" s="310"/>
      <c r="C91" s="310"/>
      <c r="D91" s="310" t="s">
        <v>218</v>
      </c>
      <c r="E91" s="310"/>
      <c r="F91" s="310"/>
      <c r="G91" s="310"/>
      <c r="H91" s="310"/>
      <c r="I91" s="310"/>
      <c r="J91" s="310"/>
      <c r="K91" s="310"/>
      <c r="L91" s="54"/>
      <c r="M91" s="54"/>
      <c r="N91" s="54"/>
      <c r="O91" s="54"/>
      <c r="P91" s="54"/>
      <c r="Q91" s="54"/>
      <c r="R91" s="54"/>
      <c r="S91" s="54"/>
    </row>
    <row r="92" spans="1:19">
      <c r="A92" s="42"/>
      <c r="B92" s="42"/>
      <c r="C92" s="42"/>
      <c r="D92" s="310" t="s">
        <v>219</v>
      </c>
      <c r="E92" s="310"/>
      <c r="F92" s="310"/>
      <c r="G92" s="316" t="str">
        <f>G21</f>
        <v>Single Family Residence</v>
      </c>
      <c r="H92" s="316"/>
      <c r="I92" s="316"/>
      <c r="J92" s="316"/>
      <c r="K92" s="316"/>
      <c r="L92" s="54"/>
      <c r="M92" s="54"/>
      <c r="N92" s="54"/>
      <c r="O92" s="54"/>
      <c r="P92" s="54"/>
      <c r="Q92" s="54"/>
      <c r="R92" s="54"/>
      <c r="S92" s="54"/>
    </row>
    <row r="93" spans="1:19">
      <c r="A93" s="42"/>
      <c r="B93" s="42"/>
      <c r="C93" s="42"/>
      <c r="D93" s="42"/>
      <c r="E93" s="42"/>
      <c r="F93" s="42"/>
      <c r="G93" s="42"/>
      <c r="H93" s="42"/>
      <c r="I93" s="42"/>
      <c r="J93" s="42"/>
      <c r="K93" s="42"/>
      <c r="L93" s="54"/>
      <c r="M93" s="54"/>
      <c r="N93" s="54"/>
      <c r="O93" s="54"/>
      <c r="P93" s="54"/>
      <c r="Q93" s="54"/>
      <c r="R93" s="54"/>
      <c r="S93" s="54"/>
    </row>
    <row r="94" spans="1:19">
      <c r="A94" s="310" t="s">
        <v>220</v>
      </c>
      <c r="B94" s="310"/>
      <c r="C94" s="310"/>
      <c r="D94" s="310" t="s">
        <v>218</v>
      </c>
      <c r="E94" s="310"/>
      <c r="F94" s="310"/>
      <c r="G94" s="310"/>
      <c r="H94" s="310"/>
      <c r="I94" s="310"/>
      <c r="J94" s="310"/>
      <c r="K94" s="310"/>
      <c r="L94" s="54"/>
      <c r="M94" s="54"/>
      <c r="N94" s="54"/>
      <c r="O94" s="54"/>
      <c r="P94" s="54"/>
      <c r="Q94" s="54"/>
      <c r="R94" s="54"/>
      <c r="S94" s="54"/>
    </row>
    <row r="95" spans="1:19">
      <c r="A95" s="42"/>
      <c r="B95" s="42"/>
      <c r="C95" s="42"/>
      <c r="D95" s="42"/>
      <c r="E95" s="42"/>
      <c r="F95" s="42"/>
      <c r="G95" s="42"/>
      <c r="H95" s="42"/>
      <c r="I95" s="42"/>
      <c r="J95" s="42"/>
      <c r="K95" s="42"/>
      <c r="L95" s="54"/>
      <c r="M95" s="54"/>
      <c r="N95" s="54"/>
      <c r="O95" s="54"/>
      <c r="P95" s="54"/>
      <c r="Q95" s="54"/>
      <c r="R95" s="54"/>
      <c r="S95" s="54"/>
    </row>
    <row r="96" spans="1:19">
      <c r="A96" s="310" t="s">
        <v>221</v>
      </c>
      <c r="B96" s="310"/>
      <c r="C96" s="310"/>
      <c r="D96" s="42"/>
      <c r="E96" s="42"/>
      <c r="F96" s="42"/>
      <c r="G96" s="42"/>
      <c r="H96" s="42"/>
      <c r="I96" s="42"/>
      <c r="J96" s="42"/>
      <c r="K96" s="42"/>
      <c r="L96" s="54"/>
      <c r="M96" s="54"/>
      <c r="N96" s="54"/>
      <c r="O96" s="54"/>
      <c r="P96" s="54"/>
      <c r="Q96" s="54"/>
      <c r="R96" s="54"/>
      <c r="S96" s="54"/>
    </row>
    <row r="97" spans="1:19">
      <c r="A97" s="50" t="s">
        <v>199</v>
      </c>
      <c r="B97" s="315" t="s">
        <v>222</v>
      </c>
      <c r="C97" s="315"/>
      <c r="D97" s="315"/>
      <c r="E97" s="315"/>
      <c r="F97" s="315"/>
      <c r="G97" s="315"/>
      <c r="H97" s="315"/>
      <c r="I97" s="315"/>
      <c r="J97" s="315"/>
      <c r="K97" s="315"/>
      <c r="L97" s="54"/>
      <c r="M97" s="54"/>
      <c r="N97" s="54"/>
      <c r="O97" s="54"/>
      <c r="P97" s="54"/>
      <c r="Q97" s="54"/>
      <c r="R97" s="54"/>
      <c r="S97" s="54"/>
    </row>
    <row r="98" spans="1:19">
      <c r="A98" s="50" t="s">
        <v>203</v>
      </c>
      <c r="B98" s="315" t="s">
        <v>223</v>
      </c>
      <c r="C98" s="315"/>
      <c r="D98" s="315"/>
      <c r="E98" s="315"/>
      <c r="F98" s="315"/>
      <c r="G98" s="315"/>
      <c r="H98" s="315"/>
      <c r="I98" s="315"/>
      <c r="J98" s="315"/>
      <c r="K98" s="315"/>
      <c r="L98" s="54"/>
      <c r="M98" s="54"/>
      <c r="N98" s="54"/>
      <c r="O98" s="54"/>
      <c r="P98" s="54"/>
      <c r="Q98" s="54"/>
      <c r="R98" s="54"/>
      <c r="S98" s="54"/>
    </row>
    <row r="99" spans="1:19">
      <c r="A99" s="50" t="s">
        <v>205</v>
      </c>
      <c r="B99" s="315" t="s">
        <v>224</v>
      </c>
      <c r="C99" s="315"/>
      <c r="D99" s="315"/>
      <c r="E99" s="315"/>
      <c r="F99" s="315"/>
      <c r="G99" s="315"/>
      <c r="H99" s="315"/>
      <c r="I99" s="315"/>
      <c r="J99" s="315"/>
      <c r="K99" s="315"/>
      <c r="L99" s="54"/>
      <c r="M99" s="54"/>
      <c r="N99" s="54"/>
      <c r="O99" s="54"/>
      <c r="P99" s="54"/>
      <c r="Q99" s="54"/>
      <c r="R99" s="54"/>
      <c r="S99" s="54"/>
    </row>
    <row r="100" spans="1:19">
      <c r="A100" s="50" t="s">
        <v>207</v>
      </c>
      <c r="B100" s="50"/>
      <c r="C100" s="42"/>
      <c r="D100" s="42"/>
      <c r="E100" s="42"/>
      <c r="F100" s="70" t="s">
        <v>225</v>
      </c>
      <c r="G100" s="70" t="s">
        <v>58</v>
      </c>
      <c r="H100" s="70" t="s">
        <v>2</v>
      </c>
      <c r="I100" s="42"/>
      <c r="J100" s="42"/>
      <c r="K100" s="42"/>
      <c r="L100" s="54"/>
      <c r="M100" s="54"/>
      <c r="N100" s="54"/>
      <c r="O100" s="54"/>
      <c r="P100" s="54"/>
      <c r="Q100" s="54"/>
      <c r="R100" s="54"/>
      <c r="S100" s="54"/>
    </row>
    <row r="101" spans="1:19">
      <c r="A101" s="42"/>
      <c r="B101" s="315" t="s">
        <v>226</v>
      </c>
      <c r="C101" s="315"/>
      <c r="D101" s="315"/>
      <c r="E101" s="315"/>
      <c r="F101" s="71">
        <v>5</v>
      </c>
      <c r="G101" s="71" t="s">
        <v>48</v>
      </c>
      <c r="H101" s="71" t="s">
        <v>4</v>
      </c>
      <c r="I101" s="42"/>
      <c r="J101" s="42"/>
      <c r="K101" s="42"/>
      <c r="L101" s="54"/>
      <c r="M101" s="54"/>
      <c r="N101" s="54"/>
      <c r="O101" s="54"/>
      <c r="P101" s="54"/>
      <c r="Q101" s="54"/>
      <c r="R101" s="54"/>
      <c r="S101" s="54"/>
    </row>
    <row r="102" spans="1:19">
      <c r="A102" s="42"/>
      <c r="B102" s="315" t="s">
        <v>227</v>
      </c>
      <c r="C102" s="315"/>
      <c r="D102" s="315"/>
      <c r="E102" s="315"/>
      <c r="F102" s="71">
        <v>7</v>
      </c>
      <c r="G102" s="71" t="s">
        <v>48</v>
      </c>
      <c r="H102" s="71" t="s">
        <v>4</v>
      </c>
      <c r="I102" s="42"/>
      <c r="J102" s="42"/>
      <c r="K102" s="42"/>
      <c r="L102" s="54"/>
      <c r="M102" s="54"/>
      <c r="N102" s="54"/>
      <c r="O102" s="54"/>
      <c r="P102" s="54"/>
      <c r="Q102" s="54"/>
      <c r="R102" s="54"/>
      <c r="S102" s="54"/>
    </row>
    <row r="103" spans="1:19">
      <c r="A103" s="42"/>
      <c r="B103" s="315" t="s">
        <v>228</v>
      </c>
      <c r="C103" s="315"/>
      <c r="D103" s="315"/>
      <c r="E103" s="315"/>
      <c r="F103" s="71">
        <v>15</v>
      </c>
      <c r="G103" s="71" t="s">
        <v>51</v>
      </c>
      <c r="H103" s="71" t="s">
        <v>4</v>
      </c>
      <c r="I103" s="42"/>
      <c r="J103" s="42"/>
      <c r="K103" s="42"/>
      <c r="L103" s="54"/>
      <c r="M103" s="54"/>
      <c r="N103" s="54"/>
      <c r="O103" s="54"/>
      <c r="P103" s="54"/>
      <c r="Q103" s="54"/>
      <c r="R103" s="54"/>
      <c r="S103" s="54"/>
    </row>
    <row r="104" spans="1:19">
      <c r="A104" s="42" t="s">
        <v>229</v>
      </c>
      <c r="B104" s="315" t="s">
        <v>230</v>
      </c>
      <c r="C104" s="315"/>
      <c r="D104" s="315"/>
      <c r="E104" s="315"/>
      <c r="F104" s="315"/>
      <c r="G104" s="315"/>
      <c r="H104" s="315"/>
      <c r="I104" s="315"/>
      <c r="J104" s="315"/>
      <c r="K104" s="315"/>
      <c r="L104" s="54"/>
      <c r="M104" s="54"/>
      <c r="N104" s="54"/>
      <c r="O104" s="54"/>
      <c r="P104" s="54"/>
      <c r="Q104" s="54"/>
      <c r="R104" s="54"/>
      <c r="S104" s="54"/>
    </row>
    <row r="105" spans="1:19">
      <c r="A105" s="42" t="s">
        <v>231</v>
      </c>
      <c r="B105" s="315" t="s">
        <v>230</v>
      </c>
      <c r="C105" s="315"/>
      <c r="D105" s="315"/>
      <c r="E105" s="315"/>
      <c r="F105" s="315"/>
      <c r="G105" s="315"/>
      <c r="H105" s="315"/>
      <c r="I105" s="315"/>
      <c r="J105" s="315"/>
      <c r="K105" s="315"/>
      <c r="L105" s="54"/>
      <c r="M105" s="54"/>
      <c r="N105" s="54"/>
      <c r="O105" s="54"/>
      <c r="P105" s="54"/>
      <c r="Q105" s="54"/>
      <c r="R105" s="54"/>
      <c r="S105" s="54"/>
    </row>
    <row r="106" spans="1:19">
      <c r="A106" s="42" t="s">
        <v>232</v>
      </c>
      <c r="B106" s="315" t="s">
        <v>246</v>
      </c>
      <c r="C106" s="315"/>
      <c r="D106" s="315"/>
      <c r="E106" s="315"/>
      <c r="F106" s="315"/>
      <c r="G106" s="315"/>
      <c r="H106" s="315"/>
      <c r="I106" s="315"/>
      <c r="J106" s="315"/>
      <c r="K106" s="315"/>
      <c r="L106" s="54"/>
      <c r="M106" s="54"/>
      <c r="N106" s="54"/>
      <c r="O106" s="54"/>
      <c r="P106" s="54"/>
      <c r="Q106" s="54"/>
      <c r="R106" s="54"/>
      <c r="S106" s="54"/>
    </row>
    <row r="107" spans="1:19">
      <c r="A107" s="42" t="s">
        <v>233</v>
      </c>
      <c r="B107" s="315" t="s">
        <v>234</v>
      </c>
      <c r="C107" s="315"/>
      <c r="D107" s="315"/>
      <c r="E107" s="315"/>
      <c r="F107" s="315"/>
      <c r="G107" s="315"/>
      <c r="H107" s="315"/>
      <c r="I107" s="315"/>
      <c r="J107" s="315"/>
      <c r="K107" s="315"/>
      <c r="L107" s="54"/>
      <c r="M107" s="54"/>
      <c r="N107" s="54"/>
      <c r="O107" s="54"/>
      <c r="P107" s="54"/>
      <c r="Q107" s="54"/>
      <c r="R107" s="54"/>
      <c r="S107" s="54"/>
    </row>
    <row r="108" spans="1:19">
      <c r="A108" s="53"/>
      <c r="B108" s="53"/>
      <c r="C108" s="53"/>
      <c r="D108" s="53"/>
      <c r="E108" s="53"/>
      <c r="F108" s="53"/>
      <c r="G108" s="53"/>
      <c r="H108" s="53"/>
      <c r="I108" s="53"/>
      <c r="J108" s="53"/>
      <c r="K108" s="53"/>
      <c r="L108" s="54"/>
      <c r="M108" s="54"/>
      <c r="N108" s="54"/>
      <c r="O108" s="54"/>
      <c r="P108" s="54"/>
      <c r="Q108" s="54"/>
      <c r="R108" s="54"/>
      <c r="S108" s="54"/>
    </row>
    <row r="109" spans="1:19">
      <c r="A109" s="53"/>
      <c r="B109" s="53"/>
      <c r="C109" s="53"/>
      <c r="D109" s="53"/>
      <c r="E109" s="53"/>
      <c r="F109" s="53"/>
      <c r="G109" s="53"/>
      <c r="H109" s="53"/>
      <c r="I109" s="53"/>
      <c r="J109" s="53"/>
      <c r="K109" s="53"/>
      <c r="L109" s="54"/>
      <c r="M109" s="54"/>
      <c r="N109" s="54"/>
      <c r="O109" s="54"/>
      <c r="P109" s="54"/>
      <c r="Q109" s="54"/>
      <c r="R109" s="54"/>
      <c r="S109" s="54"/>
    </row>
    <row r="110" spans="1:19">
      <c r="A110" s="53"/>
      <c r="B110" s="53"/>
      <c r="C110" s="53"/>
      <c r="D110" s="53"/>
      <c r="E110" s="53"/>
      <c r="F110" s="53"/>
      <c r="G110" s="53"/>
      <c r="H110" s="53"/>
      <c r="I110" s="53"/>
      <c r="J110" s="53"/>
      <c r="K110" s="53"/>
      <c r="L110" s="54"/>
      <c r="M110" s="54"/>
      <c r="N110" s="54"/>
      <c r="O110" s="54"/>
      <c r="P110" s="54"/>
      <c r="Q110" s="54"/>
      <c r="R110" s="54"/>
      <c r="S110" s="54"/>
    </row>
    <row r="111" spans="1:19">
      <c r="A111" s="53"/>
      <c r="B111" s="53"/>
      <c r="C111" s="53"/>
      <c r="D111" s="53"/>
      <c r="E111" s="53"/>
      <c r="F111" s="53"/>
      <c r="G111" s="53"/>
      <c r="H111" s="53"/>
      <c r="I111" s="53"/>
      <c r="J111" s="53"/>
      <c r="K111" s="53"/>
      <c r="L111" s="54"/>
      <c r="M111" s="54"/>
      <c r="N111" s="54"/>
      <c r="O111" s="54"/>
      <c r="P111" s="54"/>
      <c r="Q111" s="54"/>
      <c r="R111" s="54"/>
      <c r="S111" s="54"/>
    </row>
    <row r="112" spans="1:19">
      <c r="A112" s="53"/>
      <c r="B112" s="53"/>
      <c r="C112" s="53"/>
      <c r="D112" s="53"/>
      <c r="E112" s="53"/>
      <c r="F112" s="53"/>
      <c r="G112" s="53"/>
      <c r="H112" s="53"/>
      <c r="I112" s="53"/>
      <c r="J112" s="53"/>
      <c r="K112" s="53"/>
      <c r="L112" s="54"/>
      <c r="M112" s="54"/>
      <c r="N112" s="54"/>
      <c r="O112" s="54"/>
      <c r="P112" s="54"/>
      <c r="Q112" s="54"/>
      <c r="R112" s="54"/>
      <c r="S112" s="54"/>
    </row>
    <row r="113" spans="1:19">
      <c r="A113" s="53"/>
      <c r="B113" s="53"/>
      <c r="C113" s="53"/>
      <c r="D113" s="53"/>
      <c r="E113" s="53"/>
      <c r="F113" s="53"/>
      <c r="G113" s="53"/>
      <c r="H113" s="53"/>
      <c r="I113" s="53"/>
      <c r="J113" s="53"/>
      <c r="K113" s="53"/>
      <c r="L113" s="54"/>
      <c r="M113" s="54"/>
      <c r="N113" s="54"/>
      <c r="O113" s="54"/>
      <c r="P113" s="54"/>
      <c r="Q113" s="54"/>
      <c r="R113" s="54"/>
      <c r="S113" s="54"/>
    </row>
    <row r="114" spans="1:19">
      <c r="A114" s="53"/>
      <c r="B114" s="53"/>
      <c r="C114" s="53"/>
      <c r="D114" s="53"/>
      <c r="E114" s="53"/>
      <c r="F114" s="53"/>
      <c r="G114" s="53"/>
      <c r="H114" s="53"/>
      <c r="I114" s="53"/>
      <c r="J114" s="53"/>
      <c r="K114" s="53"/>
      <c r="L114" s="54"/>
      <c r="M114" s="54"/>
      <c r="N114" s="54"/>
      <c r="O114" s="54"/>
      <c r="P114" s="54"/>
      <c r="Q114" s="54"/>
      <c r="R114" s="54"/>
      <c r="S114" s="54"/>
    </row>
    <row r="115" spans="1:19">
      <c r="A115" s="53"/>
      <c r="B115" s="53"/>
      <c r="C115" s="53"/>
      <c r="D115" s="53"/>
      <c r="E115" s="53"/>
      <c r="F115" s="53"/>
      <c r="G115" s="53"/>
      <c r="H115" s="53"/>
      <c r="I115" s="53"/>
      <c r="J115" s="53"/>
      <c r="K115" s="53"/>
      <c r="L115" s="54"/>
      <c r="M115" s="54"/>
      <c r="N115" s="54"/>
      <c r="O115" s="54"/>
      <c r="P115" s="54"/>
      <c r="Q115" s="54"/>
      <c r="R115" s="54"/>
      <c r="S115" s="54"/>
    </row>
    <row r="116" spans="1:19">
      <c r="A116" s="53"/>
      <c r="B116" s="53"/>
      <c r="C116" s="53"/>
      <c r="D116" s="53"/>
      <c r="E116" s="53"/>
      <c r="F116" s="53"/>
      <c r="G116" s="53"/>
      <c r="H116" s="53"/>
      <c r="I116" s="53"/>
      <c r="J116" s="53"/>
      <c r="K116" s="53"/>
      <c r="L116" s="54"/>
      <c r="M116" s="54"/>
      <c r="N116" s="54"/>
      <c r="O116" s="54"/>
      <c r="P116" s="54"/>
      <c r="Q116" s="54"/>
      <c r="R116" s="54"/>
      <c r="S116" s="54"/>
    </row>
    <row r="117" spans="1:19">
      <c r="A117" s="53"/>
      <c r="B117" s="53"/>
      <c r="C117" s="53"/>
      <c r="D117" s="53"/>
      <c r="E117" s="53"/>
      <c r="F117" s="53"/>
      <c r="G117" s="53"/>
      <c r="H117" s="53"/>
      <c r="I117" s="53"/>
      <c r="J117" s="53"/>
      <c r="K117" s="53"/>
      <c r="L117" s="54"/>
      <c r="M117" s="54"/>
      <c r="N117" s="54"/>
      <c r="O117" s="54"/>
      <c r="P117" s="54"/>
      <c r="Q117" s="54"/>
      <c r="R117" s="54"/>
      <c r="S117" s="54"/>
    </row>
    <row r="118" spans="1:19">
      <c r="A118" s="53"/>
      <c r="B118" s="53"/>
      <c r="C118" s="53"/>
      <c r="D118" s="53"/>
      <c r="E118" s="53"/>
      <c r="F118" s="53"/>
      <c r="G118" s="53"/>
      <c r="H118" s="53"/>
      <c r="I118" s="53"/>
      <c r="J118" s="53"/>
      <c r="K118" s="53"/>
      <c r="L118" s="54"/>
      <c r="M118" s="54"/>
      <c r="N118" s="54"/>
      <c r="O118" s="54"/>
      <c r="P118" s="54"/>
      <c r="Q118" s="54"/>
      <c r="R118" s="54"/>
      <c r="S118" s="54"/>
    </row>
    <row r="119" spans="1:19">
      <c r="A119" s="53"/>
      <c r="B119" s="53"/>
      <c r="C119" s="53"/>
      <c r="D119" s="53"/>
      <c r="E119" s="53"/>
      <c r="F119" s="53"/>
      <c r="G119" s="53"/>
      <c r="H119" s="53"/>
      <c r="I119" s="53"/>
      <c r="J119" s="53"/>
      <c r="K119" s="53"/>
      <c r="L119" s="54"/>
      <c r="M119" s="54"/>
      <c r="N119" s="54"/>
      <c r="O119" s="54"/>
      <c r="P119" s="54"/>
      <c r="Q119" s="54"/>
      <c r="R119" s="54"/>
      <c r="S119" s="54"/>
    </row>
    <row r="120" spans="1:19">
      <c r="A120" s="53"/>
      <c r="B120" s="53"/>
      <c r="C120" s="53"/>
      <c r="D120" s="53"/>
      <c r="E120" s="53"/>
      <c r="F120" s="53"/>
      <c r="G120" s="53"/>
      <c r="H120" s="53"/>
      <c r="I120" s="53"/>
      <c r="J120" s="53"/>
      <c r="K120" s="53"/>
      <c r="L120" s="54"/>
      <c r="M120" s="54"/>
      <c r="N120" s="54"/>
      <c r="O120" s="54"/>
      <c r="P120" s="54"/>
      <c r="Q120" s="54"/>
      <c r="R120" s="54"/>
      <c r="S120" s="54"/>
    </row>
    <row r="121" spans="1:19">
      <c r="A121" s="53"/>
      <c r="B121" s="53"/>
      <c r="C121" s="53"/>
      <c r="D121" s="53"/>
      <c r="E121" s="53"/>
      <c r="F121" s="53"/>
      <c r="G121" s="53"/>
      <c r="H121" s="53"/>
      <c r="I121" s="53"/>
      <c r="J121" s="53"/>
      <c r="K121" s="53"/>
      <c r="L121" s="54"/>
      <c r="M121" s="54"/>
      <c r="N121" s="54"/>
      <c r="O121" s="54"/>
      <c r="P121" s="54"/>
      <c r="Q121" s="54"/>
      <c r="R121" s="54"/>
      <c r="S121" s="54"/>
    </row>
    <row r="122" spans="1:19">
      <c r="A122" s="53"/>
      <c r="B122" s="53"/>
      <c r="C122" s="53"/>
      <c r="D122" s="53"/>
      <c r="E122" s="53"/>
      <c r="F122" s="53"/>
      <c r="G122" s="53"/>
      <c r="H122" s="53"/>
      <c r="I122" s="53"/>
      <c r="J122" s="53"/>
      <c r="K122" s="53"/>
      <c r="L122" s="54"/>
      <c r="M122" s="54"/>
      <c r="N122" s="54"/>
      <c r="O122" s="54"/>
      <c r="P122" s="54"/>
      <c r="Q122" s="54"/>
      <c r="R122" s="54"/>
      <c r="S122" s="54"/>
    </row>
    <row r="123" spans="1:19">
      <c r="A123" s="53"/>
      <c r="B123" s="53"/>
      <c r="C123" s="53"/>
      <c r="D123" s="53"/>
      <c r="E123" s="53"/>
      <c r="F123" s="53"/>
      <c r="G123" s="53"/>
      <c r="H123" s="53"/>
      <c r="I123" s="53"/>
      <c r="J123" s="53"/>
      <c r="K123" s="53"/>
      <c r="L123" s="54"/>
      <c r="M123" s="54"/>
      <c r="N123" s="54"/>
      <c r="O123" s="54"/>
      <c r="P123" s="54"/>
      <c r="Q123" s="54"/>
      <c r="R123" s="54"/>
      <c r="S123" s="54"/>
    </row>
    <row r="124" spans="1:19">
      <c r="A124" s="53"/>
      <c r="B124" s="53"/>
      <c r="C124" s="53"/>
      <c r="D124" s="53"/>
      <c r="E124" s="53"/>
      <c r="F124" s="53"/>
      <c r="G124" s="53"/>
      <c r="H124" s="53"/>
      <c r="I124" s="53"/>
      <c r="J124" s="53"/>
      <c r="K124" s="53"/>
      <c r="L124" s="54"/>
      <c r="M124" s="54"/>
      <c r="N124" s="54"/>
      <c r="O124" s="54"/>
      <c r="P124" s="54"/>
      <c r="Q124" s="54"/>
      <c r="R124" s="54"/>
      <c r="S124" s="54"/>
    </row>
    <row r="125" spans="1:19">
      <c r="A125" s="53"/>
      <c r="B125" s="53"/>
      <c r="C125" s="53"/>
      <c r="D125" s="53"/>
      <c r="E125" s="53"/>
      <c r="F125" s="53"/>
      <c r="G125" s="53"/>
      <c r="H125" s="53"/>
      <c r="I125" s="53"/>
      <c r="J125" s="53"/>
      <c r="K125" s="53"/>
      <c r="L125" s="54"/>
      <c r="M125" s="54"/>
      <c r="N125" s="54"/>
      <c r="O125" s="54"/>
      <c r="P125" s="54"/>
      <c r="Q125" s="54"/>
      <c r="R125" s="54"/>
      <c r="S125" s="54"/>
    </row>
    <row r="126" spans="1:19">
      <c r="A126" s="53"/>
      <c r="B126" s="53"/>
      <c r="C126" s="53"/>
      <c r="D126" s="53"/>
      <c r="E126" s="53"/>
      <c r="F126" s="53"/>
      <c r="G126" s="53"/>
      <c r="H126" s="53"/>
      <c r="I126" s="53"/>
      <c r="J126" s="53"/>
      <c r="K126" s="53"/>
      <c r="L126" s="54"/>
      <c r="M126" s="54"/>
      <c r="N126" s="54"/>
      <c r="O126" s="54"/>
      <c r="P126" s="54"/>
      <c r="Q126" s="54"/>
      <c r="R126" s="54"/>
      <c r="S126" s="54"/>
    </row>
  </sheetData>
  <mergeCells count="92">
    <mergeCell ref="A55:E55"/>
    <mergeCell ref="F55:K55"/>
    <mergeCell ref="A56:E56"/>
    <mergeCell ref="F56:K56"/>
    <mergeCell ref="B50:K50"/>
    <mergeCell ref="B51:K51"/>
    <mergeCell ref="B52:G52"/>
    <mergeCell ref="H52:K52"/>
    <mergeCell ref="A54:K54"/>
    <mergeCell ref="B88:C88"/>
    <mergeCell ref="E88:F88"/>
    <mergeCell ref="A90:K90"/>
    <mergeCell ref="A91:C91"/>
    <mergeCell ref="D91:K91"/>
    <mergeCell ref="D92:F92"/>
    <mergeCell ref="G92:K92"/>
    <mergeCell ref="A94:C94"/>
    <mergeCell ref="D94:K94"/>
    <mergeCell ref="A96:C96"/>
    <mergeCell ref="B106:K106"/>
    <mergeCell ref="B107:K107"/>
    <mergeCell ref="B97:K97"/>
    <mergeCell ref="B98:K98"/>
    <mergeCell ref="B99:K99"/>
    <mergeCell ref="B101:E101"/>
    <mergeCell ref="B102:E102"/>
    <mergeCell ref="B103:E103"/>
    <mergeCell ref="B104:K104"/>
    <mergeCell ref="B105:K105"/>
    <mergeCell ref="B86:C86"/>
    <mergeCell ref="E86:F86"/>
    <mergeCell ref="B87:C87"/>
    <mergeCell ref="E87:F87"/>
    <mergeCell ref="A80:K80"/>
    <mergeCell ref="A81:K81"/>
    <mergeCell ref="B83:C83"/>
    <mergeCell ref="B84:C84"/>
    <mergeCell ref="E84:F84"/>
    <mergeCell ref="E83:F83"/>
    <mergeCell ref="B85:C85"/>
    <mergeCell ref="E85:F85"/>
    <mergeCell ref="A79:K79"/>
    <mergeCell ref="A58:K58"/>
    <mergeCell ref="B59:K59"/>
    <mergeCell ref="B60:K60"/>
    <mergeCell ref="B64:K64"/>
    <mergeCell ref="B65:K65"/>
    <mergeCell ref="B66:K66"/>
    <mergeCell ref="B67:K67"/>
    <mergeCell ref="B68:K68"/>
    <mergeCell ref="B72:K72"/>
    <mergeCell ref="B73:K73"/>
    <mergeCell ref="B74:K74"/>
    <mergeCell ref="B77:K77"/>
    <mergeCell ref="B75:K75"/>
    <mergeCell ref="H47:I47"/>
    <mergeCell ref="J47:K47"/>
    <mergeCell ref="H48:I48"/>
    <mergeCell ref="J48:K48"/>
    <mergeCell ref="A38:K38"/>
    <mergeCell ref="A41:K41"/>
    <mergeCell ref="A42:K42"/>
    <mergeCell ref="B43:K43"/>
    <mergeCell ref="A45:G45"/>
    <mergeCell ref="H45:I45"/>
    <mergeCell ref="J45:K45"/>
    <mergeCell ref="H46:I46"/>
    <mergeCell ref="J46:K46"/>
    <mergeCell ref="A1:K5"/>
    <mergeCell ref="B28:D28"/>
    <mergeCell ref="J28:K28"/>
    <mergeCell ref="A32:M33"/>
    <mergeCell ref="N26:Q26"/>
    <mergeCell ref="G13:H13"/>
    <mergeCell ref="A7:K7"/>
    <mergeCell ref="A9:K11"/>
    <mergeCell ref="L25:M25"/>
    <mergeCell ref="L26:M26"/>
    <mergeCell ref="L27:M27"/>
    <mergeCell ref="L28:M28"/>
    <mergeCell ref="L29:M29"/>
    <mergeCell ref="L30:M30"/>
    <mergeCell ref="B30:D30"/>
    <mergeCell ref="J30:K30"/>
    <mergeCell ref="B29:D29"/>
    <mergeCell ref="J29:K29"/>
    <mergeCell ref="J25:K25"/>
    <mergeCell ref="B26:D26"/>
    <mergeCell ref="J26:K26"/>
    <mergeCell ref="B27:D27"/>
    <mergeCell ref="J27:K27"/>
    <mergeCell ref="B25:D25"/>
  </mergeCells>
  <dataValidations count="3">
    <dataValidation type="list" allowBlank="1" showInputMessage="1" sqref="N13" xr:uid="{54D90AA8-9A55-2E46-810F-D67E90FED9AA}">
      <formula1>"2020,2021,2022,2023,2024,2025,2026,2027,2028,2029,2030"</formula1>
    </dataValidation>
    <dataValidation type="list" allowBlank="1" showInputMessage="1" sqref="G20" xr:uid="{4ABCE3B9-F601-2546-BFE1-59ACA62F6A9A}">
      <formula1>"Residential,Commercial"</formula1>
    </dataValidation>
    <dataValidation type="list" allowBlank="1" showInputMessage="1" showErrorMessage="1" sqref="B87:C87" xr:uid="{0D78906F-1FEA-E94D-85F3-19622C3765B5}">
      <formula1>"27.5-Year Property,39-Year Property"</formula1>
    </dataValidation>
  </dataValidations>
  <printOptions horizontalCentered="1"/>
  <pageMargins left="0.25" right="0.25" top="0.75" bottom="0.75" header="0.3" footer="0.3"/>
  <pageSetup scale="67" orientation="portrait" r:id="rId1"/>
  <rowBreaks count="1" manualBreakCount="1">
    <brk id="36" max="10" man="1"/>
  </rowBreak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BFBCC378-2ECA-1543-AE11-88B8B4AA7238}">
          <x14:formula1>
            <xm:f>Definitions!#REF!</xm:f>
          </x14:formula1>
          <xm:sqref>K22</xm:sqref>
        </x14:dataValidation>
        <x14:dataValidation type="list" allowBlank="1" showInputMessage="1" xr:uid="{1E43B821-3877-0846-992F-60DA4BC4E4EA}">
          <x14:formula1>
            <xm:f>Definitions!$E$2:$E$44</xm:f>
          </x14:formula1>
          <xm:sqref>G21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EFC08-781B-1C4B-A8A4-6FCDF2876ABF}">
  <sheetPr codeName="Sheet5">
    <pageSetUpPr fitToPage="1"/>
  </sheetPr>
  <dimension ref="A1:N69"/>
  <sheetViews>
    <sheetView showGridLines="0" zoomScale="120" zoomScaleNormal="120" zoomScalePageLayoutView="140" workbookViewId="0">
      <selection activeCell="G10" sqref="G10"/>
    </sheetView>
  </sheetViews>
  <sheetFormatPr defaultColWidth="8.796875" defaultRowHeight="14.4"/>
  <cols>
    <col min="1" max="1" width="5" style="118" customWidth="1"/>
    <col min="2" max="8" width="15.5" style="106" customWidth="1"/>
    <col min="9" max="9" width="5" style="118" customWidth="1"/>
    <col min="10" max="13" width="8.796875" style="51"/>
    <col min="14" max="16384" width="8.796875" style="10"/>
  </cols>
  <sheetData>
    <row r="1" spans="1:14">
      <c r="B1" s="319" t="e" vm="1">
        <v>#VALUE!</v>
      </c>
      <c r="C1" s="319"/>
      <c r="D1" s="319"/>
      <c r="E1" s="319"/>
      <c r="F1" s="319"/>
      <c r="G1" s="319"/>
      <c r="H1" s="319"/>
    </row>
    <row r="2" spans="1:14">
      <c r="B2" s="319"/>
      <c r="C2" s="319"/>
      <c r="D2" s="319"/>
      <c r="E2" s="319"/>
      <c r="F2" s="319"/>
      <c r="G2" s="319"/>
      <c r="H2" s="319"/>
    </row>
    <row r="3" spans="1:14">
      <c r="B3" s="319"/>
      <c r="C3" s="319"/>
      <c r="D3" s="319"/>
      <c r="E3" s="319"/>
      <c r="F3" s="319"/>
      <c r="G3" s="319"/>
      <c r="H3" s="319"/>
    </row>
    <row r="4" spans="1:14" s="2" customFormat="1">
      <c r="A4" s="109"/>
      <c r="B4" s="319"/>
      <c r="C4" s="319"/>
      <c r="D4" s="319"/>
      <c r="E4" s="319"/>
      <c r="F4" s="319"/>
      <c r="G4" s="319"/>
      <c r="H4" s="319"/>
      <c r="I4" s="109"/>
      <c r="J4" s="52"/>
      <c r="K4" s="52"/>
      <c r="L4" s="52"/>
      <c r="M4" s="52"/>
    </row>
    <row r="5" spans="1:14" s="2" customFormat="1">
      <c r="A5" s="109"/>
      <c r="B5" s="319"/>
      <c r="C5" s="319"/>
      <c r="D5" s="319"/>
      <c r="E5" s="319"/>
      <c r="F5" s="319"/>
      <c r="G5" s="319"/>
      <c r="H5" s="319"/>
      <c r="I5" s="109"/>
      <c r="J5" s="52"/>
      <c r="K5" s="52"/>
      <c r="L5" s="52"/>
      <c r="M5" s="52"/>
    </row>
    <row r="6" spans="1:14" s="2" customFormat="1" ht="15" customHeight="1">
      <c r="A6" s="109"/>
      <c r="B6" s="106"/>
      <c r="C6" s="106"/>
      <c r="D6" s="106"/>
      <c r="E6" s="106"/>
      <c r="F6" s="106"/>
      <c r="G6" s="106"/>
      <c r="H6" s="106"/>
      <c r="I6" s="109"/>
      <c r="J6" s="52"/>
      <c r="K6" s="52"/>
      <c r="L6" s="52"/>
      <c r="M6" s="52"/>
    </row>
    <row r="7" spans="1:14" ht="39" customHeight="1">
      <c r="B7" s="322" t="s">
        <v>236</v>
      </c>
      <c r="C7" s="322"/>
      <c r="D7" s="322"/>
      <c r="E7" s="322"/>
      <c r="F7" s="322"/>
      <c r="G7" s="322"/>
      <c r="H7" s="322"/>
    </row>
    <row r="8" spans="1:14" s="2" customFormat="1" ht="15" customHeight="1">
      <c r="A8" s="109"/>
      <c r="B8" s="73"/>
      <c r="C8" s="73"/>
      <c r="D8" s="73"/>
      <c r="E8" s="73"/>
      <c r="F8" s="73"/>
      <c r="G8" s="73"/>
      <c r="H8" s="73"/>
      <c r="I8" s="109"/>
      <c r="J8" s="57"/>
      <c r="K8" s="57"/>
      <c r="L8" s="57"/>
      <c r="M8" s="57"/>
      <c r="N8" s="55"/>
    </row>
    <row r="9" spans="1:14" ht="15" customHeight="1">
      <c r="B9" s="72"/>
      <c r="C9" s="72" t="s">
        <v>34</v>
      </c>
      <c r="D9" s="72"/>
      <c r="E9" s="72"/>
      <c r="G9" s="74" t="str">
        <f>'Client Summary'!G12</f>
        <v>861 E 800 S, Salt Lake City, UT 84102</v>
      </c>
      <c r="H9" s="73"/>
      <c r="J9" s="53"/>
      <c r="K9" s="53"/>
      <c r="L9" s="53"/>
      <c r="M9" s="53"/>
      <c r="N9" s="54"/>
    </row>
    <row r="10" spans="1:14" ht="15" customHeight="1">
      <c r="B10" s="72"/>
      <c r="C10" s="57" t="s">
        <v>37</v>
      </c>
      <c r="D10" s="72"/>
      <c r="E10" s="72"/>
      <c r="G10" s="74" t="str">
        <f>_xlfn.XLOOKUP('Client Summary'!$G$21,Definitions!$E$2:$E$35,Definitions!$F$2:$F$35,0,0,1)</f>
        <v>Single Family Residence</v>
      </c>
      <c r="H10" s="73"/>
      <c r="J10" s="53"/>
      <c r="K10" s="53"/>
      <c r="L10" s="53"/>
      <c r="M10" s="53"/>
      <c r="N10" s="54"/>
    </row>
    <row r="11" spans="1:14" ht="16.05" customHeight="1">
      <c r="B11" s="72"/>
      <c r="C11" s="72" t="s">
        <v>99</v>
      </c>
      <c r="D11" s="72"/>
      <c r="E11" s="72"/>
      <c r="F11" s="323">
        <f>'Client Summary'!G13</f>
        <v>45292</v>
      </c>
      <c r="G11" s="323"/>
      <c r="H11" s="73"/>
      <c r="J11" s="53"/>
      <c r="K11" s="53"/>
      <c r="L11" s="53"/>
      <c r="M11" s="53"/>
      <c r="N11" s="54"/>
    </row>
    <row r="12" spans="1:14">
      <c r="B12" s="72"/>
      <c r="C12" s="111" t="s">
        <v>244</v>
      </c>
      <c r="D12" s="105"/>
      <c r="E12" s="105"/>
      <c r="G12" s="77">
        <f>'Client Summary'!G14</f>
        <v>0</v>
      </c>
      <c r="H12" s="73"/>
      <c r="J12" s="53"/>
      <c r="K12" s="53"/>
      <c r="L12" s="53"/>
      <c r="M12" s="53"/>
      <c r="N12" s="54"/>
    </row>
    <row r="13" spans="1:14">
      <c r="B13" s="72"/>
      <c r="C13" s="111" t="s">
        <v>98</v>
      </c>
      <c r="D13" s="219" t="str">
        <f>IFERROR(G13/G12,"")</f>
        <v/>
      </c>
      <c r="E13" s="220" t="s">
        <v>301</v>
      </c>
      <c r="G13" s="77">
        <f>'Client Summary'!G15</f>
        <v>0</v>
      </c>
      <c r="H13" s="73"/>
      <c r="J13" s="53"/>
      <c r="K13" s="53"/>
      <c r="L13" s="53"/>
      <c r="M13" s="53"/>
      <c r="N13" s="54"/>
    </row>
    <row r="14" spans="1:14">
      <c r="B14" s="72"/>
      <c r="C14" s="107" t="s">
        <v>247</v>
      </c>
      <c r="D14" s="75"/>
      <c r="E14" s="72"/>
      <c r="G14" s="77">
        <f>'Client Summary'!G16</f>
        <v>0</v>
      </c>
      <c r="H14" s="73"/>
      <c r="J14" s="53"/>
      <c r="K14" s="53"/>
      <c r="L14" s="53"/>
      <c r="M14" s="53"/>
      <c r="N14" s="54"/>
    </row>
    <row r="15" spans="1:14">
      <c r="B15" s="72"/>
      <c r="C15" s="111" t="s">
        <v>239</v>
      </c>
      <c r="D15" s="75"/>
      <c r="E15" s="72"/>
      <c r="G15" s="77">
        <f>'Client Summary'!G17</f>
        <v>0</v>
      </c>
      <c r="H15" s="73"/>
      <c r="J15" s="53"/>
      <c r="K15" s="53"/>
      <c r="L15" s="53"/>
      <c r="M15" s="53"/>
      <c r="N15" s="54"/>
    </row>
    <row r="16" spans="1:14">
      <c r="B16" s="72"/>
      <c r="C16" s="107" t="s">
        <v>245</v>
      </c>
      <c r="D16" s="105"/>
      <c r="E16" s="105"/>
      <c r="G16" s="77">
        <f>'Client Summary'!G18</f>
        <v>0</v>
      </c>
      <c r="H16" s="73"/>
      <c r="J16" s="53"/>
      <c r="K16" s="53"/>
      <c r="L16" s="53"/>
      <c r="M16" s="53"/>
      <c r="N16" s="54"/>
    </row>
    <row r="17" spans="1:14">
      <c r="B17" s="72"/>
      <c r="C17" s="72" t="str">
        <f>"Accumulated Depreciation as of 12/31/"&amp;'Study Data'!$B$5-1&amp;":"</f>
        <v>Accumulated Depreciation as of 12/31/2024:</v>
      </c>
      <c r="D17" s="105"/>
      <c r="E17" s="105"/>
      <c r="G17" s="77">
        <f>'Client Summary'!G19</f>
        <v>0</v>
      </c>
      <c r="H17" s="73"/>
      <c r="J17" s="53"/>
      <c r="K17" s="53"/>
      <c r="L17" s="53"/>
      <c r="M17" s="53"/>
      <c r="N17" s="54"/>
    </row>
    <row r="18" spans="1:14" ht="15" customHeight="1">
      <c r="B18" s="72"/>
      <c r="C18" s="321"/>
      <c r="D18" s="321"/>
      <c r="E18" s="321"/>
      <c r="G18" s="77"/>
      <c r="H18" s="73"/>
      <c r="J18" s="53"/>
      <c r="K18" s="53"/>
      <c r="L18" s="53"/>
      <c r="M18" s="53"/>
      <c r="N18" s="54"/>
    </row>
    <row r="19" spans="1:14" ht="15" customHeight="1">
      <c r="B19" s="72"/>
      <c r="C19" s="235" t="s">
        <v>310</v>
      </c>
      <c r="D19" s="105"/>
      <c r="E19" s="105"/>
      <c r="G19" s="77">
        <f>SUM($C$56:$E$56)</f>
        <v>0</v>
      </c>
      <c r="H19" s="73"/>
      <c r="J19" s="53"/>
      <c r="K19" s="53"/>
      <c r="L19" s="53"/>
      <c r="M19" s="53"/>
      <c r="N19" s="54"/>
    </row>
    <row r="20" spans="1:14" ht="15" customHeight="1">
      <c r="B20" s="72"/>
      <c r="C20" s="235" t="s">
        <v>242</v>
      </c>
      <c r="D20" s="105"/>
      <c r="E20" s="105"/>
      <c r="G20" s="77">
        <f>$G$19*40%</f>
        <v>0</v>
      </c>
      <c r="H20" s="73"/>
      <c r="J20" s="53"/>
      <c r="K20" s="53"/>
      <c r="L20" s="53"/>
      <c r="M20" s="53"/>
      <c r="N20" s="54"/>
    </row>
    <row r="21" spans="1:14" ht="15" customHeight="1">
      <c r="B21" s="72"/>
      <c r="C21" s="105"/>
      <c r="D21" s="105"/>
      <c r="E21" s="105"/>
      <c r="G21" s="77"/>
      <c r="H21" s="73"/>
      <c r="J21" s="53"/>
      <c r="K21" s="53"/>
      <c r="L21" s="53"/>
      <c r="M21" s="53"/>
      <c r="N21" s="54"/>
    </row>
    <row r="22" spans="1:14" ht="15" customHeight="1">
      <c r="B22" s="72"/>
      <c r="C22" s="105" t="s">
        <v>59</v>
      </c>
      <c r="D22" s="105"/>
      <c r="E22" s="105"/>
      <c r="G22" s="77">
        <f>SUMIFS($G$27:$G$55,$B$27:$B$55,"&lt;"&amp;'Client Summary'!$N$13)-IF($G$17=0,SUMIFS($H$27:$H$55,$B$27:$B$55,"&lt;"&amp;'Client Summary'!$N$13),'27.5 Estimate'!$G$17)</f>
        <v>0</v>
      </c>
      <c r="H22" s="73"/>
      <c r="J22" s="53"/>
      <c r="K22" s="53"/>
      <c r="L22" s="53"/>
      <c r="M22" s="53"/>
      <c r="N22" s="54"/>
    </row>
    <row r="23" spans="1:14" ht="15" customHeight="1">
      <c r="B23" s="72"/>
      <c r="C23" s="105" t="s">
        <v>242</v>
      </c>
      <c r="D23" s="105"/>
      <c r="E23" s="105"/>
      <c r="G23" s="77">
        <f>$G$22*40%</f>
        <v>0</v>
      </c>
      <c r="H23" s="73"/>
      <c r="J23" s="53"/>
      <c r="K23" s="53"/>
      <c r="L23" s="53"/>
      <c r="M23" s="53"/>
      <c r="N23" s="54"/>
    </row>
    <row r="24" spans="1:14" ht="15" customHeight="1">
      <c r="B24" s="72"/>
      <c r="C24" s="105"/>
      <c r="D24" s="105"/>
      <c r="E24" s="105"/>
      <c r="F24" s="76"/>
      <c r="G24" s="73"/>
      <c r="H24" s="73"/>
      <c r="J24" s="53"/>
      <c r="K24" s="53"/>
      <c r="L24" s="53"/>
      <c r="M24" s="53"/>
      <c r="N24" s="54"/>
    </row>
    <row r="25" spans="1:14" ht="12" customHeight="1">
      <c r="B25" s="72" t="s">
        <v>60</v>
      </c>
      <c r="C25" s="72"/>
      <c r="D25" s="72"/>
      <c r="E25" s="72"/>
      <c r="F25" s="72"/>
      <c r="G25" s="73"/>
      <c r="H25" s="73"/>
      <c r="J25" s="53"/>
      <c r="K25" s="53"/>
      <c r="L25" s="53"/>
      <c r="M25" s="53"/>
      <c r="N25" s="54"/>
    </row>
    <row r="26" spans="1:14" s="15" customFormat="1" ht="24">
      <c r="A26" s="119"/>
      <c r="B26" s="78" t="s">
        <v>61</v>
      </c>
      <c r="C26" s="78" t="s">
        <v>296</v>
      </c>
      <c r="D26" s="78" t="s">
        <v>297</v>
      </c>
      <c r="E26" s="78" t="s">
        <v>298</v>
      </c>
      <c r="F26" s="78" t="s">
        <v>300</v>
      </c>
      <c r="G26" s="217" t="s">
        <v>302</v>
      </c>
      <c r="H26" s="218" t="s">
        <v>299</v>
      </c>
      <c r="I26" s="121"/>
      <c r="J26" s="121"/>
      <c r="K26" s="121"/>
      <c r="L26" s="121"/>
      <c r="M26" s="79"/>
      <c r="N26" s="80"/>
    </row>
    <row r="27" spans="1:14">
      <c r="B27" s="81">
        <f>YEAR($F$11)</f>
        <v>2024</v>
      </c>
      <c r="C27" s="82">
        <f>IF('Client Summary'!$G$20="Residential",'Study Data'!T21,0)</f>
        <v>0</v>
      </c>
      <c r="D27" s="82">
        <f>IF('Client Summary'!$G$20="Residential",'Study Data'!AA21,0)</f>
        <v>0</v>
      </c>
      <c r="E27" s="83">
        <f>IF('Client Summary'!$G$20="Residential",'Study Data'!AH21,0)</f>
        <v>0</v>
      </c>
      <c r="F27" s="83">
        <f>'Study Data'!L21</f>
        <v>0</v>
      </c>
      <c r="G27" s="115">
        <f t="shared" ref="G27:G55" si="0">SUM(C27:F27)</f>
        <v>0</v>
      </c>
      <c r="H27" s="115">
        <f>'Study Data'!E21</f>
        <v>0</v>
      </c>
      <c r="J27" s="53"/>
      <c r="K27" s="53"/>
      <c r="L27" s="53"/>
      <c r="M27" s="53"/>
      <c r="N27" s="54"/>
    </row>
    <row r="28" spans="1:14">
      <c r="B28" s="84">
        <f>B27+1</f>
        <v>2025</v>
      </c>
      <c r="C28" s="85">
        <f>IF('Client Summary'!$G$20="Residential",'Study Data'!S22,0)</f>
        <v>0</v>
      </c>
      <c r="D28" s="85">
        <f>IF('Client Summary'!$G$20="Residential",'Study Data'!Z22,0)</f>
        <v>0</v>
      </c>
      <c r="E28" s="86">
        <f>IF('Client Summary'!$G$20="Residential",'Study Data'!AG22,0)</f>
        <v>0</v>
      </c>
      <c r="F28" s="86">
        <f>'Study Data'!L22</f>
        <v>0</v>
      </c>
      <c r="G28" s="116">
        <f t="shared" si="0"/>
        <v>0</v>
      </c>
      <c r="H28" s="116">
        <f>'Study Data'!E22</f>
        <v>0</v>
      </c>
      <c r="J28" s="53"/>
      <c r="K28" s="53"/>
      <c r="L28" s="53"/>
      <c r="M28" s="53"/>
      <c r="N28" s="54"/>
    </row>
    <row r="29" spans="1:14">
      <c r="B29" s="87">
        <f t="shared" ref="B29:B55" si="1">B28+1</f>
        <v>2026</v>
      </c>
      <c r="C29" s="82">
        <f>IF('Client Summary'!$G$20="Residential",'Study Data'!S23,0)</f>
        <v>0</v>
      </c>
      <c r="D29" s="88">
        <f>IF('Client Summary'!$G$20="Residential",'Study Data'!Z23,0)</f>
        <v>0</v>
      </c>
      <c r="E29" s="88">
        <f>IF('Client Summary'!$G$20="Residential",'Study Data'!AG23,0)</f>
        <v>0</v>
      </c>
      <c r="F29" s="88">
        <f>'Study Data'!L23</f>
        <v>0</v>
      </c>
      <c r="G29" s="117">
        <f t="shared" si="0"/>
        <v>0</v>
      </c>
      <c r="H29" s="117">
        <f>'Study Data'!E23</f>
        <v>0</v>
      </c>
      <c r="J29" s="53"/>
      <c r="K29" s="53"/>
      <c r="L29" s="53"/>
      <c r="M29" s="53"/>
      <c r="N29" s="54"/>
    </row>
    <row r="30" spans="1:14" ht="16.05" customHeight="1">
      <c r="B30" s="84">
        <f t="shared" si="1"/>
        <v>2027</v>
      </c>
      <c r="C30" s="85">
        <f>IF('Client Summary'!$G$20="Residential",'Study Data'!S24,0)</f>
        <v>0</v>
      </c>
      <c r="D30" s="86">
        <f>IF('Client Summary'!$G$20="Residential",'Study Data'!Z24,0)</f>
        <v>0</v>
      </c>
      <c r="E30" s="86">
        <f>IF('Client Summary'!$G$20="Residential",'Study Data'!AG24,0)</f>
        <v>0</v>
      </c>
      <c r="F30" s="86">
        <f>'Study Data'!L24</f>
        <v>0</v>
      </c>
      <c r="G30" s="116">
        <f t="shared" si="0"/>
        <v>0</v>
      </c>
      <c r="H30" s="116">
        <f>'Study Data'!E24</f>
        <v>0</v>
      </c>
      <c r="J30" s="53"/>
      <c r="K30" s="53"/>
      <c r="L30" s="53"/>
      <c r="M30" s="53"/>
      <c r="N30" s="54"/>
    </row>
    <row r="31" spans="1:14">
      <c r="B31" s="81">
        <f t="shared" si="1"/>
        <v>2028</v>
      </c>
      <c r="C31" s="82">
        <f>IF('Client Summary'!$G$20="Residential",'Study Data'!S25,0)</f>
        <v>0</v>
      </c>
      <c r="D31" s="88">
        <f>IF('Client Summary'!$G$20="Residential",'Study Data'!Z25,0)</f>
        <v>0</v>
      </c>
      <c r="E31" s="88">
        <f>IF('Client Summary'!$G$20="Residential",'Study Data'!AG25,0)</f>
        <v>0</v>
      </c>
      <c r="F31" s="88">
        <f>'Study Data'!L25</f>
        <v>0</v>
      </c>
      <c r="G31" s="117">
        <f t="shared" si="0"/>
        <v>0</v>
      </c>
      <c r="H31" s="117">
        <f>'Study Data'!E25</f>
        <v>0</v>
      </c>
      <c r="J31" s="53"/>
      <c r="K31" s="53"/>
      <c r="L31" s="53"/>
      <c r="M31" s="53"/>
      <c r="N31" s="54"/>
    </row>
    <row r="32" spans="1:14">
      <c r="B32" s="84">
        <f t="shared" si="1"/>
        <v>2029</v>
      </c>
      <c r="C32" s="85">
        <f>IF('Client Summary'!$G$20="Residential",'Study Data'!S26,0)</f>
        <v>0</v>
      </c>
      <c r="D32" s="89">
        <f>IF('Client Summary'!$G$20="Residential",'Study Data'!Z26,0)</f>
        <v>0</v>
      </c>
      <c r="E32" s="89">
        <f>IF('Client Summary'!$G$20="Residential",'Study Data'!AG26,0)</f>
        <v>0</v>
      </c>
      <c r="F32" s="86">
        <f>'Study Data'!L26</f>
        <v>0</v>
      </c>
      <c r="G32" s="116">
        <f t="shared" si="0"/>
        <v>0</v>
      </c>
      <c r="H32" s="116">
        <f>'Study Data'!E26</f>
        <v>0</v>
      </c>
      <c r="J32" s="53"/>
      <c r="K32" s="53"/>
      <c r="L32" s="53"/>
      <c r="M32" s="53"/>
      <c r="N32" s="54"/>
    </row>
    <row r="33" spans="2:14">
      <c r="B33" s="87">
        <f t="shared" si="1"/>
        <v>2030</v>
      </c>
      <c r="C33" s="88"/>
      <c r="D33" s="88">
        <f>IF('Client Summary'!$G$20="Residential",'Study Data'!Z27,0)</f>
        <v>0</v>
      </c>
      <c r="E33" s="88">
        <f>IF('Client Summary'!$G$20="Residential",'Study Data'!AG27,0)</f>
        <v>0</v>
      </c>
      <c r="F33" s="88">
        <f>'Study Data'!L27</f>
        <v>0</v>
      </c>
      <c r="G33" s="117">
        <f t="shared" si="0"/>
        <v>0</v>
      </c>
      <c r="H33" s="117">
        <f>'Study Data'!E27</f>
        <v>0</v>
      </c>
      <c r="J33" s="53"/>
      <c r="K33" s="53"/>
      <c r="L33" s="53"/>
      <c r="M33" s="53"/>
      <c r="N33" s="54"/>
    </row>
    <row r="34" spans="2:14">
      <c r="B34" s="84">
        <f t="shared" si="1"/>
        <v>2031</v>
      </c>
      <c r="C34" s="89"/>
      <c r="D34" s="89">
        <f>IF('Client Summary'!$G$20="Residential",'Study Data'!Z28,0)</f>
        <v>0</v>
      </c>
      <c r="E34" s="89">
        <f>IF('Client Summary'!$G$20="Residential",'Study Data'!AG28,0)</f>
        <v>0</v>
      </c>
      <c r="F34" s="86">
        <f>'Study Data'!L28</f>
        <v>0</v>
      </c>
      <c r="G34" s="116">
        <f t="shared" si="0"/>
        <v>0</v>
      </c>
      <c r="H34" s="116">
        <f>'Study Data'!E28</f>
        <v>0</v>
      </c>
      <c r="J34" s="53"/>
      <c r="K34" s="53"/>
      <c r="L34" s="53"/>
      <c r="M34" s="53"/>
      <c r="N34" s="54"/>
    </row>
    <row r="35" spans="2:14">
      <c r="B35" s="81">
        <f t="shared" si="1"/>
        <v>2032</v>
      </c>
      <c r="C35" s="88"/>
      <c r="D35" s="88"/>
      <c r="E35" s="88">
        <f>IF('Client Summary'!$G$20="Residential",'Study Data'!AG29,0)</f>
        <v>0</v>
      </c>
      <c r="F35" s="88">
        <f>'Study Data'!L29</f>
        <v>0</v>
      </c>
      <c r="G35" s="117">
        <f t="shared" si="0"/>
        <v>0</v>
      </c>
      <c r="H35" s="117">
        <f>'Study Data'!E29</f>
        <v>0</v>
      </c>
      <c r="J35" s="53"/>
      <c r="K35" s="53"/>
      <c r="L35" s="53"/>
      <c r="M35" s="53"/>
      <c r="N35" s="54"/>
    </row>
    <row r="36" spans="2:14">
      <c r="B36" s="84">
        <f t="shared" si="1"/>
        <v>2033</v>
      </c>
      <c r="C36" s="89"/>
      <c r="D36" s="89"/>
      <c r="E36" s="89">
        <f>IF('Client Summary'!$G$20="Residential",'Study Data'!AG30,0)</f>
        <v>0</v>
      </c>
      <c r="F36" s="86">
        <f>'Study Data'!L30</f>
        <v>0</v>
      </c>
      <c r="G36" s="116">
        <f t="shared" si="0"/>
        <v>0</v>
      </c>
      <c r="H36" s="116">
        <f>'Study Data'!E30</f>
        <v>0</v>
      </c>
      <c r="J36" s="53"/>
      <c r="K36" s="53"/>
      <c r="L36" s="53"/>
      <c r="M36" s="53"/>
      <c r="N36" s="54"/>
    </row>
    <row r="37" spans="2:14">
      <c r="B37" s="87">
        <f t="shared" si="1"/>
        <v>2034</v>
      </c>
      <c r="C37" s="88"/>
      <c r="D37" s="88"/>
      <c r="E37" s="88">
        <f>IF('Client Summary'!$G$20="Residential",'Study Data'!AG31,0)</f>
        <v>0</v>
      </c>
      <c r="F37" s="88">
        <f>'Study Data'!L31</f>
        <v>0</v>
      </c>
      <c r="G37" s="117">
        <f t="shared" si="0"/>
        <v>0</v>
      </c>
      <c r="H37" s="117">
        <f>'Study Data'!E31</f>
        <v>0</v>
      </c>
      <c r="J37" s="53"/>
      <c r="K37" s="53"/>
      <c r="L37" s="53"/>
      <c r="M37" s="53"/>
      <c r="N37" s="54"/>
    </row>
    <row r="38" spans="2:14">
      <c r="B38" s="84">
        <f t="shared" si="1"/>
        <v>2035</v>
      </c>
      <c r="C38" s="89"/>
      <c r="D38" s="89"/>
      <c r="E38" s="89">
        <f>IF('Client Summary'!$G$20="Residential",'Study Data'!AG32,0)</f>
        <v>0</v>
      </c>
      <c r="F38" s="86">
        <f>'Study Data'!L32</f>
        <v>0</v>
      </c>
      <c r="G38" s="116">
        <f t="shared" si="0"/>
        <v>0</v>
      </c>
      <c r="H38" s="116">
        <f>'Study Data'!E32</f>
        <v>0</v>
      </c>
      <c r="J38" s="53"/>
      <c r="K38" s="53"/>
      <c r="L38" s="53"/>
      <c r="M38" s="53"/>
      <c r="N38" s="54"/>
    </row>
    <row r="39" spans="2:14">
      <c r="B39" s="81">
        <f t="shared" si="1"/>
        <v>2036</v>
      </c>
      <c r="C39" s="88"/>
      <c r="D39" s="88"/>
      <c r="E39" s="88">
        <f>IF('Client Summary'!$G$20="Residential",'Study Data'!AG33,0)</f>
        <v>0</v>
      </c>
      <c r="F39" s="88">
        <f>'Study Data'!L33</f>
        <v>0</v>
      </c>
      <c r="G39" s="117">
        <f t="shared" si="0"/>
        <v>0</v>
      </c>
      <c r="H39" s="117">
        <f>'Study Data'!E33</f>
        <v>0</v>
      </c>
      <c r="J39" s="53"/>
      <c r="K39" s="53"/>
      <c r="L39" s="53"/>
      <c r="M39" s="53"/>
      <c r="N39" s="54"/>
    </row>
    <row r="40" spans="2:14">
      <c r="B40" s="84">
        <f t="shared" si="1"/>
        <v>2037</v>
      </c>
      <c r="C40" s="89"/>
      <c r="D40" s="89"/>
      <c r="E40" s="89">
        <f>IF('Client Summary'!$G$20="Residential",'Study Data'!AG34,0)</f>
        <v>0</v>
      </c>
      <c r="F40" s="86">
        <f>'Study Data'!L34</f>
        <v>0</v>
      </c>
      <c r="G40" s="116">
        <f t="shared" si="0"/>
        <v>0</v>
      </c>
      <c r="H40" s="116">
        <f>'Study Data'!E34</f>
        <v>0</v>
      </c>
      <c r="J40" s="53"/>
      <c r="K40" s="53"/>
      <c r="L40" s="53"/>
      <c r="M40" s="53"/>
      <c r="N40" s="54"/>
    </row>
    <row r="41" spans="2:14">
      <c r="B41" s="87">
        <f t="shared" si="1"/>
        <v>2038</v>
      </c>
      <c r="C41" s="88"/>
      <c r="D41" s="88"/>
      <c r="E41" s="88">
        <f>IF('Client Summary'!$G$20="Residential",'Study Data'!AG35,0)</f>
        <v>0</v>
      </c>
      <c r="F41" s="88">
        <f>'Study Data'!L35</f>
        <v>0</v>
      </c>
      <c r="G41" s="117">
        <f t="shared" si="0"/>
        <v>0</v>
      </c>
      <c r="H41" s="117">
        <f>'Study Data'!E35</f>
        <v>0</v>
      </c>
      <c r="J41" s="53"/>
      <c r="K41" s="53"/>
      <c r="L41" s="53"/>
      <c r="M41" s="53"/>
      <c r="N41" s="54"/>
    </row>
    <row r="42" spans="2:14">
      <c r="B42" s="84">
        <f t="shared" si="1"/>
        <v>2039</v>
      </c>
      <c r="C42" s="89"/>
      <c r="D42" s="89"/>
      <c r="E42" s="89">
        <f>IF('Client Summary'!$G$20="Residential",'Study Data'!AG36,0)</f>
        <v>0</v>
      </c>
      <c r="F42" s="86">
        <f>'Study Data'!L36</f>
        <v>0</v>
      </c>
      <c r="G42" s="116">
        <f t="shared" si="0"/>
        <v>0</v>
      </c>
      <c r="H42" s="116">
        <f>'Study Data'!E36</f>
        <v>0</v>
      </c>
      <c r="J42" s="53"/>
      <c r="K42" s="53"/>
      <c r="L42" s="53"/>
      <c r="M42" s="53"/>
      <c r="N42" s="54"/>
    </row>
    <row r="43" spans="2:14">
      <c r="B43" s="81">
        <f t="shared" si="1"/>
        <v>2040</v>
      </c>
      <c r="C43" s="88"/>
      <c r="D43" s="88"/>
      <c r="E43" s="88"/>
      <c r="F43" s="88">
        <f>'Study Data'!L37</f>
        <v>0</v>
      </c>
      <c r="G43" s="117">
        <f t="shared" si="0"/>
        <v>0</v>
      </c>
      <c r="H43" s="117">
        <f>'Study Data'!E37</f>
        <v>0</v>
      </c>
      <c r="J43" s="53"/>
      <c r="K43" s="53"/>
      <c r="L43" s="53"/>
      <c r="M43" s="53"/>
      <c r="N43" s="54"/>
    </row>
    <row r="44" spans="2:14">
      <c r="B44" s="84">
        <f t="shared" si="1"/>
        <v>2041</v>
      </c>
      <c r="C44" s="89"/>
      <c r="D44" s="89"/>
      <c r="E44" s="89"/>
      <c r="F44" s="86">
        <f>'Study Data'!L38</f>
        <v>0</v>
      </c>
      <c r="G44" s="116">
        <f t="shared" si="0"/>
        <v>0</v>
      </c>
      <c r="H44" s="116">
        <f>'Study Data'!E38</f>
        <v>0</v>
      </c>
      <c r="J44" s="53"/>
      <c r="K44" s="53"/>
      <c r="L44" s="53"/>
      <c r="M44" s="53"/>
      <c r="N44" s="54"/>
    </row>
    <row r="45" spans="2:14">
      <c r="B45" s="87">
        <f t="shared" si="1"/>
        <v>2042</v>
      </c>
      <c r="C45" s="88"/>
      <c r="D45" s="88"/>
      <c r="E45" s="88"/>
      <c r="F45" s="88">
        <f>'Study Data'!L39</f>
        <v>0</v>
      </c>
      <c r="G45" s="117">
        <f t="shared" si="0"/>
        <v>0</v>
      </c>
      <c r="H45" s="117">
        <f>'Study Data'!E39</f>
        <v>0</v>
      </c>
      <c r="J45" s="53"/>
      <c r="K45" s="53"/>
      <c r="L45" s="53"/>
      <c r="M45" s="53"/>
      <c r="N45" s="54"/>
    </row>
    <row r="46" spans="2:14">
      <c r="B46" s="84">
        <f t="shared" si="1"/>
        <v>2043</v>
      </c>
      <c r="C46" s="89"/>
      <c r="D46" s="89"/>
      <c r="E46" s="89"/>
      <c r="F46" s="86">
        <f>'Study Data'!L40</f>
        <v>0</v>
      </c>
      <c r="G46" s="116">
        <f t="shared" si="0"/>
        <v>0</v>
      </c>
      <c r="H46" s="116">
        <f>'Study Data'!E40</f>
        <v>0</v>
      </c>
      <c r="J46" s="53"/>
      <c r="K46" s="53"/>
      <c r="L46" s="53"/>
      <c r="M46" s="53"/>
      <c r="N46" s="54"/>
    </row>
    <row r="47" spans="2:14">
      <c r="B47" s="81">
        <f t="shared" si="1"/>
        <v>2044</v>
      </c>
      <c r="C47" s="88"/>
      <c r="D47" s="88"/>
      <c r="E47" s="88"/>
      <c r="F47" s="88">
        <f>'Study Data'!L41</f>
        <v>0</v>
      </c>
      <c r="G47" s="117">
        <f t="shared" si="0"/>
        <v>0</v>
      </c>
      <c r="H47" s="117">
        <f>'Study Data'!E41</f>
        <v>0</v>
      </c>
      <c r="J47" s="53"/>
      <c r="K47" s="53"/>
      <c r="L47" s="53"/>
      <c r="M47" s="53"/>
      <c r="N47" s="54"/>
    </row>
    <row r="48" spans="2:14">
      <c r="B48" s="84">
        <f t="shared" si="1"/>
        <v>2045</v>
      </c>
      <c r="C48" s="89"/>
      <c r="D48" s="89"/>
      <c r="E48" s="89"/>
      <c r="F48" s="86">
        <f>'Study Data'!L42</f>
        <v>0</v>
      </c>
      <c r="G48" s="116">
        <f t="shared" si="0"/>
        <v>0</v>
      </c>
      <c r="H48" s="116">
        <f>'Study Data'!E42</f>
        <v>0</v>
      </c>
      <c r="J48" s="53"/>
      <c r="K48" s="53"/>
      <c r="L48" s="53"/>
      <c r="M48" s="53"/>
      <c r="N48" s="54"/>
    </row>
    <row r="49" spans="1:14">
      <c r="B49" s="87">
        <f t="shared" si="1"/>
        <v>2046</v>
      </c>
      <c r="C49" s="88"/>
      <c r="D49" s="88"/>
      <c r="E49" s="88"/>
      <c r="F49" s="88">
        <f>'Study Data'!L43</f>
        <v>0</v>
      </c>
      <c r="G49" s="117">
        <f t="shared" si="0"/>
        <v>0</v>
      </c>
      <c r="H49" s="117">
        <f>'Study Data'!E43</f>
        <v>0</v>
      </c>
      <c r="J49" s="53"/>
      <c r="K49" s="53"/>
      <c r="L49" s="53"/>
      <c r="M49" s="53"/>
      <c r="N49" s="54"/>
    </row>
    <row r="50" spans="1:14">
      <c r="B50" s="84">
        <f t="shared" si="1"/>
        <v>2047</v>
      </c>
      <c r="C50" s="89"/>
      <c r="D50" s="89"/>
      <c r="E50" s="89"/>
      <c r="F50" s="86">
        <f>'Study Data'!L44</f>
        <v>0</v>
      </c>
      <c r="G50" s="116">
        <f t="shared" si="0"/>
        <v>0</v>
      </c>
      <c r="H50" s="116">
        <f>'Study Data'!E44</f>
        <v>0</v>
      </c>
      <c r="J50" s="53"/>
      <c r="K50" s="53"/>
      <c r="L50" s="53"/>
      <c r="M50" s="53"/>
      <c r="N50" s="54"/>
    </row>
    <row r="51" spans="1:14">
      <c r="B51" s="81">
        <f t="shared" si="1"/>
        <v>2048</v>
      </c>
      <c r="C51" s="88"/>
      <c r="D51" s="88"/>
      <c r="E51" s="88"/>
      <c r="F51" s="88">
        <f>'Study Data'!L45</f>
        <v>0</v>
      </c>
      <c r="G51" s="117">
        <f t="shared" si="0"/>
        <v>0</v>
      </c>
      <c r="H51" s="117">
        <f>'Study Data'!E45</f>
        <v>0</v>
      </c>
      <c r="J51" s="53"/>
      <c r="K51" s="53"/>
      <c r="L51" s="53"/>
      <c r="M51" s="53"/>
      <c r="N51" s="54"/>
    </row>
    <row r="52" spans="1:14">
      <c r="B52" s="84">
        <f t="shared" si="1"/>
        <v>2049</v>
      </c>
      <c r="C52" s="89"/>
      <c r="D52" s="89"/>
      <c r="E52" s="89"/>
      <c r="F52" s="86">
        <f>'Study Data'!L46</f>
        <v>0</v>
      </c>
      <c r="G52" s="116">
        <f t="shared" si="0"/>
        <v>0</v>
      </c>
      <c r="H52" s="116">
        <f>'Study Data'!E46</f>
        <v>0</v>
      </c>
      <c r="J52" s="53"/>
      <c r="K52" s="53"/>
      <c r="L52" s="53"/>
      <c r="M52" s="53"/>
      <c r="N52" s="54"/>
    </row>
    <row r="53" spans="1:14">
      <c r="B53" s="87">
        <f t="shared" si="1"/>
        <v>2050</v>
      </c>
      <c r="C53" s="88"/>
      <c r="D53" s="88"/>
      <c r="E53" s="88"/>
      <c r="F53" s="88">
        <f>'Study Data'!L47</f>
        <v>0</v>
      </c>
      <c r="G53" s="117">
        <f t="shared" si="0"/>
        <v>0</v>
      </c>
      <c r="H53" s="117">
        <f>'Study Data'!E47</f>
        <v>0</v>
      </c>
      <c r="J53" s="53"/>
      <c r="K53" s="53"/>
      <c r="L53" s="53"/>
      <c r="M53" s="53"/>
      <c r="N53" s="54"/>
    </row>
    <row r="54" spans="1:14">
      <c r="B54" s="84">
        <f t="shared" si="1"/>
        <v>2051</v>
      </c>
      <c r="C54" s="89"/>
      <c r="D54" s="89"/>
      <c r="E54" s="89"/>
      <c r="F54" s="86">
        <f>'Study Data'!L48</f>
        <v>0</v>
      </c>
      <c r="G54" s="116">
        <f t="shared" si="0"/>
        <v>0</v>
      </c>
      <c r="H54" s="116">
        <f>'Study Data'!E48</f>
        <v>0</v>
      </c>
      <c r="J54" s="53"/>
      <c r="K54" s="53"/>
      <c r="L54" s="53"/>
      <c r="M54" s="53"/>
      <c r="N54" s="54"/>
    </row>
    <row r="55" spans="1:14">
      <c r="B55" s="87">
        <f t="shared" si="1"/>
        <v>2052</v>
      </c>
      <c r="C55" s="88"/>
      <c r="D55" s="88"/>
      <c r="E55" s="88"/>
      <c r="F55" s="88">
        <f>'Study Data'!L49</f>
        <v>0</v>
      </c>
      <c r="G55" s="117">
        <f t="shared" si="0"/>
        <v>0</v>
      </c>
      <c r="H55" s="117">
        <f>'Study Data'!E49</f>
        <v>0</v>
      </c>
      <c r="J55" s="53"/>
      <c r="K55" s="53"/>
      <c r="L55" s="53"/>
      <c r="M55" s="53"/>
      <c r="N55" s="54"/>
    </row>
    <row r="56" spans="1:14" s="12" customFormat="1" ht="21" customHeight="1">
      <c r="A56" s="120"/>
      <c r="B56" s="90" t="s">
        <v>62</v>
      </c>
      <c r="C56" s="91">
        <f>SUM(C27:C55)</f>
        <v>0</v>
      </c>
      <c r="D56" s="91">
        <f t="shared" ref="D56:H56" si="2">SUM(D27:D55)</f>
        <v>0</v>
      </c>
      <c r="E56" s="91">
        <f t="shared" si="2"/>
        <v>0</v>
      </c>
      <c r="F56" s="91">
        <f t="shared" si="2"/>
        <v>0</v>
      </c>
      <c r="G56" s="91">
        <f t="shared" ref="G56" si="3">SUM(G27:G55)</f>
        <v>0</v>
      </c>
      <c r="H56" s="91">
        <f t="shared" si="2"/>
        <v>0</v>
      </c>
      <c r="I56" s="120"/>
      <c r="J56" s="92"/>
      <c r="K56" s="92"/>
      <c r="L56" s="92"/>
      <c r="M56" s="92"/>
      <c r="N56" s="93"/>
    </row>
    <row r="57" spans="1:14">
      <c r="B57" s="73"/>
      <c r="C57" s="73"/>
      <c r="D57" s="73"/>
      <c r="E57" s="73"/>
      <c r="F57" s="73"/>
      <c r="G57" s="73"/>
      <c r="H57" s="73"/>
      <c r="J57" s="53"/>
      <c r="K57" s="53"/>
      <c r="L57" s="53"/>
      <c r="M57" s="53"/>
      <c r="N57" s="54"/>
    </row>
    <row r="58" spans="1:14">
      <c r="B58" s="73"/>
      <c r="C58" s="73"/>
      <c r="D58" s="73"/>
      <c r="E58" s="73"/>
      <c r="F58" s="73"/>
      <c r="G58" s="73"/>
      <c r="H58" s="73"/>
      <c r="J58" s="53"/>
      <c r="K58" s="53"/>
      <c r="L58" s="53"/>
      <c r="M58" s="53"/>
      <c r="N58" s="54"/>
    </row>
    <row r="59" spans="1:14">
      <c r="B59" s="320" t="s">
        <v>238</v>
      </c>
      <c r="C59" s="320"/>
      <c r="D59" s="320"/>
      <c r="E59" s="320"/>
      <c r="F59" s="320"/>
      <c r="G59" s="320"/>
      <c r="H59" s="320"/>
      <c r="J59" s="53"/>
      <c r="K59" s="53"/>
      <c r="L59" s="53"/>
      <c r="M59" s="53"/>
      <c r="N59" s="54"/>
    </row>
    <row r="60" spans="1:14">
      <c r="B60" s="73"/>
      <c r="C60" s="73"/>
      <c r="D60" s="73"/>
      <c r="E60" s="73"/>
      <c r="F60" s="73"/>
      <c r="G60" s="73"/>
      <c r="H60" s="73"/>
      <c r="J60" s="53"/>
      <c r="K60" s="53"/>
      <c r="L60" s="53"/>
      <c r="M60" s="53"/>
      <c r="N60" s="54"/>
    </row>
    <row r="61" spans="1:14">
      <c r="B61" s="73"/>
      <c r="C61" s="73"/>
      <c r="D61" s="73"/>
      <c r="E61" s="73"/>
      <c r="F61" s="73"/>
      <c r="G61" s="73"/>
      <c r="H61" s="73"/>
      <c r="J61" s="53"/>
      <c r="K61" s="53"/>
      <c r="L61" s="53"/>
      <c r="M61" s="53"/>
      <c r="N61" s="54"/>
    </row>
    <row r="62" spans="1:14">
      <c r="B62" s="73"/>
      <c r="C62" s="73"/>
      <c r="D62" s="73"/>
      <c r="E62" s="73"/>
      <c r="F62" s="73"/>
      <c r="G62" s="73"/>
      <c r="H62" s="73"/>
      <c r="J62" s="53"/>
      <c r="K62" s="53"/>
      <c r="L62" s="53"/>
      <c r="M62" s="53"/>
      <c r="N62" s="54"/>
    </row>
    <row r="63" spans="1:14">
      <c r="B63" s="73"/>
      <c r="C63" s="73"/>
      <c r="D63" s="73"/>
      <c r="E63" s="73"/>
      <c r="F63" s="73"/>
      <c r="G63" s="73"/>
      <c r="H63" s="73"/>
      <c r="J63" s="53"/>
      <c r="K63" s="53"/>
      <c r="L63" s="53"/>
      <c r="M63" s="53"/>
      <c r="N63" s="54"/>
    </row>
    <row r="64" spans="1:14">
      <c r="B64" s="73"/>
      <c r="C64" s="73"/>
      <c r="D64" s="73"/>
      <c r="E64" s="73"/>
      <c r="F64" s="73"/>
      <c r="G64" s="73"/>
      <c r="H64" s="73"/>
      <c r="J64" s="53"/>
      <c r="K64" s="53"/>
      <c r="L64" s="53"/>
      <c r="M64" s="53"/>
      <c r="N64" s="54"/>
    </row>
    <row r="65" spans="2:14">
      <c r="B65" s="73"/>
      <c r="C65" s="73"/>
      <c r="D65" s="73"/>
      <c r="E65" s="73"/>
      <c r="F65" s="73"/>
      <c r="G65" s="73"/>
      <c r="H65" s="73"/>
      <c r="J65" s="53"/>
      <c r="K65" s="53"/>
      <c r="L65" s="53"/>
      <c r="M65" s="53"/>
      <c r="N65" s="54"/>
    </row>
    <row r="66" spans="2:14">
      <c r="B66" s="73"/>
      <c r="C66" s="73"/>
      <c r="D66" s="73"/>
      <c r="E66" s="73"/>
      <c r="F66" s="73"/>
      <c r="G66" s="73"/>
      <c r="H66" s="73"/>
      <c r="J66" s="53"/>
      <c r="K66" s="53"/>
      <c r="L66" s="53"/>
      <c r="M66" s="53"/>
      <c r="N66" s="54"/>
    </row>
    <row r="67" spans="2:14">
      <c r="B67" s="73"/>
      <c r="C67" s="73"/>
      <c r="D67" s="73"/>
      <c r="E67" s="73"/>
      <c r="F67" s="73"/>
      <c r="G67" s="73"/>
      <c r="H67" s="73"/>
      <c r="J67" s="53"/>
      <c r="K67" s="53"/>
      <c r="L67" s="53"/>
      <c r="M67" s="53"/>
      <c r="N67" s="54"/>
    </row>
    <row r="68" spans="2:14">
      <c r="B68" s="73"/>
      <c r="C68" s="73"/>
      <c r="D68" s="73"/>
      <c r="E68" s="73"/>
      <c r="F68" s="73"/>
      <c r="G68" s="73"/>
      <c r="H68" s="73"/>
      <c r="J68" s="53"/>
      <c r="K68" s="53"/>
      <c r="L68" s="53"/>
      <c r="M68" s="53"/>
      <c r="N68" s="54"/>
    </row>
    <row r="69" spans="2:14">
      <c r="B69" s="73"/>
      <c r="C69" s="73"/>
      <c r="D69" s="73"/>
      <c r="E69" s="73"/>
      <c r="F69" s="73"/>
      <c r="G69" s="73"/>
      <c r="H69" s="73"/>
      <c r="J69" s="53"/>
      <c r="K69" s="53"/>
      <c r="L69" s="53"/>
      <c r="M69" s="53"/>
      <c r="N69" s="54"/>
    </row>
  </sheetData>
  <mergeCells count="5">
    <mergeCell ref="B1:H5"/>
    <mergeCell ref="B59:H59"/>
    <mergeCell ref="C18:E18"/>
    <mergeCell ref="B7:H7"/>
    <mergeCell ref="F11:G11"/>
  </mergeCells>
  <phoneticPr fontId="13" type="noConversion"/>
  <printOptions horizontalCentered="1"/>
  <pageMargins left="0.25" right="0.25" top="0.75" bottom="0.75" header="0.3" footer="0.3"/>
  <pageSetup scale="75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7AB4B-220C-9B4B-BD11-0A356906DE16}">
  <sheetPr codeName="Sheet8">
    <pageSetUpPr fitToPage="1"/>
  </sheetPr>
  <dimension ref="A1:N86"/>
  <sheetViews>
    <sheetView showGridLines="0" zoomScale="120" zoomScaleNormal="120" zoomScalePageLayoutView="140" workbookViewId="0">
      <selection activeCell="F11" sqref="F11:G11"/>
    </sheetView>
  </sheetViews>
  <sheetFormatPr defaultColWidth="8.796875" defaultRowHeight="14.4"/>
  <cols>
    <col min="1" max="1" width="5" style="118" customWidth="1"/>
    <col min="2" max="8" width="15.5" style="229" customWidth="1"/>
    <col min="9" max="9" width="5" style="118" customWidth="1"/>
    <col min="10" max="11" width="8.796875" style="229"/>
    <col min="12" max="16384" width="8.796875" style="118"/>
  </cols>
  <sheetData>
    <row r="1" spans="2:14">
      <c r="B1" s="324" t="e" vm="1">
        <v>#VALUE!</v>
      </c>
      <c r="C1" s="324"/>
      <c r="D1" s="324"/>
      <c r="E1" s="324"/>
      <c r="F1" s="324"/>
      <c r="G1" s="324"/>
      <c r="H1" s="324"/>
    </row>
    <row r="2" spans="2:14">
      <c r="B2" s="324"/>
      <c r="C2" s="324"/>
      <c r="D2" s="324"/>
      <c r="E2" s="324"/>
      <c r="F2" s="324"/>
      <c r="G2" s="324"/>
      <c r="H2" s="324"/>
    </row>
    <row r="3" spans="2:14">
      <c r="B3" s="324"/>
      <c r="C3" s="324"/>
      <c r="D3" s="324"/>
      <c r="E3" s="324"/>
      <c r="F3" s="324"/>
      <c r="G3" s="324"/>
      <c r="H3" s="324"/>
    </row>
    <row r="4" spans="2:14" s="109" customFormat="1">
      <c r="B4" s="324"/>
      <c r="C4" s="324"/>
      <c r="D4" s="324"/>
      <c r="E4" s="324"/>
      <c r="F4" s="324"/>
      <c r="G4" s="324"/>
      <c r="H4" s="324"/>
      <c r="J4" s="230"/>
      <c r="K4" s="230"/>
    </row>
    <row r="5" spans="2:14" s="109" customFormat="1">
      <c r="B5" s="324"/>
      <c r="C5" s="324"/>
      <c r="D5" s="324"/>
      <c r="E5" s="324"/>
      <c r="F5" s="324"/>
      <c r="G5" s="324"/>
      <c r="H5" s="324"/>
      <c r="J5" s="230"/>
      <c r="K5" s="230"/>
    </row>
    <row r="6" spans="2:14" s="109" customFormat="1" ht="15" customHeight="1">
      <c r="B6" s="229"/>
      <c r="C6" s="229"/>
      <c r="D6" s="229"/>
      <c r="E6" s="229"/>
      <c r="F6" s="229"/>
      <c r="G6" s="229"/>
      <c r="H6" s="229"/>
      <c r="J6" s="230"/>
      <c r="K6" s="230"/>
    </row>
    <row r="7" spans="2:14" ht="39" customHeight="1">
      <c r="B7" s="325" t="s">
        <v>236</v>
      </c>
      <c r="C7" s="325"/>
      <c r="D7" s="325"/>
      <c r="E7" s="325"/>
      <c r="F7" s="325"/>
      <c r="G7" s="325"/>
      <c r="H7" s="325"/>
    </row>
    <row r="8" spans="2:14" s="109" customFormat="1" ht="15" customHeight="1">
      <c r="B8" s="231"/>
      <c r="C8" s="231"/>
      <c r="D8" s="231"/>
      <c r="E8" s="231"/>
      <c r="F8" s="231"/>
      <c r="G8" s="231"/>
      <c r="H8" s="231"/>
      <c r="J8" s="220"/>
      <c r="K8" s="220"/>
      <c r="L8" s="232"/>
      <c r="M8" s="232"/>
      <c r="N8" s="232"/>
    </row>
    <row r="9" spans="2:14" ht="15" customHeight="1">
      <c r="B9" s="220"/>
      <c r="C9" s="220" t="s">
        <v>34</v>
      </c>
      <c r="D9" s="220"/>
      <c r="E9" s="220"/>
      <c r="G9" s="233" t="str">
        <f>'Client Summary'!G12</f>
        <v>861 E 800 S, Salt Lake City, UT 84102</v>
      </c>
      <c r="H9" s="231"/>
      <c r="J9" s="231"/>
      <c r="K9" s="231"/>
      <c r="L9" s="234"/>
      <c r="M9" s="234"/>
      <c r="N9" s="234"/>
    </row>
    <row r="10" spans="2:14" ht="15" customHeight="1">
      <c r="B10" s="220"/>
      <c r="C10" s="57" t="s">
        <v>37</v>
      </c>
      <c r="D10" s="220"/>
      <c r="E10" s="220"/>
      <c r="G10" s="233" t="str">
        <f>_xlfn.XLOOKUP('Client Summary'!$G$21,Definitions!$E$2:$E$35,Definitions!$F$2:$F$35,0,0,1)</f>
        <v>Single Family Residence</v>
      </c>
      <c r="H10" s="231"/>
      <c r="J10" s="231"/>
      <c r="K10" s="231"/>
      <c r="L10" s="234"/>
      <c r="M10" s="234"/>
      <c r="N10" s="234"/>
    </row>
    <row r="11" spans="2:14" ht="16.05" customHeight="1">
      <c r="B11" s="220"/>
      <c r="C11" s="220" t="s">
        <v>99</v>
      </c>
      <c r="D11" s="220"/>
      <c r="E11" s="220"/>
      <c r="F11" s="326">
        <f>'Client Summary'!G13</f>
        <v>45292</v>
      </c>
      <c r="G11" s="326"/>
      <c r="H11" s="231"/>
      <c r="J11" s="231"/>
      <c r="K11" s="231"/>
      <c r="L11" s="234"/>
      <c r="M11" s="234"/>
      <c r="N11" s="234"/>
    </row>
    <row r="12" spans="2:14">
      <c r="B12" s="220"/>
      <c r="C12" s="111" t="s">
        <v>244</v>
      </c>
      <c r="D12" s="235"/>
      <c r="E12" s="235"/>
      <c r="G12" s="236">
        <f>'Client Summary'!G14</f>
        <v>0</v>
      </c>
      <c r="H12" s="231"/>
      <c r="J12" s="231"/>
      <c r="K12" s="231"/>
      <c r="L12" s="234"/>
      <c r="M12" s="234"/>
      <c r="N12" s="234"/>
    </row>
    <row r="13" spans="2:14">
      <c r="B13" s="220"/>
      <c r="C13" s="111" t="s">
        <v>98</v>
      </c>
      <c r="D13" s="219" t="str">
        <f>IFERROR(G13/G12,"")</f>
        <v/>
      </c>
      <c r="E13" s="220" t="s">
        <v>301</v>
      </c>
      <c r="G13" s="236">
        <f>'Client Summary'!G15</f>
        <v>0</v>
      </c>
      <c r="H13" s="231"/>
      <c r="J13" s="231"/>
      <c r="K13" s="231"/>
      <c r="L13" s="234"/>
      <c r="M13" s="234"/>
      <c r="N13" s="234"/>
    </row>
    <row r="14" spans="2:14">
      <c r="B14" s="220"/>
      <c r="C14" s="107" t="s">
        <v>247</v>
      </c>
      <c r="D14" s="219"/>
      <c r="E14" s="220"/>
      <c r="G14" s="236">
        <f>'Client Summary'!G16</f>
        <v>0</v>
      </c>
      <c r="H14" s="231"/>
      <c r="J14" s="231"/>
      <c r="K14" s="231"/>
      <c r="L14" s="234"/>
      <c r="M14" s="234"/>
      <c r="N14" s="234"/>
    </row>
    <row r="15" spans="2:14">
      <c r="B15" s="220"/>
      <c r="C15" s="111" t="s">
        <v>239</v>
      </c>
      <c r="D15" s="219"/>
      <c r="E15" s="220"/>
      <c r="G15" s="236">
        <f>'Client Summary'!G17</f>
        <v>0</v>
      </c>
      <c r="H15" s="231"/>
      <c r="J15" s="231"/>
      <c r="K15" s="231"/>
      <c r="L15" s="234"/>
      <c r="M15" s="234"/>
      <c r="N15" s="234"/>
    </row>
    <row r="16" spans="2:14">
      <c r="B16" s="220"/>
      <c r="C16" s="107" t="s">
        <v>245</v>
      </c>
      <c r="D16" s="235"/>
      <c r="E16" s="235"/>
      <c r="G16" s="236">
        <f>'Client Summary'!G18</f>
        <v>0</v>
      </c>
      <c r="H16" s="231"/>
      <c r="J16" s="231"/>
      <c r="K16" s="231"/>
      <c r="L16" s="234"/>
      <c r="M16" s="234"/>
      <c r="N16" s="234"/>
    </row>
    <row r="17" spans="2:14">
      <c r="B17" s="220"/>
      <c r="C17" s="220" t="str">
        <f>"Accumulated Depreciation as of 12/31/"&amp;'Study Data'!$B$5-1&amp;":"</f>
        <v>Accumulated Depreciation as of 12/31/2024:</v>
      </c>
      <c r="D17" s="235"/>
      <c r="E17" s="235"/>
      <c r="G17" s="236">
        <f>'Client Summary'!G19</f>
        <v>0</v>
      </c>
      <c r="H17" s="231"/>
      <c r="J17" s="231"/>
      <c r="K17" s="231"/>
      <c r="L17" s="234"/>
      <c r="M17" s="234"/>
      <c r="N17" s="234"/>
    </row>
    <row r="18" spans="2:14" ht="15" customHeight="1">
      <c r="B18" s="220"/>
      <c r="C18" s="327"/>
      <c r="D18" s="327"/>
      <c r="E18" s="327"/>
      <c r="G18" s="236"/>
      <c r="H18" s="231"/>
      <c r="J18" s="231"/>
      <c r="K18" s="231"/>
      <c r="L18" s="234"/>
      <c r="M18" s="234"/>
      <c r="N18" s="234"/>
    </row>
    <row r="19" spans="2:14" ht="15" customHeight="1">
      <c r="B19" s="220"/>
      <c r="C19" s="235" t="s">
        <v>310</v>
      </c>
      <c r="D19" s="235"/>
      <c r="E19" s="235"/>
      <c r="G19" s="236">
        <f>SUM(C68:E68)</f>
        <v>0</v>
      </c>
      <c r="H19" s="231"/>
      <c r="J19" s="231"/>
      <c r="K19" s="231"/>
      <c r="L19" s="234"/>
      <c r="M19" s="234"/>
      <c r="N19" s="234"/>
    </row>
    <row r="20" spans="2:14" ht="15" customHeight="1">
      <c r="B20" s="220"/>
      <c r="C20" s="235" t="s">
        <v>242</v>
      </c>
      <c r="D20" s="235"/>
      <c r="E20" s="235"/>
      <c r="G20" s="236">
        <f>G19*40%</f>
        <v>0</v>
      </c>
      <c r="H20" s="231"/>
      <c r="J20" s="231"/>
      <c r="K20" s="231"/>
      <c r="L20" s="234"/>
      <c r="M20" s="234"/>
      <c r="N20" s="234"/>
    </row>
    <row r="21" spans="2:14" ht="15" customHeight="1">
      <c r="B21" s="220"/>
      <c r="C21" s="235"/>
      <c r="D21" s="220"/>
      <c r="E21" s="235"/>
      <c r="G21" s="236"/>
      <c r="H21" s="231"/>
      <c r="J21" s="231"/>
      <c r="K21" s="231"/>
      <c r="L21" s="234"/>
      <c r="M21" s="234"/>
      <c r="N21" s="234"/>
    </row>
    <row r="22" spans="2:14" ht="15" customHeight="1">
      <c r="B22" s="220"/>
      <c r="C22" s="235" t="s">
        <v>59</v>
      </c>
      <c r="D22" s="235"/>
      <c r="E22" s="235"/>
      <c r="G22" s="236">
        <f>SUMIFS($G$27:$G$66,$B$27:$B$66,"&lt;2025")-IF(G17=0,SUMIFS($H$27:$H$66,$B$27:$B$66,"&lt;2025"),G17)</f>
        <v>0</v>
      </c>
      <c r="H22" s="231"/>
      <c r="J22" s="231"/>
      <c r="K22" s="231"/>
      <c r="L22" s="234"/>
      <c r="M22" s="234"/>
      <c r="N22" s="234"/>
    </row>
    <row r="23" spans="2:14" ht="15" customHeight="1">
      <c r="B23" s="220"/>
      <c r="C23" s="235" t="s">
        <v>242</v>
      </c>
      <c r="D23" s="235"/>
      <c r="E23" s="235"/>
      <c r="G23" s="236">
        <f>$G$22*40%</f>
        <v>0</v>
      </c>
      <c r="H23" s="231"/>
      <c r="J23" s="231"/>
      <c r="K23" s="231"/>
      <c r="L23" s="234"/>
      <c r="M23" s="234"/>
      <c r="N23" s="234"/>
    </row>
    <row r="24" spans="2:14" ht="15" customHeight="1">
      <c r="B24" s="220"/>
      <c r="C24" s="235"/>
      <c r="D24" s="235"/>
      <c r="E24" s="235"/>
      <c r="F24" s="236"/>
      <c r="G24" s="231"/>
      <c r="H24" s="231"/>
      <c r="J24" s="231"/>
      <c r="K24" s="231"/>
      <c r="L24" s="234"/>
      <c r="M24" s="234"/>
      <c r="N24" s="234"/>
    </row>
    <row r="25" spans="2:14" ht="12" customHeight="1">
      <c r="B25" s="220" t="s">
        <v>60</v>
      </c>
      <c r="C25" s="220"/>
      <c r="D25" s="220"/>
      <c r="E25" s="220"/>
      <c r="F25" s="220"/>
      <c r="G25" s="231"/>
      <c r="H25" s="231"/>
      <c r="J25" s="231"/>
      <c r="K25" s="231"/>
      <c r="L25" s="234"/>
      <c r="M25" s="234"/>
      <c r="N25" s="234"/>
    </row>
    <row r="26" spans="2:14" s="119" customFormat="1" ht="24">
      <c r="B26" s="78" t="s">
        <v>61</v>
      </c>
      <c r="C26" s="78" t="s">
        <v>296</v>
      </c>
      <c r="D26" s="78" t="s">
        <v>297</v>
      </c>
      <c r="E26" s="78" t="s">
        <v>298</v>
      </c>
      <c r="F26" s="78" t="s">
        <v>307</v>
      </c>
      <c r="G26" s="217" t="s">
        <v>302</v>
      </c>
      <c r="H26" s="218" t="s">
        <v>299</v>
      </c>
      <c r="I26" s="237"/>
      <c r="J26" s="237"/>
      <c r="K26" s="237"/>
      <c r="L26" s="237"/>
      <c r="M26" s="238"/>
      <c r="N26" s="238"/>
    </row>
    <row r="27" spans="2:14">
      <c r="B27" s="239">
        <f>YEAR($F$11)</f>
        <v>2024</v>
      </c>
      <c r="C27" s="240">
        <f>IF('Client Summary'!$G$20="Commercial",'Study Data'!T21,0)</f>
        <v>0</v>
      </c>
      <c r="D27" s="240">
        <f>IF('Client Summary'!$G$20="Commercial",'Study Data'!AA21,0)</f>
        <v>0</v>
      </c>
      <c r="E27" s="241">
        <f>IF('Client Summary'!$G$20="Commercial",'Study Data'!AH21,0)</f>
        <v>0</v>
      </c>
      <c r="F27" s="241">
        <f>'Study Data'!L55</f>
        <v>0</v>
      </c>
      <c r="G27" s="242">
        <f t="shared" ref="G27:G66" si="0">SUM(C27:F27)</f>
        <v>0</v>
      </c>
      <c r="H27" s="242">
        <f>'Study Data'!E55</f>
        <v>0</v>
      </c>
      <c r="J27" s="231"/>
      <c r="K27" s="231"/>
      <c r="L27" s="234"/>
      <c r="M27" s="234"/>
      <c r="N27" s="234"/>
    </row>
    <row r="28" spans="2:14">
      <c r="B28" s="243">
        <f>B27+1</f>
        <v>2025</v>
      </c>
      <c r="C28" s="244">
        <f>IF('Client Summary'!$G$20="Commercial",'Study Data'!S22,0)</f>
        <v>0</v>
      </c>
      <c r="D28" s="244">
        <f>IF('Client Summary'!$G$20="Commercial",'Study Data'!Z22,0)</f>
        <v>0</v>
      </c>
      <c r="E28" s="245">
        <f>IF('Client Summary'!$G$20="Commercial",'Study Data'!AG22,0)</f>
        <v>0</v>
      </c>
      <c r="F28" s="245">
        <f>'Study Data'!L56</f>
        <v>0</v>
      </c>
      <c r="G28" s="246">
        <f t="shared" si="0"/>
        <v>0</v>
      </c>
      <c r="H28" s="246">
        <f>'Study Data'!E56</f>
        <v>0</v>
      </c>
      <c r="J28" s="231"/>
      <c r="K28" s="231"/>
      <c r="L28" s="234"/>
      <c r="M28" s="234"/>
      <c r="N28" s="234"/>
    </row>
    <row r="29" spans="2:14">
      <c r="B29" s="247">
        <f t="shared" ref="B29:B66" si="1">B28+1</f>
        <v>2026</v>
      </c>
      <c r="C29" s="240">
        <f>IF('Client Summary'!$G$20="Commercial",'Study Data'!S23,0)</f>
        <v>0</v>
      </c>
      <c r="D29" s="248">
        <f>IF('Client Summary'!$G$20="Commercial",'Study Data'!Z23,0)</f>
        <v>0</v>
      </c>
      <c r="E29" s="248">
        <f>IF('Client Summary'!$G$20="Commercial",'Study Data'!AG23,0)</f>
        <v>0</v>
      </c>
      <c r="F29" s="248">
        <f>'Study Data'!L57</f>
        <v>0</v>
      </c>
      <c r="G29" s="249">
        <f t="shared" si="0"/>
        <v>0</v>
      </c>
      <c r="H29" s="249">
        <f>'Study Data'!E57</f>
        <v>0</v>
      </c>
      <c r="J29" s="231"/>
      <c r="K29" s="231"/>
      <c r="L29" s="234"/>
      <c r="M29" s="234"/>
      <c r="N29" s="234"/>
    </row>
    <row r="30" spans="2:14" ht="16.05" customHeight="1">
      <c r="B30" s="243">
        <f t="shared" si="1"/>
        <v>2027</v>
      </c>
      <c r="C30" s="244">
        <f>IF('Client Summary'!$G$20="Commercial",'Study Data'!S24,0)</f>
        <v>0</v>
      </c>
      <c r="D30" s="245">
        <f>IF('Client Summary'!$G$20="Commercial",'Study Data'!Z24,0)</f>
        <v>0</v>
      </c>
      <c r="E30" s="245">
        <f>IF('Client Summary'!$G$20="Commercial",'Study Data'!AG24,0)</f>
        <v>0</v>
      </c>
      <c r="F30" s="245">
        <f>'Study Data'!L58</f>
        <v>0</v>
      </c>
      <c r="G30" s="246">
        <f t="shared" si="0"/>
        <v>0</v>
      </c>
      <c r="H30" s="246">
        <f>'Study Data'!E58</f>
        <v>0</v>
      </c>
      <c r="J30" s="231"/>
      <c r="K30" s="231"/>
      <c r="L30" s="234"/>
      <c r="M30" s="234"/>
      <c r="N30" s="234"/>
    </row>
    <row r="31" spans="2:14">
      <c r="B31" s="239">
        <f t="shared" si="1"/>
        <v>2028</v>
      </c>
      <c r="C31" s="240">
        <f>IF('Client Summary'!$G$20="Commercial",'Study Data'!S25,0)</f>
        <v>0</v>
      </c>
      <c r="D31" s="248">
        <f>IF('Client Summary'!$G$20="Commercial",'Study Data'!Z25,0)</f>
        <v>0</v>
      </c>
      <c r="E31" s="248">
        <f>IF('Client Summary'!$G$20="Commercial",'Study Data'!AG25,0)</f>
        <v>0</v>
      </c>
      <c r="F31" s="248">
        <f>'Study Data'!L59</f>
        <v>0</v>
      </c>
      <c r="G31" s="249">
        <f t="shared" si="0"/>
        <v>0</v>
      </c>
      <c r="H31" s="249">
        <f>'Study Data'!E59</f>
        <v>0</v>
      </c>
      <c r="J31" s="231"/>
      <c r="K31" s="231"/>
      <c r="L31" s="234"/>
      <c r="M31" s="234"/>
      <c r="N31" s="234"/>
    </row>
    <row r="32" spans="2:14">
      <c r="B32" s="243">
        <f t="shared" si="1"/>
        <v>2029</v>
      </c>
      <c r="C32" s="244">
        <f>IF('Client Summary'!$G$20="Commercial",'Study Data'!S26,0)</f>
        <v>0</v>
      </c>
      <c r="D32" s="250">
        <f>IF('Client Summary'!$G$20="Commercial",'Study Data'!Z26,0)</f>
        <v>0</v>
      </c>
      <c r="E32" s="250">
        <f>IF('Client Summary'!$G$20="Commercial",'Study Data'!AG26,0)</f>
        <v>0</v>
      </c>
      <c r="F32" s="245">
        <f>'Study Data'!L60</f>
        <v>0</v>
      </c>
      <c r="G32" s="246">
        <f t="shared" si="0"/>
        <v>0</v>
      </c>
      <c r="H32" s="246">
        <f>'Study Data'!E60</f>
        <v>0</v>
      </c>
      <c r="J32" s="231"/>
      <c r="K32" s="231"/>
      <c r="L32" s="234"/>
      <c r="M32" s="234"/>
      <c r="N32" s="234"/>
    </row>
    <row r="33" spans="2:14">
      <c r="B33" s="247">
        <f t="shared" si="1"/>
        <v>2030</v>
      </c>
      <c r="C33" s="248"/>
      <c r="D33" s="248">
        <f>IF('Client Summary'!$G$20="Commercial",'Study Data'!Z27,0)</f>
        <v>0</v>
      </c>
      <c r="E33" s="248">
        <f>IF('Client Summary'!$G$20="Commercial",'Study Data'!AG27,0)</f>
        <v>0</v>
      </c>
      <c r="F33" s="248">
        <f>'Study Data'!L61</f>
        <v>0</v>
      </c>
      <c r="G33" s="249">
        <f t="shared" si="0"/>
        <v>0</v>
      </c>
      <c r="H33" s="249">
        <f>'Study Data'!E61</f>
        <v>0</v>
      </c>
      <c r="J33" s="231"/>
      <c r="K33" s="231"/>
      <c r="L33" s="234"/>
      <c r="M33" s="234"/>
      <c r="N33" s="234"/>
    </row>
    <row r="34" spans="2:14">
      <c r="B34" s="243">
        <f t="shared" si="1"/>
        <v>2031</v>
      </c>
      <c r="C34" s="250"/>
      <c r="D34" s="250">
        <f>IF('Client Summary'!$G$20="Commercial",'Study Data'!Z28,0)</f>
        <v>0</v>
      </c>
      <c r="E34" s="250">
        <f>IF('Client Summary'!$G$20="Commercial",'Study Data'!AG28,0)</f>
        <v>0</v>
      </c>
      <c r="F34" s="245">
        <f>'Study Data'!L62</f>
        <v>0</v>
      </c>
      <c r="G34" s="246">
        <f t="shared" si="0"/>
        <v>0</v>
      </c>
      <c r="H34" s="246">
        <f>'Study Data'!E62</f>
        <v>0</v>
      </c>
      <c r="J34" s="231"/>
      <c r="K34" s="231"/>
      <c r="L34" s="234"/>
      <c r="M34" s="234"/>
      <c r="N34" s="234"/>
    </row>
    <row r="35" spans="2:14">
      <c r="B35" s="239">
        <f t="shared" si="1"/>
        <v>2032</v>
      </c>
      <c r="C35" s="248"/>
      <c r="D35" s="248"/>
      <c r="E35" s="248">
        <f>IF('Client Summary'!$G$20="Commercial",'Study Data'!AG29,0)</f>
        <v>0</v>
      </c>
      <c r="F35" s="248">
        <f>'Study Data'!L63</f>
        <v>0</v>
      </c>
      <c r="G35" s="249">
        <f t="shared" si="0"/>
        <v>0</v>
      </c>
      <c r="H35" s="249">
        <f>'Study Data'!E63</f>
        <v>0</v>
      </c>
      <c r="J35" s="231"/>
      <c r="K35" s="231"/>
      <c r="L35" s="234"/>
      <c r="M35" s="234"/>
      <c r="N35" s="234"/>
    </row>
    <row r="36" spans="2:14">
      <c r="B36" s="243">
        <f t="shared" si="1"/>
        <v>2033</v>
      </c>
      <c r="C36" s="250"/>
      <c r="D36" s="250"/>
      <c r="E36" s="250">
        <f>IF('Client Summary'!$G$20="Commercial",'Study Data'!AG30,0)</f>
        <v>0</v>
      </c>
      <c r="F36" s="245">
        <f>'Study Data'!L64</f>
        <v>0</v>
      </c>
      <c r="G36" s="246">
        <f t="shared" si="0"/>
        <v>0</v>
      </c>
      <c r="H36" s="246">
        <f>'Study Data'!E64</f>
        <v>0</v>
      </c>
      <c r="J36" s="231"/>
      <c r="K36" s="231"/>
      <c r="L36" s="234"/>
      <c r="M36" s="234"/>
      <c r="N36" s="234"/>
    </row>
    <row r="37" spans="2:14">
      <c r="B37" s="247">
        <f t="shared" si="1"/>
        <v>2034</v>
      </c>
      <c r="C37" s="248"/>
      <c r="D37" s="248"/>
      <c r="E37" s="248">
        <f>IF('Client Summary'!$G$20="Commercial",'Study Data'!AG31,0)</f>
        <v>0</v>
      </c>
      <c r="F37" s="248">
        <f>'Study Data'!L65</f>
        <v>0</v>
      </c>
      <c r="G37" s="249">
        <f t="shared" si="0"/>
        <v>0</v>
      </c>
      <c r="H37" s="249">
        <f>'Study Data'!E65</f>
        <v>0</v>
      </c>
      <c r="J37" s="231"/>
      <c r="K37" s="231"/>
      <c r="L37" s="234"/>
      <c r="M37" s="234"/>
      <c r="N37" s="234"/>
    </row>
    <row r="38" spans="2:14">
      <c r="B38" s="243">
        <f t="shared" si="1"/>
        <v>2035</v>
      </c>
      <c r="C38" s="250"/>
      <c r="D38" s="250"/>
      <c r="E38" s="250">
        <f>IF('Client Summary'!$G$20="Commercial",'Study Data'!AG32,0)</f>
        <v>0</v>
      </c>
      <c r="F38" s="245">
        <f>'Study Data'!L66</f>
        <v>0</v>
      </c>
      <c r="G38" s="246">
        <f t="shared" si="0"/>
        <v>0</v>
      </c>
      <c r="H38" s="246">
        <f>'Study Data'!E66</f>
        <v>0</v>
      </c>
      <c r="J38" s="231"/>
      <c r="K38" s="231"/>
      <c r="L38" s="234"/>
      <c r="M38" s="234"/>
      <c r="N38" s="234"/>
    </row>
    <row r="39" spans="2:14">
      <c r="B39" s="239">
        <f t="shared" si="1"/>
        <v>2036</v>
      </c>
      <c r="C39" s="248"/>
      <c r="D39" s="248"/>
      <c r="E39" s="248">
        <f>IF('Client Summary'!$G$20="Commercial",'Study Data'!AG33,0)</f>
        <v>0</v>
      </c>
      <c r="F39" s="248">
        <f>'Study Data'!L67</f>
        <v>0</v>
      </c>
      <c r="G39" s="249">
        <f t="shared" si="0"/>
        <v>0</v>
      </c>
      <c r="H39" s="249">
        <f>'Study Data'!E67</f>
        <v>0</v>
      </c>
      <c r="J39" s="231"/>
      <c r="K39" s="231"/>
      <c r="L39" s="234"/>
      <c r="M39" s="234"/>
      <c r="N39" s="234"/>
    </row>
    <row r="40" spans="2:14">
      <c r="B40" s="243">
        <f t="shared" si="1"/>
        <v>2037</v>
      </c>
      <c r="C40" s="250"/>
      <c r="D40" s="250"/>
      <c r="E40" s="250">
        <f>IF('Client Summary'!$G$20="Commercial",'Study Data'!AG34,0)</f>
        <v>0</v>
      </c>
      <c r="F40" s="245">
        <f>'Study Data'!L68</f>
        <v>0</v>
      </c>
      <c r="G40" s="246">
        <f t="shared" si="0"/>
        <v>0</v>
      </c>
      <c r="H40" s="246">
        <f>'Study Data'!E68</f>
        <v>0</v>
      </c>
      <c r="J40" s="231"/>
      <c r="K40" s="231"/>
      <c r="L40" s="234"/>
      <c r="M40" s="234"/>
      <c r="N40" s="234"/>
    </row>
    <row r="41" spans="2:14">
      <c r="B41" s="247">
        <f t="shared" si="1"/>
        <v>2038</v>
      </c>
      <c r="C41" s="248"/>
      <c r="D41" s="248"/>
      <c r="E41" s="248">
        <f>IF('Client Summary'!$G$20="Commercial",'Study Data'!AG35,0)</f>
        <v>0</v>
      </c>
      <c r="F41" s="248">
        <f>'Study Data'!L69</f>
        <v>0</v>
      </c>
      <c r="G41" s="249">
        <f t="shared" si="0"/>
        <v>0</v>
      </c>
      <c r="H41" s="249">
        <f>'Study Data'!E69</f>
        <v>0</v>
      </c>
      <c r="J41" s="231"/>
      <c r="K41" s="231"/>
      <c r="L41" s="234"/>
      <c r="M41" s="234"/>
      <c r="N41" s="234"/>
    </row>
    <row r="42" spans="2:14">
      <c r="B42" s="243">
        <f t="shared" si="1"/>
        <v>2039</v>
      </c>
      <c r="C42" s="250"/>
      <c r="D42" s="250"/>
      <c r="E42" s="250">
        <f>IF('Client Summary'!$G$20="Commercial",'Study Data'!AG36,0)</f>
        <v>0</v>
      </c>
      <c r="F42" s="245">
        <f>'Study Data'!L70</f>
        <v>0</v>
      </c>
      <c r="G42" s="246">
        <f t="shared" si="0"/>
        <v>0</v>
      </c>
      <c r="H42" s="246">
        <f>'Study Data'!E70</f>
        <v>0</v>
      </c>
      <c r="J42" s="231"/>
      <c r="K42" s="231"/>
      <c r="L42" s="234"/>
      <c r="M42" s="234"/>
      <c r="N42" s="234"/>
    </row>
    <row r="43" spans="2:14">
      <c r="B43" s="239">
        <f t="shared" si="1"/>
        <v>2040</v>
      </c>
      <c r="C43" s="248"/>
      <c r="D43" s="248"/>
      <c r="E43" s="248"/>
      <c r="F43" s="248">
        <f>'Study Data'!L71</f>
        <v>0</v>
      </c>
      <c r="G43" s="249">
        <f t="shared" si="0"/>
        <v>0</v>
      </c>
      <c r="H43" s="249">
        <f>'Study Data'!E71</f>
        <v>0</v>
      </c>
      <c r="J43" s="231"/>
      <c r="K43" s="231"/>
      <c r="L43" s="234"/>
      <c r="M43" s="234"/>
      <c r="N43" s="234"/>
    </row>
    <row r="44" spans="2:14">
      <c r="B44" s="243">
        <f t="shared" si="1"/>
        <v>2041</v>
      </c>
      <c r="C44" s="250"/>
      <c r="D44" s="250"/>
      <c r="E44" s="250"/>
      <c r="F44" s="245">
        <f>'Study Data'!L72</f>
        <v>0</v>
      </c>
      <c r="G44" s="246">
        <f t="shared" si="0"/>
        <v>0</v>
      </c>
      <c r="H44" s="246">
        <f>'Study Data'!E72</f>
        <v>0</v>
      </c>
      <c r="J44" s="231"/>
      <c r="K44" s="231"/>
      <c r="L44" s="234"/>
      <c r="M44" s="234"/>
      <c r="N44" s="234"/>
    </row>
    <row r="45" spans="2:14">
      <c r="B45" s="247">
        <f t="shared" si="1"/>
        <v>2042</v>
      </c>
      <c r="C45" s="248"/>
      <c r="D45" s="248"/>
      <c r="E45" s="248"/>
      <c r="F45" s="248">
        <f>'Study Data'!L73</f>
        <v>0</v>
      </c>
      <c r="G45" s="249">
        <f t="shared" si="0"/>
        <v>0</v>
      </c>
      <c r="H45" s="249">
        <f>'Study Data'!E73</f>
        <v>0</v>
      </c>
      <c r="J45" s="231"/>
      <c r="K45" s="231"/>
      <c r="L45" s="234"/>
      <c r="M45" s="234"/>
      <c r="N45" s="234"/>
    </row>
    <row r="46" spans="2:14">
      <c r="B46" s="243">
        <f t="shared" si="1"/>
        <v>2043</v>
      </c>
      <c r="C46" s="250"/>
      <c r="D46" s="250"/>
      <c r="E46" s="250"/>
      <c r="F46" s="245">
        <f>'Study Data'!L74</f>
        <v>0</v>
      </c>
      <c r="G46" s="246">
        <f t="shared" si="0"/>
        <v>0</v>
      </c>
      <c r="H46" s="246">
        <f>'Study Data'!E74</f>
        <v>0</v>
      </c>
      <c r="J46" s="231"/>
      <c r="K46" s="231"/>
      <c r="L46" s="234"/>
      <c r="M46" s="234"/>
      <c r="N46" s="234"/>
    </row>
    <row r="47" spans="2:14">
      <c r="B47" s="239">
        <f t="shared" si="1"/>
        <v>2044</v>
      </c>
      <c r="C47" s="248"/>
      <c r="D47" s="248"/>
      <c r="E47" s="248"/>
      <c r="F47" s="248">
        <f>'Study Data'!L75</f>
        <v>0</v>
      </c>
      <c r="G47" s="249">
        <f t="shared" si="0"/>
        <v>0</v>
      </c>
      <c r="H47" s="249">
        <f>'Study Data'!E75</f>
        <v>0</v>
      </c>
      <c r="J47" s="231"/>
      <c r="K47" s="231"/>
      <c r="L47" s="234"/>
      <c r="M47" s="234"/>
      <c r="N47" s="234"/>
    </row>
    <row r="48" spans="2:14">
      <c r="B48" s="243">
        <f t="shared" si="1"/>
        <v>2045</v>
      </c>
      <c r="C48" s="250"/>
      <c r="D48" s="250"/>
      <c r="E48" s="250"/>
      <c r="F48" s="245">
        <f>'Study Data'!L76</f>
        <v>0</v>
      </c>
      <c r="G48" s="246">
        <f t="shared" si="0"/>
        <v>0</v>
      </c>
      <c r="H48" s="246">
        <f>'Study Data'!E76</f>
        <v>0</v>
      </c>
      <c r="J48" s="231"/>
      <c r="K48" s="231"/>
      <c r="L48" s="234"/>
      <c r="M48" s="234"/>
      <c r="N48" s="234"/>
    </row>
    <row r="49" spans="1:14">
      <c r="B49" s="247">
        <f t="shared" si="1"/>
        <v>2046</v>
      </c>
      <c r="C49" s="248"/>
      <c r="D49" s="248"/>
      <c r="E49" s="248"/>
      <c r="F49" s="248">
        <f>'Study Data'!L77</f>
        <v>0</v>
      </c>
      <c r="G49" s="249">
        <f t="shared" si="0"/>
        <v>0</v>
      </c>
      <c r="H49" s="249">
        <f>'Study Data'!E77</f>
        <v>0</v>
      </c>
      <c r="J49" s="231"/>
      <c r="K49" s="231"/>
      <c r="L49" s="234"/>
      <c r="M49" s="234"/>
      <c r="N49" s="234"/>
    </row>
    <row r="50" spans="1:14">
      <c r="B50" s="243">
        <f t="shared" si="1"/>
        <v>2047</v>
      </c>
      <c r="C50" s="250"/>
      <c r="D50" s="250"/>
      <c r="E50" s="250"/>
      <c r="F50" s="245">
        <f>'Study Data'!L78</f>
        <v>0</v>
      </c>
      <c r="G50" s="246">
        <f t="shared" si="0"/>
        <v>0</v>
      </c>
      <c r="H50" s="246">
        <f>'Study Data'!E78</f>
        <v>0</v>
      </c>
      <c r="J50" s="231"/>
      <c r="K50" s="231"/>
      <c r="L50" s="234"/>
      <c r="M50" s="234"/>
      <c r="N50" s="234"/>
    </row>
    <row r="51" spans="1:14">
      <c r="B51" s="239">
        <f t="shared" si="1"/>
        <v>2048</v>
      </c>
      <c r="C51" s="248"/>
      <c r="D51" s="248"/>
      <c r="E51" s="248"/>
      <c r="F51" s="248">
        <f>'Study Data'!L79</f>
        <v>0</v>
      </c>
      <c r="G51" s="249">
        <f t="shared" si="0"/>
        <v>0</v>
      </c>
      <c r="H51" s="249">
        <f>'Study Data'!E79</f>
        <v>0</v>
      </c>
      <c r="J51" s="231"/>
      <c r="K51" s="231"/>
      <c r="L51" s="234"/>
      <c r="M51" s="234"/>
      <c r="N51" s="234"/>
    </row>
    <row r="52" spans="1:14">
      <c r="B52" s="243">
        <f t="shared" si="1"/>
        <v>2049</v>
      </c>
      <c r="C52" s="250"/>
      <c r="D52" s="250"/>
      <c r="E52" s="250"/>
      <c r="F52" s="245">
        <f>'Study Data'!L80</f>
        <v>0</v>
      </c>
      <c r="G52" s="246">
        <f t="shared" si="0"/>
        <v>0</v>
      </c>
      <c r="H52" s="246">
        <f>'Study Data'!E80</f>
        <v>0</v>
      </c>
      <c r="J52" s="231"/>
      <c r="K52" s="231"/>
      <c r="L52" s="234"/>
      <c r="M52" s="234"/>
      <c r="N52" s="234"/>
    </row>
    <row r="53" spans="1:14">
      <c r="B53" s="247">
        <f t="shared" si="1"/>
        <v>2050</v>
      </c>
      <c r="C53" s="248"/>
      <c r="D53" s="248"/>
      <c r="E53" s="248"/>
      <c r="F53" s="248">
        <f>'Study Data'!L81</f>
        <v>0</v>
      </c>
      <c r="G53" s="249">
        <f t="shared" si="0"/>
        <v>0</v>
      </c>
      <c r="H53" s="249">
        <f>'Study Data'!E81</f>
        <v>0</v>
      </c>
      <c r="J53" s="231"/>
      <c r="K53" s="231"/>
      <c r="L53" s="234"/>
      <c r="M53" s="234"/>
      <c r="N53" s="234"/>
    </row>
    <row r="54" spans="1:14">
      <c r="B54" s="243">
        <f t="shared" si="1"/>
        <v>2051</v>
      </c>
      <c r="C54" s="250"/>
      <c r="D54" s="250"/>
      <c r="E54" s="250"/>
      <c r="F54" s="245">
        <f>'Study Data'!L82</f>
        <v>0</v>
      </c>
      <c r="G54" s="246">
        <f t="shared" si="0"/>
        <v>0</v>
      </c>
      <c r="H54" s="246">
        <f>'Study Data'!E82</f>
        <v>0</v>
      </c>
      <c r="J54" s="231"/>
      <c r="K54" s="231"/>
      <c r="L54" s="234"/>
      <c r="M54" s="234"/>
      <c r="N54" s="234"/>
    </row>
    <row r="55" spans="1:14">
      <c r="B55" s="247">
        <f t="shared" si="1"/>
        <v>2052</v>
      </c>
      <c r="C55" s="248"/>
      <c r="D55" s="248"/>
      <c r="E55" s="248"/>
      <c r="F55" s="248">
        <f>'Study Data'!L83</f>
        <v>0</v>
      </c>
      <c r="G55" s="249">
        <f t="shared" si="0"/>
        <v>0</v>
      </c>
      <c r="H55" s="249">
        <f>'Study Data'!E83</f>
        <v>0</v>
      </c>
      <c r="J55" s="231"/>
      <c r="K55" s="231"/>
      <c r="L55" s="234"/>
      <c r="M55" s="234"/>
      <c r="N55" s="234"/>
    </row>
    <row r="56" spans="1:14">
      <c r="A56" s="120"/>
      <c r="B56" s="243">
        <f t="shared" si="1"/>
        <v>2053</v>
      </c>
      <c r="C56" s="250"/>
      <c r="D56" s="250"/>
      <c r="E56" s="250"/>
      <c r="F56" s="245">
        <f>'Study Data'!L84</f>
        <v>0</v>
      </c>
      <c r="G56" s="246">
        <f t="shared" si="0"/>
        <v>0</v>
      </c>
      <c r="H56" s="246">
        <f>'Study Data'!E84</f>
        <v>0</v>
      </c>
      <c r="I56" s="120"/>
      <c r="J56" s="231"/>
      <c r="K56" s="231"/>
      <c r="L56" s="234"/>
      <c r="M56" s="234"/>
      <c r="N56" s="234"/>
    </row>
    <row r="57" spans="1:14">
      <c r="B57" s="247">
        <f t="shared" si="1"/>
        <v>2054</v>
      </c>
      <c r="C57" s="248"/>
      <c r="D57" s="248"/>
      <c r="E57" s="248"/>
      <c r="F57" s="248">
        <f>'Study Data'!L85</f>
        <v>0</v>
      </c>
      <c r="G57" s="249">
        <f t="shared" si="0"/>
        <v>0</v>
      </c>
      <c r="H57" s="249">
        <f>'Study Data'!E85</f>
        <v>0</v>
      </c>
      <c r="J57" s="231"/>
      <c r="K57" s="231"/>
      <c r="L57" s="234"/>
      <c r="M57" s="234"/>
      <c r="N57" s="234"/>
    </row>
    <row r="58" spans="1:14">
      <c r="B58" s="243">
        <f t="shared" si="1"/>
        <v>2055</v>
      </c>
      <c r="C58" s="250"/>
      <c r="D58" s="250"/>
      <c r="E58" s="250"/>
      <c r="F58" s="245">
        <f>'Study Data'!L86</f>
        <v>0</v>
      </c>
      <c r="G58" s="246">
        <f t="shared" si="0"/>
        <v>0</v>
      </c>
      <c r="H58" s="246">
        <f>'Study Data'!E86</f>
        <v>0</v>
      </c>
      <c r="J58" s="231"/>
      <c r="K58" s="231"/>
      <c r="L58" s="234"/>
      <c r="M58" s="234"/>
      <c r="N58" s="234"/>
    </row>
    <row r="59" spans="1:14">
      <c r="B59" s="239">
        <f t="shared" si="1"/>
        <v>2056</v>
      </c>
      <c r="C59" s="248"/>
      <c r="D59" s="248"/>
      <c r="E59" s="248"/>
      <c r="F59" s="248">
        <f>'Study Data'!L87</f>
        <v>0</v>
      </c>
      <c r="G59" s="249">
        <f t="shared" si="0"/>
        <v>0</v>
      </c>
      <c r="H59" s="249">
        <f>'Study Data'!E87</f>
        <v>0</v>
      </c>
      <c r="J59" s="231"/>
      <c r="K59" s="231"/>
      <c r="L59" s="234"/>
      <c r="M59" s="234"/>
      <c r="N59" s="234"/>
    </row>
    <row r="60" spans="1:14">
      <c r="B60" s="243">
        <f t="shared" si="1"/>
        <v>2057</v>
      </c>
      <c r="C60" s="250"/>
      <c r="D60" s="250"/>
      <c r="E60" s="250"/>
      <c r="F60" s="245">
        <f>'Study Data'!L88</f>
        <v>0</v>
      </c>
      <c r="G60" s="246">
        <f t="shared" si="0"/>
        <v>0</v>
      </c>
      <c r="H60" s="246">
        <f>'Study Data'!E88</f>
        <v>0</v>
      </c>
      <c r="J60" s="231"/>
      <c r="K60" s="231"/>
      <c r="L60" s="234"/>
      <c r="M60" s="234"/>
      <c r="N60" s="234"/>
    </row>
    <row r="61" spans="1:14">
      <c r="B61" s="247">
        <f t="shared" si="1"/>
        <v>2058</v>
      </c>
      <c r="C61" s="248"/>
      <c r="D61" s="248"/>
      <c r="E61" s="248"/>
      <c r="F61" s="248">
        <f>'Study Data'!L89</f>
        <v>0</v>
      </c>
      <c r="G61" s="249">
        <f t="shared" si="0"/>
        <v>0</v>
      </c>
      <c r="H61" s="249">
        <f>'Study Data'!E89</f>
        <v>0</v>
      </c>
      <c r="J61" s="231"/>
      <c r="K61" s="231"/>
      <c r="L61" s="234"/>
      <c r="M61" s="234"/>
      <c r="N61" s="234"/>
    </row>
    <row r="62" spans="1:14">
      <c r="B62" s="243">
        <f t="shared" si="1"/>
        <v>2059</v>
      </c>
      <c r="C62" s="250"/>
      <c r="D62" s="250"/>
      <c r="E62" s="250"/>
      <c r="F62" s="245">
        <f>'Study Data'!L90</f>
        <v>0</v>
      </c>
      <c r="G62" s="246">
        <f t="shared" si="0"/>
        <v>0</v>
      </c>
      <c r="H62" s="246">
        <f>'Study Data'!E90</f>
        <v>0</v>
      </c>
      <c r="J62" s="231"/>
      <c r="K62" s="231"/>
      <c r="L62" s="234"/>
      <c r="M62" s="234"/>
      <c r="N62" s="234"/>
    </row>
    <row r="63" spans="1:14">
      <c r="B63" s="247">
        <f t="shared" si="1"/>
        <v>2060</v>
      </c>
      <c r="C63" s="248"/>
      <c r="D63" s="248"/>
      <c r="E63" s="248"/>
      <c r="F63" s="248">
        <f>'Study Data'!L91</f>
        <v>0</v>
      </c>
      <c r="G63" s="249">
        <f t="shared" si="0"/>
        <v>0</v>
      </c>
      <c r="H63" s="249">
        <f>'Study Data'!E91</f>
        <v>0</v>
      </c>
      <c r="J63" s="231"/>
      <c r="K63" s="231"/>
      <c r="L63" s="234"/>
      <c r="M63" s="234"/>
      <c r="N63" s="234"/>
    </row>
    <row r="64" spans="1:14">
      <c r="B64" s="243">
        <f t="shared" si="1"/>
        <v>2061</v>
      </c>
      <c r="C64" s="250"/>
      <c r="D64" s="250"/>
      <c r="E64" s="250"/>
      <c r="F64" s="245">
        <f>'Study Data'!L92</f>
        <v>0</v>
      </c>
      <c r="G64" s="246">
        <f t="shared" si="0"/>
        <v>0</v>
      </c>
      <c r="H64" s="246">
        <f>'Study Data'!E92</f>
        <v>0</v>
      </c>
      <c r="J64" s="231"/>
      <c r="K64" s="231"/>
      <c r="L64" s="234"/>
      <c r="M64" s="234"/>
      <c r="N64" s="234"/>
    </row>
    <row r="65" spans="1:14">
      <c r="B65" s="247">
        <f t="shared" si="1"/>
        <v>2062</v>
      </c>
      <c r="C65" s="248"/>
      <c r="D65" s="248"/>
      <c r="E65" s="248"/>
      <c r="F65" s="248">
        <f>'Study Data'!L93</f>
        <v>0</v>
      </c>
      <c r="G65" s="249">
        <f t="shared" si="0"/>
        <v>0</v>
      </c>
      <c r="H65" s="249">
        <f>'Study Data'!E93</f>
        <v>0</v>
      </c>
      <c r="J65" s="231"/>
      <c r="K65" s="231"/>
      <c r="L65" s="234"/>
      <c r="M65" s="234"/>
      <c r="N65" s="234"/>
    </row>
    <row r="66" spans="1:14">
      <c r="B66" s="243">
        <f t="shared" si="1"/>
        <v>2063</v>
      </c>
      <c r="C66" s="250"/>
      <c r="D66" s="250"/>
      <c r="E66" s="250"/>
      <c r="F66" s="245">
        <f>'Study Data'!L94</f>
        <v>0</v>
      </c>
      <c r="G66" s="246">
        <f t="shared" si="0"/>
        <v>0</v>
      </c>
      <c r="H66" s="246">
        <f>'Study Data'!E94</f>
        <v>0</v>
      </c>
      <c r="J66" s="231"/>
      <c r="K66" s="231"/>
      <c r="L66" s="234"/>
      <c r="M66" s="234"/>
      <c r="N66" s="234"/>
    </row>
    <row r="67" spans="1:14" ht="7.05" customHeight="1">
      <c r="B67" s="247"/>
      <c r="C67" s="248"/>
      <c r="D67" s="248"/>
      <c r="E67" s="248"/>
      <c r="F67" s="248"/>
      <c r="G67" s="249"/>
      <c r="H67" s="249"/>
      <c r="J67" s="231"/>
      <c r="K67" s="231"/>
      <c r="L67" s="234"/>
      <c r="M67" s="234"/>
      <c r="N67" s="234"/>
    </row>
    <row r="68" spans="1:14" s="120" customFormat="1" ht="21" customHeight="1">
      <c r="A68" s="118"/>
      <c r="B68" s="251" t="s">
        <v>62</v>
      </c>
      <c r="C68" s="252">
        <f t="shared" ref="C68:H68" si="2">SUM(C27:C67)</f>
        <v>0</v>
      </c>
      <c r="D68" s="252">
        <f t="shared" si="2"/>
        <v>0</v>
      </c>
      <c r="E68" s="252">
        <f t="shared" si="2"/>
        <v>0</v>
      </c>
      <c r="F68" s="252">
        <f t="shared" si="2"/>
        <v>0</v>
      </c>
      <c r="G68" s="252">
        <f t="shared" si="2"/>
        <v>0</v>
      </c>
      <c r="H68" s="252">
        <f t="shared" si="2"/>
        <v>0</v>
      </c>
      <c r="I68" s="118"/>
      <c r="J68" s="253"/>
      <c r="K68" s="253"/>
      <c r="L68" s="254"/>
      <c r="M68" s="254"/>
      <c r="N68" s="254"/>
    </row>
    <row r="69" spans="1:14">
      <c r="B69" s="231"/>
      <c r="C69" s="231"/>
      <c r="D69" s="231"/>
      <c r="E69" s="231"/>
      <c r="F69" s="231"/>
      <c r="G69" s="231"/>
      <c r="H69" s="231"/>
      <c r="J69" s="231"/>
      <c r="K69" s="231"/>
      <c r="L69" s="234"/>
      <c r="M69" s="234"/>
      <c r="N69" s="234"/>
    </row>
    <row r="70" spans="1:14">
      <c r="B70" s="231"/>
      <c r="C70" s="231"/>
      <c r="D70" s="231"/>
      <c r="E70" s="231"/>
      <c r="F70" s="231"/>
      <c r="G70" s="231"/>
      <c r="H70" s="231"/>
      <c r="J70" s="231"/>
      <c r="K70" s="231"/>
      <c r="L70" s="234"/>
      <c r="M70" s="234"/>
      <c r="N70" s="234"/>
    </row>
    <row r="71" spans="1:14">
      <c r="B71" s="328" t="s">
        <v>238</v>
      </c>
      <c r="C71" s="328"/>
      <c r="D71" s="328"/>
      <c r="E71" s="328"/>
      <c r="F71" s="328"/>
      <c r="G71" s="328"/>
      <c r="H71" s="328"/>
      <c r="J71" s="231"/>
      <c r="K71" s="231"/>
      <c r="L71" s="234"/>
      <c r="M71" s="234"/>
      <c r="N71" s="234"/>
    </row>
    <row r="72" spans="1:14">
      <c r="B72" s="231"/>
      <c r="C72" s="231"/>
      <c r="D72" s="231"/>
      <c r="E72" s="231"/>
      <c r="F72" s="231"/>
      <c r="G72" s="231"/>
      <c r="H72" s="231"/>
      <c r="J72" s="231"/>
      <c r="K72" s="231"/>
      <c r="L72" s="234"/>
      <c r="M72" s="234"/>
      <c r="N72" s="234"/>
    </row>
    <row r="73" spans="1:14">
      <c r="B73" s="231"/>
      <c r="C73" s="231"/>
      <c r="D73" s="231"/>
      <c r="E73" s="231"/>
      <c r="F73" s="231"/>
      <c r="G73" s="231"/>
      <c r="H73" s="231"/>
      <c r="J73" s="231"/>
      <c r="K73" s="231"/>
      <c r="L73" s="234"/>
      <c r="M73" s="234"/>
      <c r="N73" s="234"/>
    </row>
    <row r="74" spans="1:14">
      <c r="B74" s="231"/>
      <c r="C74" s="231"/>
      <c r="D74" s="231"/>
      <c r="E74" s="231"/>
      <c r="F74" s="231"/>
      <c r="G74" s="231"/>
      <c r="H74" s="231"/>
      <c r="J74" s="231"/>
      <c r="K74" s="231"/>
      <c r="L74" s="234"/>
      <c r="M74" s="234"/>
      <c r="N74" s="234"/>
    </row>
    <row r="75" spans="1:14">
      <c r="B75" s="231"/>
      <c r="C75" s="231"/>
      <c r="D75" s="231"/>
      <c r="E75" s="231"/>
      <c r="F75" s="231"/>
      <c r="G75" s="231"/>
      <c r="H75" s="231"/>
      <c r="J75" s="231"/>
      <c r="K75" s="231"/>
      <c r="L75" s="234"/>
      <c r="M75" s="234"/>
      <c r="N75" s="234"/>
    </row>
    <row r="76" spans="1:14">
      <c r="B76" s="231"/>
      <c r="C76" s="231"/>
      <c r="D76" s="231"/>
      <c r="E76" s="231"/>
      <c r="F76" s="231"/>
      <c r="G76" s="231"/>
      <c r="H76" s="231"/>
      <c r="J76" s="231"/>
      <c r="K76" s="231"/>
      <c r="L76" s="234"/>
      <c r="M76" s="234"/>
      <c r="N76" s="234"/>
    </row>
    <row r="77" spans="1:14">
      <c r="B77" s="231"/>
      <c r="C77" s="231"/>
      <c r="D77" s="231"/>
      <c r="E77" s="231"/>
      <c r="F77" s="231"/>
      <c r="G77" s="231"/>
      <c r="H77" s="231"/>
      <c r="J77" s="231"/>
      <c r="K77" s="231"/>
      <c r="L77" s="234"/>
      <c r="M77" s="234"/>
      <c r="N77" s="234"/>
    </row>
    <row r="78" spans="1:14">
      <c r="B78" s="231"/>
      <c r="C78" s="231"/>
      <c r="D78" s="231"/>
      <c r="E78" s="231"/>
      <c r="F78" s="231"/>
      <c r="G78" s="231"/>
      <c r="H78" s="231"/>
      <c r="J78" s="231"/>
      <c r="K78" s="231"/>
      <c r="L78" s="234"/>
      <c r="M78" s="234"/>
      <c r="N78" s="234"/>
    </row>
    <row r="79" spans="1:14">
      <c r="B79" s="231"/>
      <c r="C79" s="231"/>
      <c r="D79" s="231"/>
      <c r="E79" s="231"/>
      <c r="F79" s="231"/>
      <c r="G79" s="231"/>
      <c r="H79" s="231"/>
      <c r="J79" s="231"/>
      <c r="K79" s="231"/>
      <c r="L79" s="234"/>
      <c r="M79" s="234"/>
      <c r="N79" s="234"/>
    </row>
    <row r="80" spans="1:14">
      <c r="B80" s="231"/>
      <c r="C80" s="231"/>
      <c r="D80" s="231"/>
      <c r="E80" s="231"/>
      <c r="F80" s="231"/>
      <c r="G80" s="231"/>
      <c r="H80" s="231"/>
      <c r="J80" s="231"/>
      <c r="K80" s="231"/>
      <c r="L80" s="234"/>
      <c r="M80" s="234"/>
      <c r="N80" s="234"/>
    </row>
    <row r="81" spans="2:14">
      <c r="B81" s="231"/>
      <c r="C81" s="231"/>
      <c r="D81" s="231"/>
      <c r="E81" s="231"/>
      <c r="F81" s="231"/>
      <c r="G81" s="231"/>
      <c r="H81" s="231"/>
      <c r="J81" s="231"/>
      <c r="K81" s="231"/>
      <c r="L81" s="234"/>
      <c r="M81" s="234"/>
      <c r="N81" s="234"/>
    </row>
    <row r="82" spans="2:14">
      <c r="B82" s="231"/>
      <c r="C82" s="231"/>
      <c r="D82" s="231"/>
      <c r="E82" s="231"/>
      <c r="F82" s="231"/>
      <c r="G82" s="231"/>
      <c r="H82" s="231"/>
      <c r="J82" s="231"/>
      <c r="K82" s="231"/>
      <c r="L82" s="234"/>
      <c r="M82" s="234"/>
      <c r="N82" s="234"/>
    </row>
    <row r="83" spans="2:14">
      <c r="B83" s="231"/>
      <c r="C83" s="231"/>
      <c r="D83" s="231"/>
      <c r="E83" s="231"/>
      <c r="F83" s="231"/>
      <c r="G83" s="231"/>
      <c r="H83" s="231"/>
      <c r="J83" s="231"/>
      <c r="K83" s="231"/>
      <c r="L83" s="234"/>
      <c r="M83" s="234"/>
      <c r="N83" s="234"/>
    </row>
    <row r="84" spans="2:14">
      <c r="B84" s="231"/>
      <c r="C84" s="231"/>
      <c r="D84" s="231"/>
      <c r="E84" s="231"/>
      <c r="F84" s="231"/>
      <c r="G84" s="231"/>
      <c r="H84" s="231"/>
      <c r="J84" s="231"/>
      <c r="K84" s="231"/>
      <c r="L84" s="234"/>
      <c r="M84" s="234"/>
      <c r="N84" s="234"/>
    </row>
    <row r="85" spans="2:14">
      <c r="B85" s="231"/>
      <c r="C85" s="231"/>
      <c r="D85" s="231"/>
      <c r="E85" s="231"/>
      <c r="F85" s="231"/>
      <c r="G85" s="231"/>
      <c r="H85" s="231"/>
      <c r="J85" s="231"/>
      <c r="K85" s="231"/>
      <c r="L85" s="234"/>
      <c r="M85" s="234"/>
      <c r="N85" s="234"/>
    </row>
    <row r="86" spans="2:14">
      <c r="B86" s="231"/>
      <c r="C86" s="231"/>
      <c r="D86" s="231"/>
      <c r="E86" s="231"/>
      <c r="F86" s="231"/>
      <c r="G86" s="231"/>
      <c r="H86" s="231"/>
      <c r="J86" s="231"/>
      <c r="K86" s="231"/>
      <c r="L86" s="234"/>
      <c r="M86" s="234"/>
      <c r="N86" s="234"/>
    </row>
  </sheetData>
  <mergeCells count="5">
    <mergeCell ref="B1:H5"/>
    <mergeCell ref="B7:H7"/>
    <mergeCell ref="F11:G11"/>
    <mergeCell ref="C18:E18"/>
    <mergeCell ref="B71:H71"/>
  </mergeCells>
  <printOptions horizontalCentered="1"/>
  <pageMargins left="0.25" right="0.25" top="0.75" bottom="0.75" header="0.3" footer="0.3"/>
  <pageSetup scale="68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7B1AD-A431-6945-AF05-874941D8D872}">
  <sheetPr codeName="Sheet9">
    <tabColor rgb="FFFFFF00"/>
    <outlinePr summaryBelow="0" summaryRight="0"/>
  </sheetPr>
  <dimension ref="A1:AI500"/>
  <sheetViews>
    <sheetView zoomScaleNormal="100" workbookViewId="0">
      <selection activeCell="D60" sqref="D60"/>
    </sheetView>
  </sheetViews>
  <sheetFormatPr defaultColWidth="12.69921875" defaultRowHeight="15.75" customHeight="1"/>
  <cols>
    <col min="1" max="1" width="19" style="128" customWidth="1"/>
    <col min="2" max="2" width="13.69921875" style="128" customWidth="1"/>
    <col min="3" max="3" width="7.796875" style="128" customWidth="1"/>
    <col min="4" max="4" width="15.796875" style="128" customWidth="1"/>
    <col min="5" max="5" width="31.69921875" style="128" customWidth="1"/>
    <col min="6" max="6" width="7.69921875" style="128" customWidth="1"/>
    <col min="7" max="8" width="12.69921875" style="128"/>
    <col min="9" max="11" width="7.69921875" style="128" customWidth="1"/>
    <col min="12" max="12" width="12.69921875" style="128"/>
    <col min="13" max="23" width="13.69921875" style="128" customWidth="1"/>
    <col min="24" max="24" width="19" style="128" customWidth="1"/>
    <col min="25" max="27" width="13.69921875" style="128" customWidth="1"/>
    <col min="28" max="28" width="9.5" style="128" customWidth="1"/>
    <col min="29" max="31" width="15.796875" style="128" customWidth="1"/>
    <col min="32" max="34" width="14.5" style="140" customWidth="1"/>
    <col min="35" max="16384" width="12.69921875" style="126"/>
  </cols>
  <sheetData>
    <row r="1" spans="1:35" ht="13.8">
      <c r="A1" s="124"/>
      <c r="B1" s="124"/>
      <c r="C1" s="124"/>
      <c r="D1" s="124"/>
      <c r="E1" s="124"/>
      <c r="F1" s="124"/>
      <c r="G1" s="124"/>
      <c r="H1" s="124"/>
      <c r="I1" s="124"/>
      <c r="J1" s="124"/>
      <c r="K1" s="124"/>
      <c r="L1" s="124"/>
      <c r="M1" s="124"/>
      <c r="N1" s="124"/>
      <c r="O1" s="124"/>
      <c r="P1" s="124"/>
      <c r="Q1" s="124"/>
      <c r="R1" s="124"/>
      <c r="S1" s="124"/>
      <c r="T1" s="124"/>
      <c r="U1" s="124"/>
      <c r="V1" s="124"/>
      <c r="W1" s="124"/>
      <c r="X1" s="124"/>
      <c r="Y1" s="124"/>
      <c r="Z1" s="124"/>
      <c r="AA1" s="124"/>
      <c r="AB1" s="124"/>
      <c r="AC1" s="124"/>
      <c r="AD1" s="124"/>
      <c r="AE1" s="124"/>
      <c r="AF1" s="125"/>
      <c r="AG1" s="125"/>
      <c r="AH1" s="125"/>
    </row>
    <row r="2" spans="1:35" ht="15.75" customHeight="1">
      <c r="A2" s="124"/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P2" s="124"/>
      <c r="Q2" s="124"/>
      <c r="R2" s="124"/>
      <c r="S2" s="124"/>
      <c r="T2" s="124"/>
      <c r="U2" s="124"/>
      <c r="V2" s="124"/>
      <c r="W2" s="124"/>
      <c r="X2" s="124"/>
      <c r="Y2" s="124"/>
      <c r="Z2" s="124"/>
      <c r="AA2" s="124"/>
      <c r="AB2" s="124"/>
      <c r="AC2" s="124"/>
      <c r="AD2" s="124"/>
      <c r="AE2" s="124"/>
      <c r="AF2" s="127"/>
      <c r="AG2" s="127"/>
      <c r="AH2" s="127"/>
    </row>
    <row r="3" spans="1:35" ht="13.8">
      <c r="A3" s="124"/>
      <c r="B3" s="124"/>
      <c r="C3" s="124"/>
      <c r="D3" s="124"/>
      <c r="E3" s="124"/>
      <c r="F3" s="124"/>
      <c r="G3" s="124"/>
      <c r="H3" s="124"/>
      <c r="I3" s="124"/>
      <c r="J3" s="124"/>
      <c r="K3" s="124"/>
      <c r="L3" s="124"/>
      <c r="M3" s="124"/>
      <c r="N3" s="124"/>
      <c r="O3" s="124"/>
      <c r="P3" s="124"/>
      <c r="Q3" s="124"/>
      <c r="R3" s="124"/>
      <c r="S3" s="124"/>
      <c r="T3" s="124"/>
      <c r="U3" s="124"/>
      <c r="V3" s="124"/>
      <c r="W3" s="124"/>
      <c r="X3" s="124"/>
      <c r="Y3" s="124"/>
      <c r="Z3" s="124"/>
      <c r="AA3" s="124"/>
      <c r="AB3" s="124"/>
      <c r="AC3" s="124"/>
      <c r="AD3" s="124"/>
      <c r="AE3" s="124"/>
      <c r="AF3" s="127"/>
      <c r="AG3" s="127"/>
      <c r="AH3" s="127"/>
    </row>
    <row r="4" spans="1:35" ht="13.8">
      <c r="A4" s="124"/>
      <c r="B4" s="124"/>
      <c r="C4" s="124"/>
      <c r="D4" s="124"/>
      <c r="E4" s="124"/>
      <c r="F4" s="124"/>
      <c r="G4" s="124"/>
      <c r="H4" s="124"/>
      <c r="I4" s="124"/>
      <c r="J4" s="124"/>
      <c r="K4" s="124"/>
      <c r="L4" s="124"/>
      <c r="M4" s="124"/>
      <c r="N4" s="124"/>
      <c r="O4" s="124"/>
      <c r="P4" s="124"/>
      <c r="Q4" s="124"/>
      <c r="R4" s="124"/>
      <c r="S4" s="124"/>
      <c r="T4" s="124"/>
      <c r="U4" s="124"/>
      <c r="V4" s="124"/>
      <c r="W4" s="124"/>
      <c r="X4" s="124"/>
      <c r="Y4" s="124"/>
      <c r="Z4" s="124"/>
      <c r="AA4" s="124"/>
      <c r="AB4" s="124"/>
      <c r="AC4" s="124"/>
      <c r="AD4" s="124"/>
      <c r="AE4" s="124"/>
      <c r="AF4" s="127"/>
      <c r="AG4" s="127"/>
      <c r="AH4" s="127"/>
    </row>
    <row r="5" spans="1:35" ht="15.75" customHeight="1">
      <c r="AF5" s="129"/>
      <c r="AG5" s="129"/>
      <c r="AH5" s="129"/>
    </row>
    <row r="6" spans="1:35" ht="15.75" customHeight="1">
      <c r="A6" s="130"/>
      <c r="B6" s="130"/>
      <c r="C6" s="130"/>
      <c r="D6" s="130"/>
      <c r="E6" s="131"/>
      <c r="F6" s="130"/>
      <c r="G6" s="130"/>
      <c r="H6" s="130"/>
      <c r="I6" s="130"/>
      <c r="J6" s="130"/>
      <c r="K6" s="130"/>
      <c r="L6" s="130"/>
      <c r="M6" s="130"/>
      <c r="N6" s="130"/>
      <c r="O6" s="130"/>
      <c r="P6" s="130"/>
      <c r="Q6" s="130"/>
      <c r="R6" s="130"/>
      <c r="S6" s="130"/>
      <c r="T6" s="130"/>
      <c r="U6" s="130"/>
      <c r="V6" s="130"/>
      <c r="W6" s="130"/>
      <c r="X6" s="130"/>
      <c r="Y6" s="130"/>
      <c r="Z6" s="130"/>
      <c r="AA6" s="130"/>
      <c r="AB6" s="130"/>
      <c r="AC6" s="130"/>
      <c r="AD6" s="130"/>
      <c r="AE6" s="130"/>
      <c r="AF6" s="125"/>
      <c r="AG6" s="125"/>
      <c r="AH6" s="125"/>
    </row>
    <row r="7" spans="1:35" ht="15.75" customHeight="1">
      <c r="AF7" s="129"/>
      <c r="AG7" s="129"/>
      <c r="AH7" s="129"/>
    </row>
    <row r="8" spans="1:35" ht="13.8">
      <c r="A8" s="132"/>
      <c r="B8" s="132"/>
      <c r="C8" s="132"/>
      <c r="D8" s="124"/>
      <c r="E8" s="132"/>
      <c r="F8" s="132"/>
      <c r="G8" s="132"/>
      <c r="H8" s="132"/>
      <c r="I8" s="132"/>
      <c r="J8" s="132"/>
      <c r="K8" s="132"/>
      <c r="L8" s="132"/>
      <c r="M8" s="132"/>
      <c r="N8" s="132"/>
      <c r="O8" s="132"/>
      <c r="P8" s="132"/>
      <c r="Q8" s="132"/>
      <c r="R8" s="132"/>
      <c r="S8" s="132"/>
      <c r="T8" s="132"/>
      <c r="U8" s="132"/>
      <c r="V8" s="132"/>
      <c r="W8" s="132"/>
      <c r="X8" s="132"/>
      <c r="Y8" s="132"/>
      <c r="Z8" s="132"/>
      <c r="AA8" s="132"/>
      <c r="AB8" s="132"/>
      <c r="AC8" s="132"/>
      <c r="AD8" s="132"/>
      <c r="AE8" s="132"/>
      <c r="AF8" s="133" t="s">
        <v>265</v>
      </c>
      <c r="AG8" s="133" t="s">
        <v>295</v>
      </c>
      <c r="AH8" s="133" t="s">
        <v>266</v>
      </c>
      <c r="AI8" s="133" t="s">
        <v>267</v>
      </c>
    </row>
    <row r="9" spans="1:35" ht="13.8">
      <c r="A9" s="134"/>
      <c r="B9" s="135"/>
      <c r="C9" s="136"/>
      <c r="D9" s="136"/>
      <c r="E9" s="136"/>
      <c r="F9" s="134"/>
      <c r="G9" s="136"/>
      <c r="H9" s="136"/>
      <c r="I9" s="136"/>
      <c r="J9" s="137"/>
      <c r="K9" s="137"/>
      <c r="L9" s="137"/>
      <c r="M9" s="137"/>
      <c r="N9" s="137"/>
      <c r="O9" s="137"/>
      <c r="P9" s="137"/>
      <c r="Q9" s="137"/>
      <c r="R9" s="137"/>
      <c r="S9" s="137"/>
      <c r="T9" s="137"/>
      <c r="U9" s="137"/>
      <c r="V9" s="137"/>
      <c r="W9" s="137"/>
      <c r="X9" s="137"/>
      <c r="Y9" s="137"/>
      <c r="Z9" s="137"/>
      <c r="AA9" s="137"/>
      <c r="AB9" s="136"/>
      <c r="AC9" s="136"/>
      <c r="AD9" s="136"/>
      <c r="AE9" s="136"/>
      <c r="AF9" s="127">
        <f>IFERROR(AA9*AG9,0)</f>
        <v>0</v>
      </c>
      <c r="AG9" s="127" t="str">
        <f>IF(AA9=0,"",Calculator!$B$5)</f>
        <v/>
      </c>
      <c r="AH9" s="127" t="e">
        <f>(AF9/Calculator!$B$10)*Calculator!$B$9</f>
        <v>#DIV/0!</v>
      </c>
      <c r="AI9" s="126" t="str">
        <f>IF(ISBLANK(AA9),"","RS Means")</f>
        <v/>
      </c>
    </row>
    <row r="10" spans="1:35" ht="13.8">
      <c r="A10" s="134"/>
      <c r="B10" s="135"/>
      <c r="C10" s="136"/>
      <c r="D10" s="136"/>
      <c r="E10" s="136"/>
      <c r="F10" s="134"/>
      <c r="G10" s="136"/>
      <c r="H10" s="136"/>
      <c r="I10" s="136"/>
      <c r="J10" s="137"/>
      <c r="K10" s="137"/>
      <c r="L10" s="137"/>
      <c r="M10" s="137"/>
      <c r="N10" s="137"/>
      <c r="O10" s="137"/>
      <c r="P10" s="137"/>
      <c r="Q10" s="137"/>
      <c r="R10" s="137"/>
      <c r="S10" s="137"/>
      <c r="T10" s="137"/>
      <c r="U10" s="137"/>
      <c r="V10" s="137"/>
      <c r="W10" s="137"/>
      <c r="X10" s="137"/>
      <c r="Y10" s="137"/>
      <c r="Z10" s="137"/>
      <c r="AA10" s="137"/>
      <c r="AB10" s="136"/>
      <c r="AC10" s="136"/>
      <c r="AD10" s="136"/>
      <c r="AE10" s="136"/>
      <c r="AF10" s="127">
        <f t="shared" ref="AF10:AF73" si="0">IFERROR(AA10*AG10,0)</f>
        <v>0</v>
      </c>
      <c r="AG10" s="127" t="str">
        <f>IF(AA10=0,"",Calculator!$B$5)</f>
        <v/>
      </c>
      <c r="AH10" s="127" t="e">
        <f>(AF10/Calculator!$B$10)*Calculator!$B$9</f>
        <v>#DIV/0!</v>
      </c>
      <c r="AI10" s="126" t="str">
        <f t="shared" ref="AI10:AI73" si="1">IF(ISBLANK(AA10),"","RS Means")</f>
        <v/>
      </c>
    </row>
    <row r="11" spans="1:35" ht="13.8">
      <c r="A11" s="134"/>
      <c r="B11" s="135"/>
      <c r="C11" s="136"/>
      <c r="D11" s="136"/>
      <c r="E11" s="136"/>
      <c r="F11" s="134"/>
      <c r="G11" s="136"/>
      <c r="H11" s="136"/>
      <c r="I11" s="136"/>
      <c r="J11" s="137"/>
      <c r="K11" s="137"/>
      <c r="L11" s="137"/>
      <c r="M11" s="137"/>
      <c r="N11" s="137"/>
      <c r="O11" s="137"/>
      <c r="P11" s="137"/>
      <c r="Q11" s="137"/>
      <c r="R11" s="137"/>
      <c r="S11" s="137"/>
      <c r="T11" s="137"/>
      <c r="U11" s="137"/>
      <c r="V11" s="137"/>
      <c r="W11" s="137"/>
      <c r="X11" s="137"/>
      <c r="Y11" s="137"/>
      <c r="Z11" s="137"/>
      <c r="AA11" s="137"/>
      <c r="AB11" s="136"/>
      <c r="AC11" s="136"/>
      <c r="AD11" s="136"/>
      <c r="AE11" s="136"/>
      <c r="AF11" s="127">
        <f t="shared" si="0"/>
        <v>0</v>
      </c>
      <c r="AG11" s="127" t="str">
        <f>IF(AA11=0,"",Calculator!$B$5)</f>
        <v/>
      </c>
      <c r="AH11" s="127" t="e">
        <f>(AF11/Calculator!$B$10)*Calculator!$B$9</f>
        <v>#DIV/0!</v>
      </c>
      <c r="AI11" s="126" t="str">
        <f t="shared" si="1"/>
        <v/>
      </c>
    </row>
    <row r="12" spans="1:35" ht="13.8">
      <c r="A12" s="134"/>
      <c r="B12" s="135"/>
      <c r="C12" s="136"/>
      <c r="D12" s="136"/>
      <c r="E12" s="136"/>
      <c r="F12" s="134"/>
      <c r="G12" s="136"/>
      <c r="H12" s="136"/>
      <c r="I12" s="136"/>
      <c r="J12" s="137"/>
      <c r="K12" s="137"/>
      <c r="L12" s="137"/>
      <c r="M12" s="137"/>
      <c r="N12" s="137"/>
      <c r="O12" s="137"/>
      <c r="P12" s="137"/>
      <c r="Q12" s="137"/>
      <c r="R12" s="137"/>
      <c r="S12" s="137"/>
      <c r="T12" s="137"/>
      <c r="U12" s="137"/>
      <c r="V12" s="137"/>
      <c r="W12" s="137"/>
      <c r="X12" s="137"/>
      <c r="Y12" s="137"/>
      <c r="Z12" s="137"/>
      <c r="AA12" s="137"/>
      <c r="AB12" s="136"/>
      <c r="AC12" s="136"/>
      <c r="AD12" s="136"/>
      <c r="AE12" s="136"/>
      <c r="AF12" s="127">
        <f t="shared" si="0"/>
        <v>0</v>
      </c>
      <c r="AG12" s="127" t="str">
        <f>IF(AA12=0,"",Calculator!$B$5)</f>
        <v/>
      </c>
      <c r="AH12" s="127" t="e">
        <f>(AF12/Calculator!$B$10)*Calculator!$B$9</f>
        <v>#DIV/0!</v>
      </c>
      <c r="AI12" s="126" t="str">
        <f t="shared" si="1"/>
        <v/>
      </c>
    </row>
    <row r="13" spans="1:35" ht="13.8">
      <c r="A13" s="134"/>
      <c r="B13" s="135"/>
      <c r="C13" s="136"/>
      <c r="D13" s="136"/>
      <c r="E13" s="136"/>
      <c r="F13" s="134"/>
      <c r="G13" s="136"/>
      <c r="H13" s="136"/>
      <c r="I13" s="136"/>
      <c r="J13" s="137"/>
      <c r="K13" s="137"/>
      <c r="L13" s="137"/>
      <c r="M13" s="137"/>
      <c r="N13" s="137"/>
      <c r="O13" s="137"/>
      <c r="P13" s="137"/>
      <c r="Q13" s="137"/>
      <c r="R13" s="137"/>
      <c r="S13" s="137"/>
      <c r="T13" s="137"/>
      <c r="U13" s="137"/>
      <c r="V13" s="137"/>
      <c r="W13" s="137"/>
      <c r="X13" s="137"/>
      <c r="Y13" s="137"/>
      <c r="Z13" s="137"/>
      <c r="AA13" s="137"/>
      <c r="AB13" s="136"/>
      <c r="AC13" s="136"/>
      <c r="AD13" s="136"/>
      <c r="AE13" s="136"/>
      <c r="AF13" s="127">
        <f t="shared" si="0"/>
        <v>0</v>
      </c>
      <c r="AG13" s="127" t="str">
        <f>IF(AA13=0,"",Calculator!$B$5)</f>
        <v/>
      </c>
      <c r="AH13" s="127" t="e">
        <f>(AF13/Calculator!$B$10)*Calculator!$B$9</f>
        <v>#DIV/0!</v>
      </c>
      <c r="AI13" s="126" t="str">
        <f t="shared" si="1"/>
        <v/>
      </c>
    </row>
    <row r="14" spans="1:35" ht="13.8">
      <c r="A14" s="134"/>
      <c r="B14" s="135"/>
      <c r="C14" s="136"/>
      <c r="D14" s="136"/>
      <c r="E14" s="136"/>
      <c r="F14" s="134"/>
      <c r="G14" s="136"/>
      <c r="H14" s="136"/>
      <c r="I14" s="136"/>
      <c r="J14" s="137"/>
      <c r="K14" s="137"/>
      <c r="L14" s="137"/>
      <c r="M14" s="137"/>
      <c r="N14" s="137"/>
      <c r="O14" s="137"/>
      <c r="P14" s="137"/>
      <c r="Q14" s="137"/>
      <c r="R14" s="137"/>
      <c r="S14" s="137"/>
      <c r="T14" s="137"/>
      <c r="U14" s="137"/>
      <c r="V14" s="137"/>
      <c r="W14" s="137"/>
      <c r="X14" s="137"/>
      <c r="Y14" s="137"/>
      <c r="Z14" s="137"/>
      <c r="AA14" s="137"/>
      <c r="AB14" s="136"/>
      <c r="AC14" s="136"/>
      <c r="AD14" s="136"/>
      <c r="AE14" s="136"/>
      <c r="AF14" s="127">
        <f t="shared" si="0"/>
        <v>0</v>
      </c>
      <c r="AG14" s="127" t="str">
        <f>IF(AA14=0,"",Calculator!$B$5)</f>
        <v/>
      </c>
      <c r="AH14" s="127" t="e">
        <f>(AF14/Calculator!$B$10)*Calculator!$B$9</f>
        <v>#DIV/0!</v>
      </c>
      <c r="AI14" s="126" t="str">
        <f t="shared" si="1"/>
        <v/>
      </c>
    </row>
    <row r="15" spans="1:35" ht="13.8">
      <c r="A15" s="134"/>
      <c r="B15" s="135"/>
      <c r="C15" s="136"/>
      <c r="D15" s="136"/>
      <c r="E15" s="136"/>
      <c r="F15" s="134"/>
      <c r="G15" s="136"/>
      <c r="H15" s="136"/>
      <c r="I15" s="136"/>
      <c r="J15" s="137"/>
      <c r="K15" s="137"/>
      <c r="L15" s="137"/>
      <c r="M15" s="137"/>
      <c r="N15" s="137"/>
      <c r="O15" s="137"/>
      <c r="P15" s="137"/>
      <c r="Q15" s="137"/>
      <c r="R15" s="137"/>
      <c r="S15" s="137"/>
      <c r="T15" s="137"/>
      <c r="U15" s="137"/>
      <c r="V15" s="137"/>
      <c r="W15" s="137"/>
      <c r="X15" s="137"/>
      <c r="Y15" s="137"/>
      <c r="Z15" s="137"/>
      <c r="AA15" s="137"/>
      <c r="AB15" s="136"/>
      <c r="AC15" s="136"/>
      <c r="AD15" s="136"/>
      <c r="AE15" s="136"/>
      <c r="AF15" s="127">
        <f t="shared" si="0"/>
        <v>0</v>
      </c>
      <c r="AG15" s="127" t="str">
        <f>IF(AA15=0,"",Calculator!$B$5)</f>
        <v/>
      </c>
      <c r="AH15" s="127" t="e">
        <f>(AF15/Calculator!$B$10)*Calculator!$B$9</f>
        <v>#DIV/0!</v>
      </c>
      <c r="AI15" s="126" t="str">
        <f t="shared" si="1"/>
        <v/>
      </c>
    </row>
    <row r="16" spans="1:35" ht="13.8">
      <c r="A16" s="134"/>
      <c r="B16" s="135"/>
      <c r="C16" s="136"/>
      <c r="D16" s="136"/>
      <c r="E16" s="136"/>
      <c r="F16" s="134"/>
      <c r="G16" s="136"/>
      <c r="H16" s="136"/>
      <c r="I16" s="136"/>
      <c r="J16" s="137"/>
      <c r="K16" s="137"/>
      <c r="L16" s="137"/>
      <c r="M16" s="137"/>
      <c r="N16" s="137"/>
      <c r="O16" s="137"/>
      <c r="P16" s="137"/>
      <c r="Q16" s="137"/>
      <c r="R16" s="137"/>
      <c r="S16" s="137"/>
      <c r="T16" s="137"/>
      <c r="U16" s="137"/>
      <c r="V16" s="137"/>
      <c r="W16" s="137"/>
      <c r="X16" s="137"/>
      <c r="Y16" s="137"/>
      <c r="Z16" s="137"/>
      <c r="AA16" s="137"/>
      <c r="AB16" s="136"/>
      <c r="AC16" s="136"/>
      <c r="AD16" s="136"/>
      <c r="AE16" s="136"/>
      <c r="AF16" s="127">
        <f t="shared" si="0"/>
        <v>0</v>
      </c>
      <c r="AG16" s="127" t="str">
        <f>IF(AA16=0,"",Calculator!$B$5)</f>
        <v/>
      </c>
      <c r="AH16" s="127" t="e">
        <f>(AF16/Calculator!$B$10)*Calculator!$B$9</f>
        <v>#DIV/0!</v>
      </c>
      <c r="AI16" s="126" t="str">
        <f t="shared" si="1"/>
        <v/>
      </c>
    </row>
    <row r="17" spans="1:35" ht="13.8">
      <c r="A17" s="134"/>
      <c r="B17" s="135"/>
      <c r="C17" s="136"/>
      <c r="D17" s="136"/>
      <c r="E17" s="136"/>
      <c r="F17" s="134"/>
      <c r="G17" s="136"/>
      <c r="H17" s="136"/>
      <c r="I17" s="136"/>
      <c r="J17" s="137"/>
      <c r="K17" s="137"/>
      <c r="L17" s="137"/>
      <c r="M17" s="137"/>
      <c r="N17" s="137"/>
      <c r="O17" s="137"/>
      <c r="P17" s="137"/>
      <c r="Q17" s="137"/>
      <c r="R17" s="137"/>
      <c r="S17" s="137"/>
      <c r="T17" s="137"/>
      <c r="U17" s="137"/>
      <c r="V17" s="137"/>
      <c r="W17" s="137"/>
      <c r="X17" s="137"/>
      <c r="Y17" s="137"/>
      <c r="Z17" s="137"/>
      <c r="AA17" s="137"/>
      <c r="AB17" s="136"/>
      <c r="AC17" s="136"/>
      <c r="AD17" s="136"/>
      <c r="AE17" s="136"/>
      <c r="AF17" s="127">
        <f t="shared" si="0"/>
        <v>0</v>
      </c>
      <c r="AG17" s="127" t="str">
        <f>IF(AA17=0,"",Calculator!$B$5)</f>
        <v/>
      </c>
      <c r="AH17" s="127" t="e">
        <f>(AF17/Calculator!$B$10)*Calculator!$B$9</f>
        <v>#DIV/0!</v>
      </c>
      <c r="AI17" s="126" t="str">
        <f t="shared" si="1"/>
        <v/>
      </c>
    </row>
    <row r="18" spans="1:35" ht="13.8">
      <c r="A18" s="134"/>
      <c r="B18" s="135"/>
      <c r="C18" s="136"/>
      <c r="D18" s="136"/>
      <c r="E18" s="136"/>
      <c r="F18" s="134"/>
      <c r="G18" s="136"/>
      <c r="H18" s="136"/>
      <c r="I18" s="136"/>
      <c r="J18" s="137"/>
      <c r="K18" s="137"/>
      <c r="L18" s="137"/>
      <c r="M18" s="137"/>
      <c r="N18" s="137"/>
      <c r="O18" s="137"/>
      <c r="P18" s="137"/>
      <c r="Q18" s="137"/>
      <c r="R18" s="137"/>
      <c r="S18" s="137"/>
      <c r="T18" s="137"/>
      <c r="U18" s="137"/>
      <c r="V18" s="137"/>
      <c r="W18" s="137"/>
      <c r="X18" s="137"/>
      <c r="Y18" s="137"/>
      <c r="Z18" s="137"/>
      <c r="AA18" s="137"/>
      <c r="AB18" s="136"/>
      <c r="AC18" s="136"/>
      <c r="AD18" s="136"/>
      <c r="AE18" s="136"/>
      <c r="AF18" s="127">
        <f t="shared" si="0"/>
        <v>0</v>
      </c>
      <c r="AG18" s="127" t="str">
        <f>IF(AA18=0,"",Calculator!$B$5)</f>
        <v/>
      </c>
      <c r="AH18" s="127" t="e">
        <f>(AF18/Calculator!$B$10)*Calculator!$B$9</f>
        <v>#DIV/0!</v>
      </c>
      <c r="AI18" s="126" t="str">
        <f t="shared" si="1"/>
        <v/>
      </c>
    </row>
    <row r="19" spans="1:35" ht="13.8">
      <c r="A19" s="134"/>
      <c r="B19" s="135"/>
      <c r="C19" s="136"/>
      <c r="D19" s="136"/>
      <c r="E19" s="136"/>
      <c r="F19" s="134"/>
      <c r="G19" s="136"/>
      <c r="H19" s="136"/>
      <c r="I19" s="136"/>
      <c r="J19" s="137"/>
      <c r="K19" s="137"/>
      <c r="L19" s="137"/>
      <c r="M19" s="137"/>
      <c r="N19" s="137"/>
      <c r="O19" s="137"/>
      <c r="P19" s="137"/>
      <c r="Q19" s="137"/>
      <c r="R19" s="137"/>
      <c r="S19" s="137"/>
      <c r="T19" s="137"/>
      <c r="U19" s="137"/>
      <c r="V19" s="137"/>
      <c r="W19" s="137"/>
      <c r="X19" s="137"/>
      <c r="Y19" s="137"/>
      <c r="Z19" s="137"/>
      <c r="AA19" s="137"/>
      <c r="AB19" s="136"/>
      <c r="AC19" s="136"/>
      <c r="AD19" s="136"/>
      <c r="AE19" s="136"/>
      <c r="AF19" s="127">
        <f t="shared" si="0"/>
        <v>0</v>
      </c>
      <c r="AG19" s="127" t="str">
        <f>IF(AA19=0,"",Calculator!$B$5)</f>
        <v/>
      </c>
      <c r="AH19" s="127" t="e">
        <f>(AF19/Calculator!$B$10)*Calculator!$B$9</f>
        <v>#DIV/0!</v>
      </c>
      <c r="AI19" s="126" t="str">
        <f t="shared" si="1"/>
        <v/>
      </c>
    </row>
    <row r="20" spans="1:35" ht="13.8">
      <c r="A20" s="134"/>
      <c r="B20" s="135"/>
      <c r="C20" s="136"/>
      <c r="D20" s="136"/>
      <c r="E20" s="136"/>
      <c r="F20" s="134"/>
      <c r="G20" s="136"/>
      <c r="H20" s="136"/>
      <c r="I20" s="136"/>
      <c r="J20" s="137"/>
      <c r="K20" s="137"/>
      <c r="L20" s="137"/>
      <c r="M20" s="137"/>
      <c r="N20" s="137"/>
      <c r="O20" s="137"/>
      <c r="P20" s="137"/>
      <c r="Q20" s="137"/>
      <c r="R20" s="137"/>
      <c r="S20" s="137"/>
      <c r="T20" s="137"/>
      <c r="U20" s="137"/>
      <c r="V20" s="137"/>
      <c r="W20" s="137"/>
      <c r="X20" s="137"/>
      <c r="Y20" s="137"/>
      <c r="Z20" s="137"/>
      <c r="AA20" s="137"/>
      <c r="AB20" s="136"/>
      <c r="AC20" s="136"/>
      <c r="AD20" s="136"/>
      <c r="AE20" s="136"/>
      <c r="AF20" s="127">
        <f t="shared" si="0"/>
        <v>0</v>
      </c>
      <c r="AG20" s="127" t="str">
        <f>IF(AA20=0,"",Calculator!$B$5)</f>
        <v/>
      </c>
      <c r="AH20" s="127" t="e">
        <f>(AF20/Calculator!$B$10)*Calculator!$B$9</f>
        <v>#DIV/0!</v>
      </c>
      <c r="AI20" s="126" t="str">
        <f t="shared" si="1"/>
        <v/>
      </c>
    </row>
    <row r="21" spans="1:35" ht="13.8">
      <c r="A21" s="134"/>
      <c r="B21" s="135"/>
      <c r="C21" s="136"/>
      <c r="D21" s="136"/>
      <c r="E21" s="136"/>
      <c r="F21" s="134"/>
      <c r="G21" s="136"/>
      <c r="H21" s="136"/>
      <c r="I21" s="136"/>
      <c r="J21" s="137"/>
      <c r="K21" s="137"/>
      <c r="L21" s="137"/>
      <c r="M21" s="137"/>
      <c r="N21" s="137"/>
      <c r="O21" s="137"/>
      <c r="P21" s="137"/>
      <c r="Q21" s="137"/>
      <c r="R21" s="137"/>
      <c r="S21" s="137"/>
      <c r="T21" s="137"/>
      <c r="U21" s="137"/>
      <c r="V21" s="137"/>
      <c r="W21" s="137"/>
      <c r="X21" s="137"/>
      <c r="Y21" s="137"/>
      <c r="Z21" s="137"/>
      <c r="AA21" s="137"/>
      <c r="AB21" s="136"/>
      <c r="AC21" s="136"/>
      <c r="AD21" s="136"/>
      <c r="AE21" s="136"/>
      <c r="AF21" s="127">
        <f t="shared" si="0"/>
        <v>0</v>
      </c>
      <c r="AG21" s="127" t="str">
        <f>IF(AA21=0,"",Calculator!$B$5)</f>
        <v/>
      </c>
      <c r="AH21" s="127" t="e">
        <f>(AF21/Calculator!$B$10)*Calculator!$B$9</f>
        <v>#DIV/0!</v>
      </c>
      <c r="AI21" s="126" t="str">
        <f t="shared" si="1"/>
        <v/>
      </c>
    </row>
    <row r="22" spans="1:35" ht="13.8">
      <c r="A22" s="134"/>
      <c r="B22" s="135"/>
      <c r="C22" s="136"/>
      <c r="D22" s="136"/>
      <c r="E22" s="136"/>
      <c r="F22" s="134"/>
      <c r="G22" s="136"/>
      <c r="H22" s="136"/>
      <c r="I22" s="136"/>
      <c r="J22" s="137"/>
      <c r="K22" s="137"/>
      <c r="L22" s="137"/>
      <c r="M22" s="137"/>
      <c r="N22" s="137"/>
      <c r="O22" s="137"/>
      <c r="P22" s="137"/>
      <c r="Q22" s="137"/>
      <c r="R22" s="137"/>
      <c r="S22" s="137"/>
      <c r="T22" s="137"/>
      <c r="U22" s="137"/>
      <c r="V22" s="137"/>
      <c r="W22" s="137"/>
      <c r="X22" s="137"/>
      <c r="Y22" s="137"/>
      <c r="Z22" s="137"/>
      <c r="AA22" s="137"/>
      <c r="AB22" s="136"/>
      <c r="AC22" s="136"/>
      <c r="AD22" s="136"/>
      <c r="AE22" s="136"/>
      <c r="AF22" s="127">
        <f t="shared" si="0"/>
        <v>0</v>
      </c>
      <c r="AG22" s="127" t="str">
        <f>IF(AA22=0,"",Calculator!$B$5)</f>
        <v/>
      </c>
      <c r="AH22" s="127" t="e">
        <f>(AF22/Calculator!$B$10)*Calculator!$B$9</f>
        <v>#DIV/0!</v>
      </c>
      <c r="AI22" s="126" t="str">
        <f t="shared" si="1"/>
        <v/>
      </c>
    </row>
    <row r="23" spans="1:35" ht="13.8">
      <c r="A23" s="134"/>
      <c r="B23" s="135"/>
      <c r="C23" s="136"/>
      <c r="D23" s="136"/>
      <c r="E23" s="136"/>
      <c r="F23" s="134"/>
      <c r="G23" s="136"/>
      <c r="H23" s="136"/>
      <c r="I23" s="136"/>
      <c r="J23" s="137"/>
      <c r="K23" s="137"/>
      <c r="L23" s="137"/>
      <c r="M23" s="137"/>
      <c r="N23" s="137"/>
      <c r="O23" s="137"/>
      <c r="P23" s="137"/>
      <c r="Q23" s="137"/>
      <c r="R23" s="137"/>
      <c r="S23" s="137"/>
      <c r="T23" s="137"/>
      <c r="U23" s="137"/>
      <c r="V23" s="137"/>
      <c r="W23" s="137"/>
      <c r="X23" s="137"/>
      <c r="Y23" s="137"/>
      <c r="Z23" s="137"/>
      <c r="AA23" s="137"/>
      <c r="AB23" s="136"/>
      <c r="AC23" s="136"/>
      <c r="AD23" s="136"/>
      <c r="AE23" s="136"/>
      <c r="AF23" s="127">
        <f t="shared" si="0"/>
        <v>0</v>
      </c>
      <c r="AG23" s="127" t="str">
        <f>IF(AA23=0,"",Calculator!$B$5)</f>
        <v/>
      </c>
      <c r="AH23" s="127" t="e">
        <f>(AF23/Calculator!$B$10)*Calculator!$B$9</f>
        <v>#DIV/0!</v>
      </c>
      <c r="AI23" s="126" t="str">
        <f t="shared" si="1"/>
        <v/>
      </c>
    </row>
    <row r="24" spans="1:35" ht="13.8">
      <c r="AF24" s="127">
        <f t="shared" si="0"/>
        <v>0</v>
      </c>
      <c r="AG24" s="127" t="str">
        <f>IF(AA24=0,"",Calculator!$B$5)</f>
        <v/>
      </c>
      <c r="AH24" s="127" t="e">
        <f>(AF24/Calculator!$B$10)*Calculator!$B$9</f>
        <v>#DIV/0!</v>
      </c>
      <c r="AI24" s="126" t="str">
        <f t="shared" si="1"/>
        <v/>
      </c>
    </row>
    <row r="25" spans="1:35" ht="13.8">
      <c r="A25" s="138"/>
      <c r="M25" s="139"/>
      <c r="N25" s="139"/>
      <c r="O25" s="139"/>
      <c r="P25" s="139"/>
      <c r="Q25" s="139"/>
      <c r="R25" s="139"/>
      <c r="S25" s="139"/>
      <c r="T25" s="139"/>
      <c r="U25" s="139"/>
      <c r="V25" s="139"/>
      <c r="W25" s="139"/>
      <c r="X25" s="139"/>
      <c r="Y25" s="139"/>
      <c r="Z25" s="139"/>
      <c r="AA25" s="139"/>
      <c r="AF25" s="127">
        <f t="shared" si="0"/>
        <v>0</v>
      </c>
      <c r="AG25" s="127" t="str">
        <f>IF(AA25=0,"",Calculator!$B$5)</f>
        <v/>
      </c>
      <c r="AH25" s="127" t="e">
        <f>(AF25/Calculator!$B$10)*Calculator!$B$9</f>
        <v>#DIV/0!</v>
      </c>
      <c r="AI25" s="126" t="str">
        <f t="shared" si="1"/>
        <v/>
      </c>
    </row>
    <row r="26" spans="1:35" ht="13.8">
      <c r="AF26" s="127">
        <f t="shared" si="0"/>
        <v>0</v>
      </c>
      <c r="AG26" s="127" t="str">
        <f>IF(AA26=0,"",Calculator!$B$5)</f>
        <v/>
      </c>
      <c r="AH26" s="127" t="e">
        <f>(AF26/Calculator!$B$10)*Calculator!$B$9</f>
        <v>#DIV/0!</v>
      </c>
      <c r="AI26" s="126" t="str">
        <f t="shared" si="1"/>
        <v/>
      </c>
    </row>
    <row r="27" spans="1:35" ht="13.8">
      <c r="AF27" s="127">
        <f t="shared" si="0"/>
        <v>0</v>
      </c>
      <c r="AG27" s="127" t="str">
        <f>IF(AA27=0,"",Calculator!$B$5)</f>
        <v/>
      </c>
      <c r="AH27" s="127" t="e">
        <f>(AF27/Calculator!$B$10)*Calculator!$B$9</f>
        <v>#DIV/0!</v>
      </c>
      <c r="AI27" s="126" t="str">
        <f t="shared" si="1"/>
        <v/>
      </c>
    </row>
    <row r="28" spans="1:35" ht="13.8">
      <c r="AF28" s="127">
        <f t="shared" si="0"/>
        <v>0</v>
      </c>
      <c r="AG28" s="127" t="str">
        <f>IF(AA28=0,"",Calculator!$B$5)</f>
        <v/>
      </c>
      <c r="AH28" s="127" t="e">
        <f>(AF28/Calculator!$B$10)*Calculator!$B$9</f>
        <v>#DIV/0!</v>
      </c>
      <c r="AI28" s="126" t="str">
        <f t="shared" si="1"/>
        <v/>
      </c>
    </row>
    <row r="29" spans="1:35" ht="15.6">
      <c r="A29" s="130"/>
      <c r="B29" s="130"/>
      <c r="C29" s="130"/>
      <c r="D29" s="130"/>
      <c r="E29" s="131"/>
      <c r="F29" s="130"/>
      <c r="G29" s="130"/>
      <c r="H29" s="130"/>
      <c r="I29" s="130"/>
      <c r="J29" s="130"/>
      <c r="K29" s="130"/>
      <c r="L29" s="130"/>
      <c r="M29" s="130"/>
      <c r="N29" s="130"/>
      <c r="O29" s="130"/>
      <c r="P29" s="130"/>
      <c r="Q29" s="130"/>
      <c r="R29" s="130"/>
      <c r="S29" s="130"/>
      <c r="T29" s="130"/>
      <c r="U29" s="130"/>
      <c r="V29" s="130"/>
      <c r="W29" s="130"/>
      <c r="X29" s="130"/>
      <c r="Y29" s="130"/>
      <c r="Z29" s="130"/>
      <c r="AA29" s="130"/>
      <c r="AB29" s="130"/>
      <c r="AC29" s="130"/>
      <c r="AD29" s="130"/>
      <c r="AE29" s="130"/>
      <c r="AF29" s="127">
        <f t="shared" si="0"/>
        <v>0</v>
      </c>
      <c r="AG29" s="127" t="str">
        <f>IF(AA29=0,"",Calculator!$B$5)</f>
        <v/>
      </c>
      <c r="AH29" s="127" t="e">
        <f>(AF29/Calculator!$B$10)*Calculator!$B$9</f>
        <v>#DIV/0!</v>
      </c>
      <c r="AI29" s="126" t="str">
        <f t="shared" si="1"/>
        <v/>
      </c>
    </row>
    <row r="30" spans="1:35" ht="13.8">
      <c r="A30" s="132"/>
      <c r="B30" s="132"/>
      <c r="C30" s="132"/>
      <c r="D30" s="124"/>
      <c r="E30" s="132"/>
      <c r="F30" s="132"/>
      <c r="G30" s="132"/>
      <c r="H30" s="132"/>
      <c r="I30" s="132"/>
      <c r="J30" s="132"/>
      <c r="K30" s="132"/>
      <c r="L30" s="132"/>
      <c r="M30" s="132"/>
      <c r="N30" s="132"/>
      <c r="O30" s="132"/>
      <c r="P30" s="132"/>
      <c r="Q30" s="132"/>
      <c r="R30" s="132"/>
      <c r="S30" s="132"/>
      <c r="T30" s="132"/>
      <c r="U30" s="132"/>
      <c r="V30" s="132"/>
      <c r="W30" s="132"/>
      <c r="X30" s="132"/>
      <c r="Y30" s="132"/>
      <c r="Z30" s="132"/>
      <c r="AA30" s="132"/>
      <c r="AB30" s="132"/>
      <c r="AC30" s="132"/>
      <c r="AD30" s="132"/>
      <c r="AE30" s="132"/>
      <c r="AF30" s="127">
        <f t="shared" si="0"/>
        <v>0</v>
      </c>
      <c r="AG30" s="127" t="str">
        <f>IF(AA30=0,"",Calculator!$B$5)</f>
        <v/>
      </c>
      <c r="AH30" s="127" t="e">
        <f>(AF30/Calculator!$B$10)*Calculator!$B$9</f>
        <v>#DIV/0!</v>
      </c>
      <c r="AI30" s="126" t="str">
        <f t="shared" si="1"/>
        <v/>
      </c>
    </row>
    <row r="31" spans="1:35" ht="13.8">
      <c r="A31" s="134"/>
      <c r="B31" s="135"/>
      <c r="C31" s="136"/>
      <c r="D31" s="136"/>
      <c r="E31" s="136"/>
      <c r="F31" s="134"/>
      <c r="G31" s="136"/>
      <c r="H31" s="136"/>
      <c r="I31" s="134"/>
      <c r="J31" s="137"/>
      <c r="K31" s="137"/>
      <c r="L31" s="137"/>
      <c r="M31" s="137"/>
      <c r="N31" s="137"/>
      <c r="O31" s="137"/>
      <c r="P31" s="137"/>
      <c r="Q31" s="137"/>
      <c r="R31" s="137"/>
      <c r="S31" s="137"/>
      <c r="T31" s="137"/>
      <c r="U31" s="137"/>
      <c r="V31" s="137"/>
      <c r="W31" s="137"/>
      <c r="X31" s="137"/>
      <c r="Y31" s="137"/>
      <c r="Z31" s="137"/>
      <c r="AA31" s="137"/>
      <c r="AB31" s="136"/>
      <c r="AC31" s="136"/>
      <c r="AD31" s="136"/>
      <c r="AE31" s="136"/>
      <c r="AF31" s="127">
        <f t="shared" si="0"/>
        <v>0</v>
      </c>
      <c r="AG31" s="127" t="str">
        <f>IF(AA31=0,"",Calculator!$B$5)</f>
        <v/>
      </c>
      <c r="AH31" s="127" t="e">
        <f>(AF31/Calculator!$B$10)*Calculator!$B$9</f>
        <v>#DIV/0!</v>
      </c>
      <c r="AI31" s="126" t="str">
        <f t="shared" si="1"/>
        <v/>
      </c>
    </row>
    <row r="32" spans="1:35" ht="13.8">
      <c r="A32" s="134"/>
      <c r="B32" s="135"/>
      <c r="C32" s="136"/>
      <c r="D32" s="136"/>
      <c r="E32" s="136"/>
      <c r="F32" s="134"/>
      <c r="G32" s="136"/>
      <c r="H32" s="136"/>
      <c r="I32" s="134"/>
      <c r="J32" s="137"/>
      <c r="K32" s="137"/>
      <c r="L32" s="137"/>
      <c r="M32" s="137"/>
      <c r="N32" s="137"/>
      <c r="O32" s="137"/>
      <c r="P32" s="137"/>
      <c r="Q32" s="137"/>
      <c r="R32" s="137"/>
      <c r="S32" s="137"/>
      <c r="T32" s="137"/>
      <c r="U32" s="137"/>
      <c r="V32" s="137"/>
      <c r="W32" s="137"/>
      <c r="X32" s="137"/>
      <c r="Y32" s="137"/>
      <c r="Z32" s="137"/>
      <c r="AA32" s="137"/>
      <c r="AB32" s="136"/>
      <c r="AC32" s="136"/>
      <c r="AD32" s="136"/>
      <c r="AE32" s="136"/>
      <c r="AF32" s="127">
        <f t="shared" si="0"/>
        <v>0</v>
      </c>
      <c r="AG32" s="127" t="str">
        <f>IF(AA32=0,"",Calculator!$B$5)</f>
        <v/>
      </c>
      <c r="AH32" s="127" t="e">
        <f>(AF32/Calculator!$B$10)*Calculator!$B$9</f>
        <v>#DIV/0!</v>
      </c>
      <c r="AI32" s="126" t="str">
        <f t="shared" si="1"/>
        <v/>
      </c>
    </row>
    <row r="33" spans="1:35" ht="13.8">
      <c r="A33" s="134"/>
      <c r="B33" s="135"/>
      <c r="C33" s="136"/>
      <c r="D33" s="136"/>
      <c r="E33" s="136"/>
      <c r="F33" s="134"/>
      <c r="G33" s="136"/>
      <c r="H33" s="136"/>
      <c r="I33" s="134"/>
      <c r="J33" s="137"/>
      <c r="K33" s="137"/>
      <c r="L33" s="137"/>
      <c r="M33" s="137"/>
      <c r="N33" s="137"/>
      <c r="O33" s="137"/>
      <c r="P33" s="137"/>
      <c r="Q33" s="137"/>
      <c r="R33" s="137"/>
      <c r="S33" s="137"/>
      <c r="T33" s="137"/>
      <c r="U33" s="137"/>
      <c r="V33" s="137"/>
      <c r="W33" s="137"/>
      <c r="X33" s="137"/>
      <c r="Y33" s="137"/>
      <c r="Z33" s="137"/>
      <c r="AA33" s="137"/>
      <c r="AB33" s="136"/>
      <c r="AC33" s="136"/>
      <c r="AD33" s="136"/>
      <c r="AE33" s="136"/>
      <c r="AF33" s="127">
        <f t="shared" si="0"/>
        <v>0</v>
      </c>
      <c r="AG33" s="127" t="str">
        <f>IF(AA33=0,"",Calculator!$B$5)</f>
        <v/>
      </c>
      <c r="AH33" s="127" t="e">
        <f>(AF33/Calculator!$B$10)*Calculator!$B$9</f>
        <v>#DIV/0!</v>
      </c>
      <c r="AI33" s="126" t="str">
        <f t="shared" si="1"/>
        <v/>
      </c>
    </row>
    <row r="34" spans="1:35" ht="13.8">
      <c r="A34" s="134"/>
      <c r="B34" s="135"/>
      <c r="C34" s="136"/>
      <c r="D34" s="136"/>
      <c r="E34" s="136"/>
      <c r="F34" s="134"/>
      <c r="G34" s="136"/>
      <c r="H34" s="136"/>
      <c r="I34" s="134"/>
      <c r="J34" s="137"/>
      <c r="K34" s="137"/>
      <c r="L34" s="137"/>
      <c r="M34" s="137"/>
      <c r="N34" s="137"/>
      <c r="O34" s="137"/>
      <c r="P34" s="137"/>
      <c r="Q34" s="137"/>
      <c r="R34" s="137"/>
      <c r="S34" s="137"/>
      <c r="T34" s="137"/>
      <c r="U34" s="137"/>
      <c r="V34" s="137"/>
      <c r="W34" s="137"/>
      <c r="X34" s="137"/>
      <c r="Y34" s="137"/>
      <c r="Z34" s="137"/>
      <c r="AA34" s="137"/>
      <c r="AB34" s="136"/>
      <c r="AC34" s="136"/>
      <c r="AD34" s="136"/>
      <c r="AE34" s="136"/>
      <c r="AF34" s="127">
        <f t="shared" si="0"/>
        <v>0</v>
      </c>
      <c r="AG34" s="127" t="str">
        <f>IF(AA34=0,"",Calculator!$B$5)</f>
        <v/>
      </c>
      <c r="AH34" s="127" t="e">
        <f>(AF34/Calculator!$B$10)*Calculator!$B$9</f>
        <v>#DIV/0!</v>
      </c>
      <c r="AI34" s="126" t="str">
        <f t="shared" si="1"/>
        <v/>
      </c>
    </row>
    <row r="35" spans="1:35" ht="13.8">
      <c r="A35" s="134"/>
      <c r="B35" s="135"/>
      <c r="C35" s="136"/>
      <c r="D35" s="136"/>
      <c r="E35" s="136"/>
      <c r="F35" s="134"/>
      <c r="G35" s="136"/>
      <c r="H35" s="136"/>
      <c r="I35" s="134"/>
      <c r="J35" s="137"/>
      <c r="K35" s="137"/>
      <c r="L35" s="137"/>
      <c r="M35" s="137"/>
      <c r="N35" s="137"/>
      <c r="O35" s="137"/>
      <c r="P35" s="137"/>
      <c r="Q35" s="137"/>
      <c r="R35" s="137"/>
      <c r="S35" s="137"/>
      <c r="T35" s="137"/>
      <c r="U35" s="137"/>
      <c r="V35" s="137"/>
      <c r="W35" s="137"/>
      <c r="X35" s="137"/>
      <c r="Y35" s="137"/>
      <c r="Z35" s="137"/>
      <c r="AA35" s="137"/>
      <c r="AB35" s="136"/>
      <c r="AC35" s="136"/>
      <c r="AD35" s="136"/>
      <c r="AE35" s="136"/>
      <c r="AF35" s="127">
        <f t="shared" si="0"/>
        <v>0</v>
      </c>
      <c r="AG35" s="127" t="str">
        <f>IF(AA35=0,"",Calculator!$B$5)</f>
        <v/>
      </c>
      <c r="AH35" s="127" t="e">
        <f>(AF35/Calculator!$B$10)*Calculator!$B$9</f>
        <v>#DIV/0!</v>
      </c>
      <c r="AI35" s="126" t="str">
        <f t="shared" si="1"/>
        <v/>
      </c>
    </row>
    <row r="36" spans="1:35" ht="13.8">
      <c r="A36" s="134"/>
      <c r="B36" s="135"/>
      <c r="C36" s="136"/>
      <c r="D36" s="136"/>
      <c r="E36" s="136"/>
      <c r="F36" s="134"/>
      <c r="G36" s="136"/>
      <c r="H36" s="136"/>
      <c r="I36" s="134"/>
      <c r="J36" s="137"/>
      <c r="K36" s="137"/>
      <c r="L36" s="137"/>
      <c r="M36" s="137"/>
      <c r="N36" s="137"/>
      <c r="O36" s="137"/>
      <c r="P36" s="137"/>
      <c r="Q36" s="137"/>
      <c r="R36" s="137"/>
      <c r="S36" s="137"/>
      <c r="T36" s="137"/>
      <c r="U36" s="137"/>
      <c r="V36" s="137"/>
      <c r="W36" s="137"/>
      <c r="X36" s="137"/>
      <c r="Y36" s="137"/>
      <c r="Z36" s="137"/>
      <c r="AA36" s="137"/>
      <c r="AB36" s="136"/>
      <c r="AC36" s="136"/>
      <c r="AD36" s="136"/>
      <c r="AE36" s="136"/>
      <c r="AF36" s="127">
        <f t="shared" si="0"/>
        <v>0</v>
      </c>
      <c r="AG36" s="127" t="str">
        <f>IF(AA36=0,"",Calculator!$B$5)</f>
        <v/>
      </c>
      <c r="AH36" s="127" t="e">
        <f>(AF36/Calculator!$B$10)*Calculator!$B$9</f>
        <v>#DIV/0!</v>
      </c>
      <c r="AI36" s="126" t="str">
        <f t="shared" si="1"/>
        <v/>
      </c>
    </row>
    <row r="37" spans="1:35" ht="13.8">
      <c r="A37" s="134"/>
      <c r="B37" s="135"/>
      <c r="C37" s="136"/>
      <c r="D37" s="136"/>
      <c r="E37" s="136"/>
      <c r="F37" s="134"/>
      <c r="G37" s="136"/>
      <c r="H37" s="136"/>
      <c r="I37" s="134"/>
      <c r="J37" s="137"/>
      <c r="K37" s="137"/>
      <c r="L37" s="137"/>
      <c r="M37" s="137"/>
      <c r="N37" s="137"/>
      <c r="O37" s="137"/>
      <c r="P37" s="137"/>
      <c r="Q37" s="137"/>
      <c r="R37" s="137"/>
      <c r="S37" s="137"/>
      <c r="T37" s="137"/>
      <c r="U37" s="137"/>
      <c r="V37" s="137"/>
      <c r="W37" s="137"/>
      <c r="X37" s="137"/>
      <c r="Y37" s="137"/>
      <c r="Z37" s="137"/>
      <c r="AA37" s="137"/>
      <c r="AB37" s="136"/>
      <c r="AC37" s="136"/>
      <c r="AD37" s="136"/>
      <c r="AE37" s="136"/>
      <c r="AF37" s="127">
        <f t="shared" si="0"/>
        <v>0</v>
      </c>
      <c r="AG37" s="127" t="str">
        <f>IF(AA37=0,"",Calculator!$B$5)</f>
        <v/>
      </c>
      <c r="AH37" s="127" t="e">
        <f>(AF37/Calculator!$B$10)*Calculator!$B$9</f>
        <v>#DIV/0!</v>
      </c>
      <c r="AI37" s="126" t="str">
        <f t="shared" si="1"/>
        <v/>
      </c>
    </row>
    <row r="38" spans="1:35" ht="13.8">
      <c r="A38" s="134"/>
      <c r="B38" s="135"/>
      <c r="C38" s="136"/>
      <c r="D38" s="136"/>
      <c r="E38" s="136"/>
      <c r="F38" s="134"/>
      <c r="G38" s="136"/>
      <c r="H38" s="136"/>
      <c r="I38" s="134"/>
      <c r="J38" s="137"/>
      <c r="K38" s="137"/>
      <c r="L38" s="137"/>
      <c r="M38" s="137"/>
      <c r="N38" s="137"/>
      <c r="O38" s="137"/>
      <c r="P38" s="137"/>
      <c r="Q38" s="137"/>
      <c r="R38" s="137"/>
      <c r="S38" s="137"/>
      <c r="T38" s="137"/>
      <c r="U38" s="137"/>
      <c r="V38" s="137"/>
      <c r="W38" s="137"/>
      <c r="X38" s="137"/>
      <c r="Y38" s="137"/>
      <c r="Z38" s="137"/>
      <c r="AA38" s="137"/>
      <c r="AB38" s="136"/>
      <c r="AC38" s="136"/>
      <c r="AD38" s="136"/>
      <c r="AE38" s="136"/>
      <c r="AF38" s="127">
        <f t="shared" si="0"/>
        <v>0</v>
      </c>
      <c r="AG38" s="127" t="str">
        <f>IF(AA38=0,"",Calculator!$B$5)</f>
        <v/>
      </c>
      <c r="AH38" s="127" t="e">
        <f>(AF38/Calculator!$B$10)*Calculator!$B$9</f>
        <v>#DIV/0!</v>
      </c>
      <c r="AI38" s="126" t="str">
        <f t="shared" si="1"/>
        <v/>
      </c>
    </row>
    <row r="39" spans="1:35" ht="13.8">
      <c r="A39" s="134"/>
      <c r="B39" s="135"/>
      <c r="C39" s="136"/>
      <c r="D39" s="136"/>
      <c r="E39" s="136"/>
      <c r="F39" s="134"/>
      <c r="G39" s="136"/>
      <c r="H39" s="136"/>
      <c r="I39" s="134"/>
      <c r="J39" s="137"/>
      <c r="K39" s="137"/>
      <c r="L39" s="137"/>
      <c r="M39" s="137"/>
      <c r="N39" s="137"/>
      <c r="O39" s="137"/>
      <c r="P39" s="137"/>
      <c r="Q39" s="137"/>
      <c r="R39" s="137"/>
      <c r="S39" s="137"/>
      <c r="T39" s="137"/>
      <c r="U39" s="137"/>
      <c r="V39" s="137"/>
      <c r="W39" s="137"/>
      <c r="X39" s="137"/>
      <c r="Y39" s="137"/>
      <c r="Z39" s="137"/>
      <c r="AA39" s="137"/>
      <c r="AB39" s="136"/>
      <c r="AC39" s="136"/>
      <c r="AD39" s="136"/>
      <c r="AE39" s="136"/>
      <c r="AF39" s="127">
        <f t="shared" si="0"/>
        <v>0</v>
      </c>
      <c r="AG39" s="127" t="str">
        <f>IF(AA39=0,"",Calculator!$B$5)</f>
        <v/>
      </c>
      <c r="AH39" s="127" t="e">
        <f>(AF39/Calculator!$B$10)*Calculator!$B$9</f>
        <v>#DIV/0!</v>
      </c>
      <c r="AI39" s="126" t="str">
        <f t="shared" si="1"/>
        <v/>
      </c>
    </row>
    <row r="40" spans="1:35" ht="13.8">
      <c r="A40" s="134"/>
      <c r="B40" s="135"/>
      <c r="C40" s="136"/>
      <c r="D40" s="136"/>
      <c r="E40" s="136"/>
      <c r="F40" s="134"/>
      <c r="G40" s="136"/>
      <c r="H40" s="136"/>
      <c r="I40" s="134"/>
      <c r="J40" s="137"/>
      <c r="K40" s="137"/>
      <c r="L40" s="137"/>
      <c r="M40" s="137"/>
      <c r="N40" s="137"/>
      <c r="O40" s="137"/>
      <c r="P40" s="137"/>
      <c r="Q40" s="137"/>
      <c r="R40" s="137"/>
      <c r="S40" s="137"/>
      <c r="T40" s="137"/>
      <c r="U40" s="137"/>
      <c r="V40" s="137"/>
      <c r="W40" s="137"/>
      <c r="X40" s="137"/>
      <c r="Y40" s="137"/>
      <c r="Z40" s="137"/>
      <c r="AA40" s="137"/>
      <c r="AB40" s="136"/>
      <c r="AC40" s="136"/>
      <c r="AD40" s="136"/>
      <c r="AE40" s="136"/>
      <c r="AF40" s="127">
        <f t="shared" si="0"/>
        <v>0</v>
      </c>
      <c r="AG40" s="127" t="str">
        <f>IF(AA40=0,"",Calculator!$B$5)</f>
        <v/>
      </c>
      <c r="AH40" s="127" t="e">
        <f>(AF40/Calculator!$B$10)*Calculator!$B$9</f>
        <v>#DIV/0!</v>
      </c>
      <c r="AI40" s="126" t="str">
        <f t="shared" si="1"/>
        <v/>
      </c>
    </row>
    <row r="41" spans="1:35" ht="13.8">
      <c r="A41" s="134"/>
      <c r="B41" s="135"/>
      <c r="C41" s="136"/>
      <c r="D41" s="136"/>
      <c r="E41" s="136"/>
      <c r="F41" s="134"/>
      <c r="G41" s="136"/>
      <c r="H41" s="136"/>
      <c r="I41" s="134"/>
      <c r="J41" s="137"/>
      <c r="K41" s="137"/>
      <c r="L41" s="137"/>
      <c r="M41" s="137"/>
      <c r="N41" s="137"/>
      <c r="O41" s="137"/>
      <c r="P41" s="137"/>
      <c r="Q41" s="137"/>
      <c r="R41" s="137"/>
      <c r="S41" s="137"/>
      <c r="T41" s="137"/>
      <c r="U41" s="137"/>
      <c r="V41" s="137"/>
      <c r="W41" s="137"/>
      <c r="X41" s="137"/>
      <c r="Y41" s="137"/>
      <c r="Z41" s="137"/>
      <c r="AA41" s="137"/>
      <c r="AB41" s="136"/>
      <c r="AC41" s="136"/>
      <c r="AD41" s="136"/>
      <c r="AE41" s="136"/>
      <c r="AF41" s="127">
        <f t="shared" si="0"/>
        <v>0</v>
      </c>
      <c r="AG41" s="127" t="str">
        <f>IF(AA41=0,"",Calculator!$B$5)</f>
        <v/>
      </c>
      <c r="AH41" s="127" t="e">
        <f>(AF41/Calculator!$B$10)*Calculator!$B$9</f>
        <v>#DIV/0!</v>
      </c>
      <c r="AI41" s="126" t="str">
        <f t="shared" si="1"/>
        <v/>
      </c>
    </row>
    <row r="42" spans="1:35" ht="13.8">
      <c r="A42" s="134"/>
      <c r="B42" s="135"/>
      <c r="C42" s="136"/>
      <c r="D42" s="136"/>
      <c r="E42" s="136"/>
      <c r="F42" s="134"/>
      <c r="G42" s="136"/>
      <c r="H42" s="136"/>
      <c r="I42" s="134"/>
      <c r="J42" s="137"/>
      <c r="K42" s="137"/>
      <c r="L42" s="137"/>
      <c r="M42" s="137"/>
      <c r="N42" s="137"/>
      <c r="O42" s="137"/>
      <c r="P42" s="137"/>
      <c r="Q42" s="137"/>
      <c r="R42" s="137"/>
      <c r="S42" s="137"/>
      <c r="T42" s="137"/>
      <c r="U42" s="137"/>
      <c r="V42" s="137"/>
      <c r="W42" s="137"/>
      <c r="X42" s="137"/>
      <c r="Y42" s="137"/>
      <c r="Z42" s="137"/>
      <c r="AA42" s="137"/>
      <c r="AB42" s="136"/>
      <c r="AC42" s="136"/>
      <c r="AD42" s="136"/>
      <c r="AE42" s="136"/>
      <c r="AF42" s="127">
        <f t="shared" si="0"/>
        <v>0</v>
      </c>
      <c r="AG42" s="127" t="str">
        <f>IF(AA42=0,"",Calculator!$B$5)</f>
        <v/>
      </c>
      <c r="AH42" s="127" t="e">
        <f>(AF42/Calculator!$B$10)*Calculator!$B$9</f>
        <v>#DIV/0!</v>
      </c>
      <c r="AI42" s="126" t="str">
        <f t="shared" si="1"/>
        <v/>
      </c>
    </row>
    <row r="43" spans="1:35" ht="13.8">
      <c r="A43" s="134"/>
      <c r="B43" s="135"/>
      <c r="C43" s="136"/>
      <c r="D43" s="136"/>
      <c r="E43" s="136"/>
      <c r="F43" s="134"/>
      <c r="G43" s="136"/>
      <c r="H43" s="136"/>
      <c r="I43" s="134"/>
      <c r="J43" s="137"/>
      <c r="K43" s="137"/>
      <c r="L43" s="137"/>
      <c r="M43" s="137"/>
      <c r="N43" s="137"/>
      <c r="O43" s="137"/>
      <c r="P43" s="137"/>
      <c r="Q43" s="137"/>
      <c r="R43" s="137"/>
      <c r="S43" s="137"/>
      <c r="T43" s="137"/>
      <c r="U43" s="137"/>
      <c r="V43" s="137"/>
      <c r="W43" s="137"/>
      <c r="X43" s="137"/>
      <c r="Y43" s="137"/>
      <c r="Z43" s="137"/>
      <c r="AA43" s="137"/>
      <c r="AB43" s="136"/>
      <c r="AC43" s="136"/>
      <c r="AD43" s="136"/>
      <c r="AE43" s="136"/>
      <c r="AF43" s="127">
        <f t="shared" si="0"/>
        <v>0</v>
      </c>
      <c r="AG43" s="127" t="str">
        <f>IF(AA43=0,"",Calculator!$B$5)</f>
        <v/>
      </c>
      <c r="AH43" s="127" t="e">
        <f>(AF43/Calculator!$B$10)*Calculator!$B$9</f>
        <v>#DIV/0!</v>
      </c>
      <c r="AI43" s="126" t="str">
        <f t="shared" si="1"/>
        <v/>
      </c>
    </row>
    <row r="44" spans="1:35" ht="13.8">
      <c r="A44" s="134"/>
      <c r="B44" s="135"/>
      <c r="C44" s="136"/>
      <c r="D44" s="136"/>
      <c r="E44" s="136"/>
      <c r="F44" s="134"/>
      <c r="G44" s="136"/>
      <c r="H44" s="136"/>
      <c r="I44" s="134"/>
      <c r="J44" s="137"/>
      <c r="K44" s="137"/>
      <c r="L44" s="137"/>
      <c r="M44" s="137"/>
      <c r="N44" s="137"/>
      <c r="O44" s="137"/>
      <c r="P44" s="137"/>
      <c r="Q44" s="137"/>
      <c r="R44" s="137"/>
      <c r="S44" s="137"/>
      <c r="T44" s="137"/>
      <c r="U44" s="137"/>
      <c r="V44" s="137"/>
      <c r="W44" s="137"/>
      <c r="X44" s="137"/>
      <c r="Y44" s="137"/>
      <c r="Z44" s="137"/>
      <c r="AA44" s="137"/>
      <c r="AB44" s="136"/>
      <c r="AC44" s="136"/>
      <c r="AD44" s="136"/>
      <c r="AE44" s="136"/>
      <c r="AF44" s="127">
        <f t="shared" si="0"/>
        <v>0</v>
      </c>
      <c r="AG44" s="127" t="str">
        <f>IF(AA44=0,"",Calculator!$B$5)</f>
        <v/>
      </c>
      <c r="AH44" s="127" t="e">
        <f>(AF44/Calculator!$B$10)*Calculator!$B$9</f>
        <v>#DIV/0!</v>
      </c>
      <c r="AI44" s="126" t="str">
        <f t="shared" si="1"/>
        <v/>
      </c>
    </row>
    <row r="45" spans="1:35" ht="13.8">
      <c r="A45" s="134"/>
      <c r="B45" s="135"/>
      <c r="C45" s="136"/>
      <c r="D45" s="136"/>
      <c r="E45" s="136"/>
      <c r="F45" s="134"/>
      <c r="G45" s="136"/>
      <c r="H45" s="136"/>
      <c r="I45" s="134"/>
      <c r="J45" s="137"/>
      <c r="K45" s="137"/>
      <c r="L45" s="137"/>
      <c r="M45" s="137"/>
      <c r="N45" s="137"/>
      <c r="O45" s="137"/>
      <c r="P45" s="137"/>
      <c r="Q45" s="137"/>
      <c r="R45" s="137"/>
      <c r="S45" s="137"/>
      <c r="T45" s="137"/>
      <c r="U45" s="137"/>
      <c r="V45" s="137"/>
      <c r="W45" s="137"/>
      <c r="X45" s="137"/>
      <c r="Y45" s="137"/>
      <c r="Z45" s="137"/>
      <c r="AA45" s="137"/>
      <c r="AB45" s="136"/>
      <c r="AC45" s="136"/>
      <c r="AD45" s="136"/>
      <c r="AE45" s="136"/>
      <c r="AF45" s="127">
        <f t="shared" si="0"/>
        <v>0</v>
      </c>
      <c r="AG45" s="127" t="str">
        <f>IF(AA45=0,"",Calculator!$B$5)</f>
        <v/>
      </c>
      <c r="AH45" s="127" t="e">
        <f>(AF45/Calculator!$B$10)*Calculator!$B$9</f>
        <v>#DIV/0!</v>
      </c>
      <c r="AI45" s="126" t="str">
        <f t="shared" si="1"/>
        <v/>
      </c>
    </row>
    <row r="46" spans="1:35" ht="13.8">
      <c r="A46" s="134"/>
      <c r="B46" s="135"/>
      <c r="C46" s="136"/>
      <c r="D46" s="136"/>
      <c r="E46" s="136"/>
      <c r="F46" s="134"/>
      <c r="G46" s="136"/>
      <c r="H46" s="136"/>
      <c r="I46" s="134"/>
      <c r="J46" s="137"/>
      <c r="K46" s="137"/>
      <c r="L46" s="137"/>
      <c r="M46" s="137"/>
      <c r="N46" s="137"/>
      <c r="O46" s="137"/>
      <c r="P46" s="137"/>
      <c r="Q46" s="137"/>
      <c r="R46" s="137"/>
      <c r="S46" s="137"/>
      <c r="T46" s="137"/>
      <c r="U46" s="137"/>
      <c r="V46" s="137"/>
      <c r="W46" s="137"/>
      <c r="X46" s="137"/>
      <c r="Y46" s="137"/>
      <c r="Z46" s="137"/>
      <c r="AA46" s="137"/>
      <c r="AB46" s="136"/>
      <c r="AC46" s="136"/>
      <c r="AD46" s="136"/>
      <c r="AE46" s="136"/>
      <c r="AF46" s="127">
        <f t="shared" si="0"/>
        <v>0</v>
      </c>
      <c r="AG46" s="127" t="str">
        <f>IF(AA46=0,"",Calculator!$B$5)</f>
        <v/>
      </c>
      <c r="AH46" s="127" t="e">
        <f>(AF46/Calculator!$B$10)*Calculator!$B$9</f>
        <v>#DIV/0!</v>
      </c>
      <c r="AI46" s="126" t="str">
        <f t="shared" si="1"/>
        <v/>
      </c>
    </row>
    <row r="47" spans="1:35" ht="13.8">
      <c r="A47" s="134"/>
      <c r="B47" s="135"/>
      <c r="C47" s="136"/>
      <c r="D47" s="136"/>
      <c r="E47" s="136"/>
      <c r="F47" s="134"/>
      <c r="G47" s="136"/>
      <c r="H47" s="136"/>
      <c r="I47" s="134"/>
      <c r="J47" s="137"/>
      <c r="K47" s="137"/>
      <c r="L47" s="137"/>
      <c r="M47" s="137"/>
      <c r="N47" s="137"/>
      <c r="O47" s="137"/>
      <c r="P47" s="137"/>
      <c r="Q47" s="137"/>
      <c r="R47" s="137"/>
      <c r="S47" s="137"/>
      <c r="T47" s="137"/>
      <c r="U47" s="137"/>
      <c r="V47" s="137"/>
      <c r="W47" s="137"/>
      <c r="X47" s="137"/>
      <c r="Y47" s="137"/>
      <c r="Z47" s="137"/>
      <c r="AA47" s="137"/>
      <c r="AB47" s="136"/>
      <c r="AC47" s="136"/>
      <c r="AD47" s="136"/>
      <c r="AE47" s="136"/>
      <c r="AF47" s="127">
        <f t="shared" si="0"/>
        <v>0</v>
      </c>
      <c r="AG47" s="127" t="str">
        <f>IF(AA47=0,"",Calculator!$B$5)</f>
        <v/>
      </c>
      <c r="AH47" s="127" t="e">
        <f>(AF47/Calculator!$B$10)*Calculator!$B$9</f>
        <v>#DIV/0!</v>
      </c>
      <c r="AI47" s="126" t="str">
        <f t="shared" si="1"/>
        <v/>
      </c>
    </row>
    <row r="48" spans="1:35" ht="13.8">
      <c r="A48" s="134"/>
      <c r="B48" s="135"/>
      <c r="C48" s="136"/>
      <c r="D48" s="136"/>
      <c r="E48" s="136"/>
      <c r="F48" s="134"/>
      <c r="G48" s="136"/>
      <c r="H48" s="136"/>
      <c r="I48" s="134"/>
      <c r="J48" s="137"/>
      <c r="K48" s="137"/>
      <c r="L48" s="137"/>
      <c r="M48" s="137"/>
      <c r="N48" s="137"/>
      <c r="O48" s="137"/>
      <c r="P48" s="137"/>
      <c r="Q48" s="137"/>
      <c r="R48" s="137"/>
      <c r="S48" s="137"/>
      <c r="T48" s="137"/>
      <c r="U48" s="137"/>
      <c r="V48" s="137"/>
      <c r="W48" s="137"/>
      <c r="X48" s="137"/>
      <c r="Y48" s="137"/>
      <c r="Z48" s="137"/>
      <c r="AA48" s="137"/>
      <c r="AB48" s="136"/>
      <c r="AC48" s="136"/>
      <c r="AD48" s="136"/>
      <c r="AE48" s="136"/>
      <c r="AF48" s="127">
        <f t="shared" si="0"/>
        <v>0</v>
      </c>
      <c r="AG48" s="127" t="str">
        <f>IF(AA48=0,"",Calculator!$B$5)</f>
        <v/>
      </c>
      <c r="AH48" s="127" t="e">
        <f>(AF48/Calculator!$B$10)*Calculator!$B$9</f>
        <v>#DIV/0!</v>
      </c>
      <c r="AI48" s="126" t="str">
        <f t="shared" si="1"/>
        <v/>
      </c>
    </row>
    <row r="49" spans="1:35" ht="13.8">
      <c r="A49" s="134"/>
      <c r="B49" s="135"/>
      <c r="C49" s="136"/>
      <c r="D49" s="136"/>
      <c r="E49" s="136"/>
      <c r="F49" s="134"/>
      <c r="G49" s="136"/>
      <c r="H49" s="136"/>
      <c r="I49" s="134"/>
      <c r="J49" s="137"/>
      <c r="K49" s="137"/>
      <c r="L49" s="137"/>
      <c r="M49" s="137"/>
      <c r="N49" s="137"/>
      <c r="O49" s="137"/>
      <c r="P49" s="137"/>
      <c r="Q49" s="137"/>
      <c r="R49" s="137"/>
      <c r="S49" s="137"/>
      <c r="T49" s="137"/>
      <c r="U49" s="137"/>
      <c r="V49" s="137"/>
      <c r="W49" s="137"/>
      <c r="X49" s="137"/>
      <c r="Y49" s="137"/>
      <c r="Z49" s="137"/>
      <c r="AA49" s="137"/>
      <c r="AB49" s="136"/>
      <c r="AC49" s="136"/>
      <c r="AD49" s="136"/>
      <c r="AE49" s="136"/>
      <c r="AF49" s="127">
        <f t="shared" si="0"/>
        <v>0</v>
      </c>
      <c r="AG49" s="127" t="str">
        <f>IF(AA49=0,"",Calculator!$B$5)</f>
        <v/>
      </c>
      <c r="AH49" s="127" t="e">
        <f>(AF49/Calculator!$B$10)*Calculator!$B$9</f>
        <v>#DIV/0!</v>
      </c>
      <c r="AI49" s="126" t="str">
        <f t="shared" si="1"/>
        <v/>
      </c>
    </row>
    <row r="50" spans="1:35" ht="13.8">
      <c r="A50" s="134"/>
      <c r="B50" s="135"/>
      <c r="C50" s="136"/>
      <c r="D50" s="136"/>
      <c r="E50" s="136"/>
      <c r="F50" s="134"/>
      <c r="G50" s="136"/>
      <c r="H50" s="136"/>
      <c r="I50" s="134"/>
      <c r="J50" s="137"/>
      <c r="K50" s="137"/>
      <c r="L50" s="137"/>
      <c r="M50" s="137"/>
      <c r="N50" s="137"/>
      <c r="O50" s="137"/>
      <c r="P50" s="137"/>
      <c r="Q50" s="137"/>
      <c r="R50" s="137"/>
      <c r="S50" s="137"/>
      <c r="T50" s="137"/>
      <c r="U50" s="137"/>
      <c r="V50" s="137"/>
      <c r="W50" s="137"/>
      <c r="X50" s="137"/>
      <c r="Y50" s="137"/>
      <c r="Z50" s="137"/>
      <c r="AA50" s="137"/>
      <c r="AB50" s="136"/>
      <c r="AC50" s="136"/>
      <c r="AD50" s="136"/>
      <c r="AE50" s="136"/>
      <c r="AF50" s="127">
        <f t="shared" si="0"/>
        <v>0</v>
      </c>
      <c r="AG50" s="127" t="str">
        <f>IF(AA50=0,"",Calculator!$B$5)</f>
        <v/>
      </c>
      <c r="AH50" s="127" t="e">
        <f>(AF50/Calculator!$B$10)*Calculator!$B$9</f>
        <v>#DIV/0!</v>
      </c>
      <c r="AI50" s="126" t="str">
        <f t="shared" si="1"/>
        <v/>
      </c>
    </row>
    <row r="51" spans="1:35" ht="13.8">
      <c r="A51" s="134"/>
      <c r="B51" s="135"/>
      <c r="C51" s="136"/>
      <c r="D51" s="136"/>
      <c r="E51" s="136"/>
      <c r="F51" s="134"/>
      <c r="G51" s="136"/>
      <c r="H51" s="136"/>
      <c r="I51" s="134"/>
      <c r="J51" s="137"/>
      <c r="K51" s="137"/>
      <c r="L51" s="137"/>
      <c r="M51" s="137"/>
      <c r="N51" s="137"/>
      <c r="O51" s="137"/>
      <c r="P51" s="137"/>
      <c r="Q51" s="137"/>
      <c r="R51" s="137"/>
      <c r="S51" s="137"/>
      <c r="T51" s="137"/>
      <c r="U51" s="137"/>
      <c r="V51" s="137"/>
      <c r="W51" s="137"/>
      <c r="X51" s="137"/>
      <c r="Y51" s="137"/>
      <c r="Z51" s="137"/>
      <c r="AA51" s="137"/>
      <c r="AB51" s="136"/>
      <c r="AC51" s="136"/>
      <c r="AD51" s="136"/>
      <c r="AE51" s="136"/>
      <c r="AF51" s="127">
        <f t="shared" si="0"/>
        <v>0</v>
      </c>
      <c r="AG51" s="127" t="str">
        <f>IF(AA51=0,"",Calculator!$B$5)</f>
        <v/>
      </c>
      <c r="AH51" s="127" t="e">
        <f>(AF51/Calculator!$B$10)*Calculator!$B$9</f>
        <v>#DIV/0!</v>
      </c>
      <c r="AI51" s="126" t="str">
        <f t="shared" si="1"/>
        <v/>
      </c>
    </row>
    <row r="52" spans="1:35" ht="13.8">
      <c r="A52" s="134"/>
      <c r="B52" s="135"/>
      <c r="C52" s="136"/>
      <c r="D52" s="136"/>
      <c r="E52" s="136"/>
      <c r="F52" s="134"/>
      <c r="G52" s="136"/>
      <c r="H52" s="136"/>
      <c r="I52" s="134"/>
      <c r="J52" s="137"/>
      <c r="K52" s="137"/>
      <c r="L52" s="137"/>
      <c r="M52" s="137"/>
      <c r="N52" s="137"/>
      <c r="O52" s="137"/>
      <c r="P52" s="137"/>
      <c r="Q52" s="137"/>
      <c r="R52" s="137"/>
      <c r="S52" s="137"/>
      <c r="T52" s="137"/>
      <c r="U52" s="137"/>
      <c r="V52" s="137"/>
      <c r="W52" s="137"/>
      <c r="X52" s="137"/>
      <c r="Y52" s="137"/>
      <c r="Z52" s="137"/>
      <c r="AA52" s="137"/>
      <c r="AB52" s="136"/>
      <c r="AC52" s="136"/>
      <c r="AD52" s="136"/>
      <c r="AE52" s="136"/>
      <c r="AF52" s="127">
        <f t="shared" si="0"/>
        <v>0</v>
      </c>
      <c r="AG52" s="127" t="str">
        <f>IF(AA52=0,"",Calculator!$B$5)</f>
        <v/>
      </c>
      <c r="AH52" s="127" t="e">
        <f>(AF52/Calculator!$B$10)*Calculator!$B$9</f>
        <v>#DIV/0!</v>
      </c>
      <c r="AI52" s="126" t="str">
        <f t="shared" si="1"/>
        <v/>
      </c>
    </row>
    <row r="53" spans="1:35" ht="13.8">
      <c r="A53" s="134"/>
      <c r="B53" s="135"/>
      <c r="C53" s="136"/>
      <c r="D53" s="136"/>
      <c r="E53" s="136"/>
      <c r="F53" s="134"/>
      <c r="G53" s="136"/>
      <c r="H53" s="136"/>
      <c r="I53" s="134"/>
      <c r="J53" s="137"/>
      <c r="K53" s="137"/>
      <c r="L53" s="137"/>
      <c r="M53" s="137"/>
      <c r="N53" s="137"/>
      <c r="O53" s="137"/>
      <c r="P53" s="137"/>
      <c r="Q53" s="137"/>
      <c r="R53" s="137"/>
      <c r="S53" s="137"/>
      <c r="T53" s="137"/>
      <c r="U53" s="137"/>
      <c r="V53" s="137"/>
      <c r="W53" s="137"/>
      <c r="X53" s="137"/>
      <c r="Y53" s="137"/>
      <c r="Z53" s="137"/>
      <c r="AA53" s="137"/>
      <c r="AB53" s="136"/>
      <c r="AC53" s="136"/>
      <c r="AD53" s="136"/>
      <c r="AE53" s="136"/>
      <c r="AF53" s="127">
        <f t="shared" si="0"/>
        <v>0</v>
      </c>
      <c r="AG53" s="127" t="str">
        <f>IF(AA53=0,"",Calculator!$B$5)</f>
        <v/>
      </c>
      <c r="AH53" s="127" t="e">
        <f>(AF53/Calculator!$B$10)*Calculator!$B$9</f>
        <v>#DIV/0!</v>
      </c>
      <c r="AI53" s="126" t="str">
        <f t="shared" si="1"/>
        <v/>
      </c>
    </row>
    <row r="54" spans="1:35" ht="13.8">
      <c r="A54" s="134"/>
      <c r="B54" s="135"/>
      <c r="C54" s="136"/>
      <c r="D54" s="136"/>
      <c r="E54" s="136"/>
      <c r="F54" s="134"/>
      <c r="G54" s="136"/>
      <c r="H54" s="136"/>
      <c r="I54" s="134"/>
      <c r="J54" s="137"/>
      <c r="K54" s="137"/>
      <c r="L54" s="137"/>
      <c r="M54" s="137"/>
      <c r="N54" s="137"/>
      <c r="O54" s="137"/>
      <c r="P54" s="137"/>
      <c r="Q54" s="137"/>
      <c r="R54" s="137"/>
      <c r="S54" s="137"/>
      <c r="T54" s="137"/>
      <c r="U54" s="137"/>
      <c r="V54" s="137"/>
      <c r="W54" s="137"/>
      <c r="X54" s="137"/>
      <c r="Y54" s="137"/>
      <c r="Z54" s="137"/>
      <c r="AA54" s="137"/>
      <c r="AB54" s="136"/>
      <c r="AC54" s="136"/>
      <c r="AD54" s="136"/>
      <c r="AE54" s="136"/>
      <c r="AF54" s="127">
        <f t="shared" si="0"/>
        <v>0</v>
      </c>
      <c r="AG54" s="127" t="str">
        <f>IF(AA54=0,"",Calculator!$B$5)</f>
        <v/>
      </c>
      <c r="AH54" s="127" t="e">
        <f>(AF54/Calculator!$B$10)*Calculator!$B$9</f>
        <v>#DIV/0!</v>
      </c>
      <c r="AI54" s="126" t="str">
        <f t="shared" si="1"/>
        <v/>
      </c>
    </row>
    <row r="55" spans="1:35" ht="13.8">
      <c r="A55" s="134"/>
      <c r="B55" s="135"/>
      <c r="C55" s="136"/>
      <c r="D55" s="136"/>
      <c r="E55" s="136"/>
      <c r="F55" s="134"/>
      <c r="G55" s="136"/>
      <c r="H55" s="136"/>
      <c r="I55" s="134"/>
      <c r="J55" s="137"/>
      <c r="K55" s="137"/>
      <c r="L55" s="137"/>
      <c r="M55" s="137"/>
      <c r="N55" s="137"/>
      <c r="O55" s="137"/>
      <c r="P55" s="137"/>
      <c r="Q55" s="137"/>
      <c r="R55" s="137"/>
      <c r="S55" s="137"/>
      <c r="T55" s="137"/>
      <c r="U55" s="137"/>
      <c r="V55" s="137"/>
      <c r="W55" s="137"/>
      <c r="X55" s="137"/>
      <c r="Y55" s="137"/>
      <c r="Z55" s="137"/>
      <c r="AA55" s="137"/>
      <c r="AB55" s="136"/>
      <c r="AC55" s="136"/>
      <c r="AD55" s="136"/>
      <c r="AE55" s="136"/>
      <c r="AF55" s="127">
        <f t="shared" si="0"/>
        <v>0</v>
      </c>
      <c r="AG55" s="127" t="str">
        <f>IF(AA55=0,"",Calculator!$B$5)</f>
        <v/>
      </c>
      <c r="AH55" s="127" t="e">
        <f>(AF55/Calculator!$B$10)*Calculator!$B$9</f>
        <v>#DIV/0!</v>
      </c>
      <c r="AI55" s="126" t="str">
        <f t="shared" si="1"/>
        <v/>
      </c>
    </row>
    <row r="56" spans="1:35" ht="13.8">
      <c r="A56" s="134"/>
      <c r="B56" s="135"/>
      <c r="C56" s="136"/>
      <c r="D56" s="136"/>
      <c r="E56" s="136"/>
      <c r="F56" s="134"/>
      <c r="G56" s="136"/>
      <c r="H56" s="136"/>
      <c r="I56" s="134"/>
      <c r="J56" s="137"/>
      <c r="K56" s="137"/>
      <c r="L56" s="137"/>
      <c r="M56" s="137"/>
      <c r="N56" s="137"/>
      <c r="O56" s="137"/>
      <c r="P56" s="137"/>
      <c r="Q56" s="137"/>
      <c r="R56" s="137"/>
      <c r="S56" s="137"/>
      <c r="T56" s="137"/>
      <c r="U56" s="137"/>
      <c r="V56" s="137"/>
      <c r="W56" s="137"/>
      <c r="X56" s="137"/>
      <c r="Y56" s="137"/>
      <c r="Z56" s="137"/>
      <c r="AA56" s="137"/>
      <c r="AB56" s="136"/>
      <c r="AC56" s="136"/>
      <c r="AD56" s="136"/>
      <c r="AE56" s="136"/>
      <c r="AF56" s="127">
        <f t="shared" si="0"/>
        <v>0</v>
      </c>
      <c r="AG56" s="127" t="str">
        <f>IF(AA56=0,"",Calculator!$B$5)</f>
        <v/>
      </c>
      <c r="AH56" s="127" t="e">
        <f>(AF56/Calculator!$B$10)*Calculator!$B$9</f>
        <v>#DIV/0!</v>
      </c>
      <c r="AI56" s="126" t="str">
        <f t="shared" si="1"/>
        <v/>
      </c>
    </row>
    <row r="57" spans="1:35" ht="13.8">
      <c r="A57" s="134"/>
      <c r="B57" s="135"/>
      <c r="C57" s="136"/>
      <c r="D57" s="136"/>
      <c r="E57" s="136"/>
      <c r="F57" s="134"/>
      <c r="G57" s="136"/>
      <c r="H57" s="136"/>
      <c r="I57" s="134"/>
      <c r="J57" s="137"/>
      <c r="K57" s="137"/>
      <c r="L57" s="137"/>
      <c r="M57" s="137"/>
      <c r="N57" s="137"/>
      <c r="O57" s="137"/>
      <c r="P57" s="137"/>
      <c r="Q57" s="137"/>
      <c r="R57" s="137"/>
      <c r="S57" s="137"/>
      <c r="T57" s="137"/>
      <c r="U57" s="137"/>
      <c r="V57" s="137"/>
      <c r="W57" s="137"/>
      <c r="X57" s="137"/>
      <c r="Y57" s="137"/>
      <c r="Z57" s="137"/>
      <c r="AA57" s="137"/>
      <c r="AB57" s="136"/>
      <c r="AC57" s="136"/>
      <c r="AD57" s="136"/>
      <c r="AE57" s="136"/>
      <c r="AF57" s="127">
        <f t="shared" si="0"/>
        <v>0</v>
      </c>
      <c r="AG57" s="127" t="str">
        <f>IF(AA57=0,"",Calculator!$B$5)</f>
        <v/>
      </c>
      <c r="AH57" s="127" t="e">
        <f>(AF57/Calculator!$B$10)*Calculator!$B$9</f>
        <v>#DIV/0!</v>
      </c>
      <c r="AI57" s="126" t="str">
        <f t="shared" si="1"/>
        <v/>
      </c>
    </row>
    <row r="58" spans="1:35" ht="13.8">
      <c r="A58" s="134"/>
      <c r="B58" s="135"/>
      <c r="C58" s="136"/>
      <c r="D58" s="136"/>
      <c r="E58" s="136"/>
      <c r="F58" s="134"/>
      <c r="G58" s="136"/>
      <c r="H58" s="136"/>
      <c r="I58" s="134"/>
      <c r="J58" s="137"/>
      <c r="K58" s="137"/>
      <c r="L58" s="137"/>
      <c r="M58" s="137"/>
      <c r="N58" s="137"/>
      <c r="O58" s="137"/>
      <c r="P58" s="137"/>
      <c r="Q58" s="137"/>
      <c r="R58" s="137"/>
      <c r="S58" s="137"/>
      <c r="T58" s="137"/>
      <c r="U58" s="137"/>
      <c r="V58" s="137"/>
      <c r="W58" s="137"/>
      <c r="X58" s="137"/>
      <c r="Y58" s="137"/>
      <c r="Z58" s="137"/>
      <c r="AA58" s="137"/>
      <c r="AB58" s="136"/>
      <c r="AC58" s="136"/>
      <c r="AD58" s="136"/>
      <c r="AE58" s="136"/>
      <c r="AF58" s="127">
        <f t="shared" si="0"/>
        <v>0</v>
      </c>
      <c r="AG58" s="127" t="str">
        <f>IF(AA58=0,"",Calculator!$B$5)</f>
        <v/>
      </c>
      <c r="AH58" s="127" t="e">
        <f>(AF58/Calculator!$B$10)*Calculator!$B$9</f>
        <v>#DIV/0!</v>
      </c>
      <c r="AI58" s="126" t="str">
        <f t="shared" si="1"/>
        <v/>
      </c>
    </row>
    <row r="59" spans="1:35" ht="13.8">
      <c r="A59" s="134"/>
      <c r="B59" s="135"/>
      <c r="C59" s="136"/>
      <c r="D59" s="136"/>
      <c r="E59" s="136"/>
      <c r="F59" s="134"/>
      <c r="G59" s="136"/>
      <c r="H59" s="136"/>
      <c r="I59" s="134"/>
      <c r="J59" s="137"/>
      <c r="K59" s="137"/>
      <c r="L59" s="137"/>
      <c r="M59" s="137"/>
      <c r="N59" s="137"/>
      <c r="O59" s="137"/>
      <c r="P59" s="137"/>
      <c r="Q59" s="137"/>
      <c r="R59" s="137"/>
      <c r="S59" s="137"/>
      <c r="T59" s="137"/>
      <c r="U59" s="137"/>
      <c r="V59" s="137"/>
      <c r="W59" s="137"/>
      <c r="X59" s="137"/>
      <c r="Y59" s="137"/>
      <c r="Z59" s="137"/>
      <c r="AA59" s="137"/>
      <c r="AB59" s="136"/>
      <c r="AC59" s="136"/>
      <c r="AD59" s="136"/>
      <c r="AE59" s="136"/>
      <c r="AF59" s="127">
        <f t="shared" si="0"/>
        <v>0</v>
      </c>
      <c r="AG59" s="127" t="str">
        <f>IF(AA59=0,"",Calculator!$B$5)</f>
        <v/>
      </c>
      <c r="AH59" s="127" t="e">
        <f>(AF59/Calculator!$B$10)*Calculator!$B$9</f>
        <v>#DIV/0!</v>
      </c>
      <c r="AI59" s="126" t="str">
        <f t="shared" si="1"/>
        <v/>
      </c>
    </row>
    <row r="60" spans="1:35" ht="13.8">
      <c r="A60" s="134"/>
      <c r="B60" s="135"/>
      <c r="C60" s="136"/>
      <c r="D60" s="136"/>
      <c r="E60" s="136"/>
      <c r="F60" s="134"/>
      <c r="G60" s="136"/>
      <c r="H60" s="136"/>
      <c r="I60" s="134"/>
      <c r="J60" s="137"/>
      <c r="K60" s="137"/>
      <c r="L60" s="137"/>
      <c r="M60" s="137"/>
      <c r="N60" s="137"/>
      <c r="O60" s="137"/>
      <c r="P60" s="137"/>
      <c r="Q60" s="137"/>
      <c r="R60" s="137"/>
      <c r="S60" s="137"/>
      <c r="T60" s="137"/>
      <c r="U60" s="137"/>
      <c r="V60" s="137"/>
      <c r="W60" s="137"/>
      <c r="X60" s="137"/>
      <c r="Y60" s="137"/>
      <c r="Z60" s="137"/>
      <c r="AA60" s="137"/>
      <c r="AB60" s="136"/>
      <c r="AC60" s="136"/>
      <c r="AD60" s="136"/>
      <c r="AE60" s="136"/>
      <c r="AF60" s="127">
        <f t="shared" si="0"/>
        <v>0</v>
      </c>
      <c r="AG60" s="127" t="str">
        <f>IF(AA60=0,"",Calculator!$B$5)</f>
        <v/>
      </c>
      <c r="AH60" s="127" t="e">
        <f>(AF60/Calculator!$B$10)*Calculator!$B$9</f>
        <v>#DIV/0!</v>
      </c>
      <c r="AI60" s="126" t="str">
        <f t="shared" si="1"/>
        <v/>
      </c>
    </row>
    <row r="61" spans="1:35" ht="13.8">
      <c r="A61" s="134"/>
      <c r="B61" s="135"/>
      <c r="C61" s="136"/>
      <c r="D61" s="136"/>
      <c r="E61" s="136"/>
      <c r="F61" s="134"/>
      <c r="G61" s="136"/>
      <c r="H61" s="136"/>
      <c r="I61" s="134"/>
      <c r="J61" s="137"/>
      <c r="K61" s="137"/>
      <c r="L61" s="137"/>
      <c r="M61" s="137"/>
      <c r="N61" s="137"/>
      <c r="O61" s="137"/>
      <c r="P61" s="137"/>
      <c r="Q61" s="137"/>
      <c r="R61" s="137"/>
      <c r="S61" s="137"/>
      <c r="T61" s="137"/>
      <c r="U61" s="137"/>
      <c r="V61" s="137"/>
      <c r="W61" s="137"/>
      <c r="X61" s="137"/>
      <c r="Y61" s="137"/>
      <c r="Z61" s="137"/>
      <c r="AA61" s="137"/>
      <c r="AB61" s="136"/>
      <c r="AC61" s="136"/>
      <c r="AD61" s="136"/>
      <c r="AE61" s="136"/>
      <c r="AF61" s="127">
        <f t="shared" si="0"/>
        <v>0</v>
      </c>
      <c r="AG61" s="127" t="str">
        <f>IF(AA61=0,"",Calculator!$B$5)</f>
        <v/>
      </c>
      <c r="AH61" s="127" t="e">
        <f>(AF61/Calculator!$B$10)*Calculator!$B$9</f>
        <v>#DIV/0!</v>
      </c>
      <c r="AI61" s="126" t="str">
        <f t="shared" si="1"/>
        <v/>
      </c>
    </row>
    <row r="62" spans="1:35" ht="13.8">
      <c r="A62" s="134"/>
      <c r="B62" s="135"/>
      <c r="C62" s="136"/>
      <c r="D62" s="136"/>
      <c r="E62" s="136"/>
      <c r="F62" s="134"/>
      <c r="G62" s="136"/>
      <c r="H62" s="136"/>
      <c r="I62" s="134"/>
      <c r="J62" s="137"/>
      <c r="K62" s="137"/>
      <c r="L62" s="137"/>
      <c r="M62" s="137"/>
      <c r="N62" s="137"/>
      <c r="O62" s="137"/>
      <c r="P62" s="137"/>
      <c r="Q62" s="137"/>
      <c r="R62" s="137"/>
      <c r="S62" s="137"/>
      <c r="T62" s="137"/>
      <c r="U62" s="137"/>
      <c r="V62" s="137"/>
      <c r="W62" s="137"/>
      <c r="X62" s="137"/>
      <c r="Y62" s="137"/>
      <c r="Z62" s="137"/>
      <c r="AA62" s="137"/>
      <c r="AB62" s="136"/>
      <c r="AC62" s="136"/>
      <c r="AD62" s="136"/>
      <c r="AE62" s="136"/>
      <c r="AF62" s="127">
        <f t="shared" si="0"/>
        <v>0</v>
      </c>
      <c r="AG62" s="127" t="str">
        <f>IF(AA62=0,"",Calculator!$B$5)</f>
        <v/>
      </c>
      <c r="AH62" s="127" t="e">
        <f>(AF62/Calculator!$B$10)*Calculator!$B$9</f>
        <v>#DIV/0!</v>
      </c>
      <c r="AI62" s="126" t="str">
        <f t="shared" si="1"/>
        <v/>
      </c>
    </row>
    <row r="63" spans="1:35" ht="13.8">
      <c r="A63" s="134"/>
      <c r="B63" s="135"/>
      <c r="C63" s="136"/>
      <c r="D63" s="136"/>
      <c r="E63" s="136"/>
      <c r="F63" s="134"/>
      <c r="G63" s="136"/>
      <c r="H63" s="136"/>
      <c r="I63" s="134"/>
      <c r="J63" s="137"/>
      <c r="K63" s="137"/>
      <c r="L63" s="137"/>
      <c r="M63" s="137"/>
      <c r="N63" s="137"/>
      <c r="O63" s="137"/>
      <c r="P63" s="137"/>
      <c r="Q63" s="137"/>
      <c r="R63" s="137"/>
      <c r="S63" s="137"/>
      <c r="T63" s="137"/>
      <c r="U63" s="137"/>
      <c r="V63" s="137"/>
      <c r="W63" s="137"/>
      <c r="X63" s="137"/>
      <c r="Y63" s="137"/>
      <c r="Z63" s="137"/>
      <c r="AA63" s="137"/>
      <c r="AB63" s="136"/>
      <c r="AC63" s="136"/>
      <c r="AD63" s="136"/>
      <c r="AE63" s="136"/>
      <c r="AF63" s="127">
        <f t="shared" si="0"/>
        <v>0</v>
      </c>
      <c r="AG63" s="127" t="str">
        <f>IF(AA63=0,"",Calculator!$B$5)</f>
        <v/>
      </c>
      <c r="AH63" s="127" t="e">
        <f>(AF63/Calculator!$B$10)*Calculator!$B$9</f>
        <v>#DIV/0!</v>
      </c>
      <c r="AI63" s="126" t="str">
        <f t="shared" si="1"/>
        <v/>
      </c>
    </row>
    <row r="64" spans="1:35" ht="13.8">
      <c r="A64" s="134"/>
      <c r="B64" s="135"/>
      <c r="C64" s="136"/>
      <c r="D64" s="136"/>
      <c r="E64" s="136"/>
      <c r="F64" s="134"/>
      <c r="G64" s="136"/>
      <c r="H64" s="136"/>
      <c r="I64" s="134"/>
      <c r="J64" s="137"/>
      <c r="K64" s="137"/>
      <c r="L64" s="137"/>
      <c r="M64" s="137"/>
      <c r="N64" s="137"/>
      <c r="O64" s="137"/>
      <c r="P64" s="137"/>
      <c r="Q64" s="137"/>
      <c r="R64" s="137"/>
      <c r="S64" s="137"/>
      <c r="T64" s="137"/>
      <c r="U64" s="137"/>
      <c r="V64" s="137"/>
      <c r="W64" s="137"/>
      <c r="X64" s="137"/>
      <c r="Y64" s="137"/>
      <c r="Z64" s="137"/>
      <c r="AA64" s="137"/>
      <c r="AB64" s="136"/>
      <c r="AC64" s="136"/>
      <c r="AD64" s="136"/>
      <c r="AE64" s="136"/>
      <c r="AF64" s="127">
        <f t="shared" si="0"/>
        <v>0</v>
      </c>
      <c r="AG64" s="127" t="str">
        <f>IF(AA64=0,"",Calculator!$B$5)</f>
        <v/>
      </c>
      <c r="AH64" s="127" t="e">
        <f>(AF64/Calculator!$B$10)*Calculator!$B$9</f>
        <v>#DIV/0!</v>
      </c>
      <c r="AI64" s="126" t="str">
        <f t="shared" si="1"/>
        <v/>
      </c>
    </row>
    <row r="65" spans="1:35" ht="13.8">
      <c r="A65" s="134"/>
      <c r="B65" s="135"/>
      <c r="C65" s="136"/>
      <c r="D65" s="136"/>
      <c r="E65" s="136"/>
      <c r="F65" s="134"/>
      <c r="G65" s="136"/>
      <c r="H65" s="136"/>
      <c r="I65" s="134"/>
      <c r="J65" s="137"/>
      <c r="K65" s="137"/>
      <c r="L65" s="137"/>
      <c r="M65" s="137"/>
      <c r="N65" s="137"/>
      <c r="O65" s="137"/>
      <c r="P65" s="137"/>
      <c r="Q65" s="137"/>
      <c r="R65" s="137"/>
      <c r="S65" s="137"/>
      <c r="T65" s="137"/>
      <c r="U65" s="137"/>
      <c r="V65" s="137"/>
      <c r="W65" s="137"/>
      <c r="X65" s="137"/>
      <c r="Y65" s="137"/>
      <c r="Z65" s="137"/>
      <c r="AA65" s="137"/>
      <c r="AB65" s="136"/>
      <c r="AC65" s="136"/>
      <c r="AD65" s="136"/>
      <c r="AE65" s="136"/>
      <c r="AF65" s="127">
        <f t="shared" si="0"/>
        <v>0</v>
      </c>
      <c r="AG65" s="127" t="str">
        <f>IF(AA65=0,"",Calculator!$B$5)</f>
        <v/>
      </c>
      <c r="AH65" s="127" t="e">
        <f>(AF65/Calculator!$B$10)*Calculator!$B$9</f>
        <v>#DIV/0!</v>
      </c>
      <c r="AI65" s="126" t="str">
        <f t="shared" si="1"/>
        <v/>
      </c>
    </row>
    <row r="66" spans="1:35" ht="13.8">
      <c r="A66" s="134"/>
      <c r="B66" s="135"/>
      <c r="C66" s="136"/>
      <c r="D66" s="136"/>
      <c r="E66" s="136"/>
      <c r="F66" s="134"/>
      <c r="G66" s="136"/>
      <c r="H66" s="136"/>
      <c r="I66" s="134"/>
      <c r="J66" s="137"/>
      <c r="K66" s="137"/>
      <c r="L66" s="137"/>
      <c r="M66" s="137"/>
      <c r="N66" s="137"/>
      <c r="O66" s="137"/>
      <c r="P66" s="137"/>
      <c r="Q66" s="137"/>
      <c r="R66" s="137"/>
      <c r="S66" s="137"/>
      <c r="T66" s="137"/>
      <c r="U66" s="137"/>
      <c r="V66" s="137"/>
      <c r="W66" s="137"/>
      <c r="X66" s="137"/>
      <c r="Y66" s="137"/>
      <c r="Z66" s="137"/>
      <c r="AA66" s="137"/>
      <c r="AB66" s="136"/>
      <c r="AC66" s="136"/>
      <c r="AD66" s="136"/>
      <c r="AE66" s="136"/>
      <c r="AF66" s="127">
        <f t="shared" si="0"/>
        <v>0</v>
      </c>
      <c r="AG66" s="127" t="str">
        <f>IF(AA66=0,"",Calculator!$B$5)</f>
        <v/>
      </c>
      <c r="AH66" s="127" t="e">
        <f>(AF66/Calculator!$B$10)*Calculator!$B$9</f>
        <v>#DIV/0!</v>
      </c>
      <c r="AI66" s="126" t="str">
        <f t="shared" si="1"/>
        <v/>
      </c>
    </row>
    <row r="67" spans="1:35" ht="13.8">
      <c r="A67" s="134"/>
      <c r="B67" s="135"/>
      <c r="C67" s="136"/>
      <c r="D67" s="136"/>
      <c r="E67" s="136"/>
      <c r="F67" s="134"/>
      <c r="G67" s="136"/>
      <c r="H67" s="136"/>
      <c r="I67" s="134"/>
      <c r="J67" s="137"/>
      <c r="K67" s="137"/>
      <c r="L67" s="137"/>
      <c r="M67" s="137"/>
      <c r="N67" s="137"/>
      <c r="O67" s="137"/>
      <c r="P67" s="137"/>
      <c r="Q67" s="137"/>
      <c r="R67" s="137"/>
      <c r="S67" s="137"/>
      <c r="T67" s="137"/>
      <c r="U67" s="137"/>
      <c r="V67" s="137"/>
      <c r="W67" s="137"/>
      <c r="X67" s="137"/>
      <c r="Y67" s="137"/>
      <c r="Z67" s="137"/>
      <c r="AA67" s="137"/>
      <c r="AB67" s="136"/>
      <c r="AC67" s="136"/>
      <c r="AD67" s="136"/>
      <c r="AE67" s="136"/>
      <c r="AF67" s="127">
        <f t="shared" si="0"/>
        <v>0</v>
      </c>
      <c r="AG67" s="127" t="str">
        <f>IF(AA67=0,"",Calculator!$B$5)</f>
        <v/>
      </c>
      <c r="AH67" s="127" t="e">
        <f>(AF67/Calculator!$B$10)*Calculator!$B$9</f>
        <v>#DIV/0!</v>
      </c>
      <c r="AI67" s="126" t="str">
        <f t="shared" si="1"/>
        <v/>
      </c>
    </row>
    <row r="68" spans="1:35" ht="13.8">
      <c r="A68" s="134"/>
      <c r="B68" s="135"/>
      <c r="C68" s="136"/>
      <c r="D68" s="136"/>
      <c r="E68" s="136"/>
      <c r="F68" s="134"/>
      <c r="G68" s="136"/>
      <c r="H68" s="136"/>
      <c r="I68" s="134"/>
      <c r="J68" s="137"/>
      <c r="K68" s="137"/>
      <c r="L68" s="137"/>
      <c r="M68" s="137"/>
      <c r="N68" s="137"/>
      <c r="O68" s="137"/>
      <c r="P68" s="137"/>
      <c r="Q68" s="137"/>
      <c r="R68" s="137"/>
      <c r="S68" s="137"/>
      <c r="T68" s="137"/>
      <c r="U68" s="137"/>
      <c r="V68" s="137"/>
      <c r="W68" s="137"/>
      <c r="X68" s="137"/>
      <c r="Y68" s="137"/>
      <c r="Z68" s="137"/>
      <c r="AA68" s="137"/>
      <c r="AB68" s="136"/>
      <c r="AC68" s="136"/>
      <c r="AD68" s="136"/>
      <c r="AE68" s="136"/>
      <c r="AF68" s="127">
        <f t="shared" si="0"/>
        <v>0</v>
      </c>
      <c r="AG68" s="127" t="str">
        <f>IF(AA68=0,"",Calculator!$B$5)</f>
        <v/>
      </c>
      <c r="AH68" s="127" t="e">
        <f>(AF68/Calculator!$B$10)*Calculator!$B$9</f>
        <v>#DIV/0!</v>
      </c>
      <c r="AI68" s="126" t="str">
        <f t="shared" si="1"/>
        <v/>
      </c>
    </row>
    <row r="69" spans="1:35" ht="13.8">
      <c r="A69" s="134"/>
      <c r="B69" s="135"/>
      <c r="C69" s="136"/>
      <c r="D69" s="136"/>
      <c r="E69" s="136"/>
      <c r="F69" s="134"/>
      <c r="G69" s="136"/>
      <c r="H69" s="136"/>
      <c r="I69" s="134"/>
      <c r="J69" s="137"/>
      <c r="K69" s="137"/>
      <c r="L69" s="137"/>
      <c r="M69" s="137"/>
      <c r="N69" s="137"/>
      <c r="O69" s="137"/>
      <c r="P69" s="137"/>
      <c r="Q69" s="137"/>
      <c r="R69" s="137"/>
      <c r="S69" s="137"/>
      <c r="T69" s="137"/>
      <c r="U69" s="137"/>
      <c r="V69" s="137"/>
      <c r="W69" s="137"/>
      <c r="X69" s="137"/>
      <c r="Y69" s="137"/>
      <c r="Z69" s="137"/>
      <c r="AA69" s="137"/>
      <c r="AB69" s="136"/>
      <c r="AC69" s="136"/>
      <c r="AD69" s="136"/>
      <c r="AE69" s="136"/>
      <c r="AF69" s="127">
        <f t="shared" si="0"/>
        <v>0</v>
      </c>
      <c r="AG69" s="127" t="str">
        <f>IF(AA69=0,"",Calculator!$B$5)</f>
        <v/>
      </c>
      <c r="AH69" s="127" t="e">
        <f>(AF69/Calculator!$B$10)*Calculator!$B$9</f>
        <v>#DIV/0!</v>
      </c>
      <c r="AI69" s="126" t="str">
        <f t="shared" si="1"/>
        <v/>
      </c>
    </row>
    <row r="70" spans="1:35" ht="13.8">
      <c r="A70" s="134"/>
      <c r="B70" s="135"/>
      <c r="C70" s="136"/>
      <c r="D70" s="136"/>
      <c r="E70" s="136"/>
      <c r="F70" s="134"/>
      <c r="G70" s="136"/>
      <c r="H70" s="136"/>
      <c r="I70" s="134"/>
      <c r="J70" s="137"/>
      <c r="K70" s="137"/>
      <c r="L70" s="137"/>
      <c r="M70" s="137"/>
      <c r="N70" s="137"/>
      <c r="O70" s="137"/>
      <c r="P70" s="137"/>
      <c r="Q70" s="137"/>
      <c r="R70" s="137"/>
      <c r="S70" s="137"/>
      <c r="T70" s="137"/>
      <c r="U70" s="137"/>
      <c r="V70" s="137"/>
      <c r="W70" s="137"/>
      <c r="X70" s="137"/>
      <c r="Y70" s="137"/>
      <c r="Z70" s="137"/>
      <c r="AA70" s="137"/>
      <c r="AB70" s="136"/>
      <c r="AC70" s="136"/>
      <c r="AD70" s="136"/>
      <c r="AE70" s="136"/>
      <c r="AF70" s="127">
        <f t="shared" si="0"/>
        <v>0</v>
      </c>
      <c r="AG70" s="127" t="str">
        <f>IF(AA70=0,"",Calculator!$B$5)</f>
        <v/>
      </c>
      <c r="AH70" s="127" t="e">
        <f>(AF70/Calculator!$B$10)*Calculator!$B$9</f>
        <v>#DIV/0!</v>
      </c>
      <c r="AI70" s="126" t="str">
        <f t="shared" si="1"/>
        <v/>
      </c>
    </row>
    <row r="71" spans="1:35" ht="13.8">
      <c r="A71" s="134"/>
      <c r="B71" s="136"/>
      <c r="C71" s="136"/>
      <c r="D71" s="136"/>
      <c r="E71" s="136"/>
      <c r="F71" s="134"/>
      <c r="G71" s="136"/>
      <c r="H71" s="136"/>
      <c r="I71" s="134"/>
      <c r="J71" s="137"/>
      <c r="K71" s="137"/>
      <c r="L71" s="137"/>
      <c r="M71" s="137"/>
      <c r="N71" s="137"/>
      <c r="O71" s="137"/>
      <c r="P71" s="137"/>
      <c r="Q71" s="137"/>
      <c r="R71" s="137"/>
      <c r="S71" s="137"/>
      <c r="T71" s="137"/>
      <c r="U71" s="137"/>
      <c r="V71" s="137"/>
      <c r="W71" s="137"/>
      <c r="X71" s="137"/>
      <c r="Y71" s="137"/>
      <c r="Z71" s="137"/>
      <c r="AA71" s="137"/>
      <c r="AB71" s="136"/>
      <c r="AC71" s="136"/>
      <c r="AD71" s="136"/>
      <c r="AE71" s="136"/>
      <c r="AF71" s="127">
        <f t="shared" si="0"/>
        <v>0</v>
      </c>
      <c r="AG71" s="127" t="str">
        <f>IF(AA71=0,"",Calculator!$B$5)</f>
        <v/>
      </c>
      <c r="AH71" s="127" t="e">
        <f>(AF71/Calculator!$B$10)*Calculator!$B$9</f>
        <v>#DIV/0!</v>
      </c>
      <c r="AI71" s="126" t="str">
        <f t="shared" si="1"/>
        <v/>
      </c>
    </row>
    <row r="72" spans="1:35" ht="13.8">
      <c r="A72" s="134"/>
      <c r="B72" s="135"/>
      <c r="C72" s="136"/>
      <c r="D72" s="136"/>
      <c r="E72" s="136"/>
      <c r="F72" s="134"/>
      <c r="G72" s="136"/>
      <c r="H72" s="136"/>
      <c r="I72" s="134"/>
      <c r="J72" s="137"/>
      <c r="K72" s="137"/>
      <c r="L72" s="137"/>
      <c r="M72" s="137"/>
      <c r="N72" s="137"/>
      <c r="O72" s="137"/>
      <c r="P72" s="137"/>
      <c r="Q72" s="137"/>
      <c r="R72" s="137"/>
      <c r="S72" s="137"/>
      <c r="T72" s="137"/>
      <c r="U72" s="137"/>
      <c r="V72" s="137"/>
      <c r="W72" s="137"/>
      <c r="X72" s="137"/>
      <c r="Y72" s="137"/>
      <c r="Z72" s="137"/>
      <c r="AA72" s="137"/>
      <c r="AB72" s="136"/>
      <c r="AC72" s="136"/>
      <c r="AD72" s="136"/>
      <c r="AE72" s="136"/>
      <c r="AF72" s="127">
        <f t="shared" si="0"/>
        <v>0</v>
      </c>
      <c r="AG72" s="127" t="str">
        <f>IF(AA72=0,"",Calculator!$B$5)</f>
        <v/>
      </c>
      <c r="AH72" s="127" t="e">
        <f>(AF72/Calculator!$B$10)*Calculator!$B$9</f>
        <v>#DIV/0!</v>
      </c>
      <c r="AI72" s="126" t="str">
        <f t="shared" si="1"/>
        <v/>
      </c>
    </row>
    <row r="73" spans="1:35" ht="13.8">
      <c r="A73" s="134"/>
      <c r="B73" s="135"/>
      <c r="C73" s="136"/>
      <c r="D73" s="136"/>
      <c r="E73" s="136"/>
      <c r="F73" s="134"/>
      <c r="G73" s="136"/>
      <c r="H73" s="136"/>
      <c r="I73" s="134"/>
      <c r="J73" s="137"/>
      <c r="K73" s="137"/>
      <c r="L73" s="137"/>
      <c r="M73" s="137"/>
      <c r="N73" s="137"/>
      <c r="O73" s="137"/>
      <c r="P73" s="137"/>
      <c r="Q73" s="137"/>
      <c r="R73" s="137"/>
      <c r="S73" s="137"/>
      <c r="T73" s="137"/>
      <c r="U73" s="137"/>
      <c r="V73" s="137"/>
      <c r="W73" s="137"/>
      <c r="X73" s="137"/>
      <c r="Y73" s="137"/>
      <c r="Z73" s="137"/>
      <c r="AA73" s="137"/>
      <c r="AB73" s="136"/>
      <c r="AC73" s="136"/>
      <c r="AD73" s="136"/>
      <c r="AE73" s="136"/>
      <c r="AF73" s="127">
        <f t="shared" si="0"/>
        <v>0</v>
      </c>
      <c r="AG73" s="127" t="str">
        <f>IF(AA73=0,"",Calculator!$B$5)</f>
        <v/>
      </c>
      <c r="AH73" s="127" t="e">
        <f>(AF73/Calculator!$B$10)*Calculator!$B$9</f>
        <v>#DIV/0!</v>
      </c>
      <c r="AI73" s="126" t="str">
        <f t="shared" si="1"/>
        <v/>
      </c>
    </row>
    <row r="74" spans="1:35" ht="13.8">
      <c r="A74" s="134"/>
      <c r="B74" s="135"/>
      <c r="C74" s="136"/>
      <c r="D74" s="136"/>
      <c r="E74" s="136"/>
      <c r="F74" s="134"/>
      <c r="G74" s="136"/>
      <c r="H74" s="136"/>
      <c r="I74" s="134"/>
      <c r="J74" s="137"/>
      <c r="K74" s="137"/>
      <c r="L74" s="137"/>
      <c r="M74" s="137"/>
      <c r="N74" s="137"/>
      <c r="O74" s="137"/>
      <c r="P74" s="137"/>
      <c r="Q74" s="137"/>
      <c r="R74" s="137"/>
      <c r="S74" s="137"/>
      <c r="T74" s="137"/>
      <c r="U74" s="137"/>
      <c r="V74" s="137"/>
      <c r="W74" s="137"/>
      <c r="X74" s="137"/>
      <c r="Y74" s="137"/>
      <c r="Z74" s="137"/>
      <c r="AA74" s="137"/>
      <c r="AB74" s="136"/>
      <c r="AC74" s="136"/>
      <c r="AD74" s="136"/>
      <c r="AE74" s="136"/>
      <c r="AF74" s="127">
        <f t="shared" ref="AF74:AF137" si="2">IFERROR(AA74*AG74,0)</f>
        <v>0</v>
      </c>
      <c r="AG74" s="127" t="str">
        <f>IF(AA74=0,"",Calculator!$B$5)</f>
        <v/>
      </c>
      <c r="AH74" s="127" t="e">
        <f>(AF74/Calculator!$B$10)*Calculator!$B$9</f>
        <v>#DIV/0!</v>
      </c>
      <c r="AI74" s="126" t="str">
        <f t="shared" ref="AI74:AI137" si="3">IF(ISBLANK(AA74),"","RS Means")</f>
        <v/>
      </c>
    </row>
    <row r="75" spans="1:35" ht="13.8">
      <c r="A75" s="134"/>
      <c r="B75" s="135"/>
      <c r="C75" s="136"/>
      <c r="D75" s="136"/>
      <c r="E75" s="136"/>
      <c r="F75" s="134"/>
      <c r="G75" s="136"/>
      <c r="H75" s="136"/>
      <c r="I75" s="134"/>
      <c r="J75" s="137"/>
      <c r="K75" s="137"/>
      <c r="L75" s="137"/>
      <c r="M75" s="137"/>
      <c r="N75" s="137"/>
      <c r="O75" s="137"/>
      <c r="P75" s="137"/>
      <c r="Q75" s="137"/>
      <c r="R75" s="137"/>
      <c r="S75" s="137"/>
      <c r="T75" s="137"/>
      <c r="U75" s="137"/>
      <c r="V75" s="137"/>
      <c r="W75" s="137"/>
      <c r="X75" s="137"/>
      <c r="Y75" s="137"/>
      <c r="Z75" s="137"/>
      <c r="AA75" s="137"/>
      <c r="AB75" s="136"/>
      <c r="AC75" s="136"/>
      <c r="AD75" s="136"/>
      <c r="AE75" s="136"/>
      <c r="AF75" s="127">
        <f t="shared" si="2"/>
        <v>0</v>
      </c>
      <c r="AG75" s="127" t="str">
        <f>IF(AA75=0,"",Calculator!$B$5)</f>
        <v/>
      </c>
      <c r="AH75" s="127" t="e">
        <f>(AF75/Calculator!$B$10)*Calculator!$B$9</f>
        <v>#DIV/0!</v>
      </c>
      <c r="AI75" s="126" t="str">
        <f t="shared" si="3"/>
        <v/>
      </c>
    </row>
    <row r="76" spans="1:35" ht="13.8">
      <c r="A76" s="134"/>
      <c r="B76" s="135"/>
      <c r="C76" s="136"/>
      <c r="D76" s="136"/>
      <c r="E76" s="136"/>
      <c r="F76" s="134"/>
      <c r="G76" s="136"/>
      <c r="H76" s="136"/>
      <c r="I76" s="134"/>
      <c r="J76" s="137"/>
      <c r="K76" s="137"/>
      <c r="L76" s="137"/>
      <c r="M76" s="137"/>
      <c r="N76" s="137"/>
      <c r="O76" s="137"/>
      <c r="P76" s="137"/>
      <c r="Q76" s="137"/>
      <c r="R76" s="137"/>
      <c r="S76" s="137"/>
      <c r="T76" s="137"/>
      <c r="U76" s="137"/>
      <c r="V76" s="137"/>
      <c r="W76" s="137"/>
      <c r="X76" s="137"/>
      <c r="Y76" s="137"/>
      <c r="Z76" s="137"/>
      <c r="AA76" s="137"/>
      <c r="AB76" s="136"/>
      <c r="AC76" s="136"/>
      <c r="AD76" s="136"/>
      <c r="AE76" s="136"/>
      <c r="AF76" s="127">
        <f t="shared" si="2"/>
        <v>0</v>
      </c>
      <c r="AG76" s="127" t="str">
        <f>IF(AA76=0,"",Calculator!$B$5)</f>
        <v/>
      </c>
      <c r="AH76" s="127" t="e">
        <f>(AF76/Calculator!$B$10)*Calculator!$B$9</f>
        <v>#DIV/0!</v>
      </c>
      <c r="AI76" s="126" t="str">
        <f t="shared" si="3"/>
        <v/>
      </c>
    </row>
    <row r="77" spans="1:35" ht="13.8">
      <c r="A77" s="134"/>
      <c r="B77" s="135"/>
      <c r="C77" s="136"/>
      <c r="D77" s="136"/>
      <c r="E77" s="136"/>
      <c r="F77" s="134"/>
      <c r="G77" s="136"/>
      <c r="H77" s="136"/>
      <c r="I77" s="134"/>
      <c r="J77" s="137"/>
      <c r="K77" s="137"/>
      <c r="L77" s="137"/>
      <c r="M77" s="137"/>
      <c r="N77" s="137"/>
      <c r="O77" s="137"/>
      <c r="P77" s="137"/>
      <c r="Q77" s="137"/>
      <c r="R77" s="137"/>
      <c r="S77" s="137"/>
      <c r="T77" s="137"/>
      <c r="U77" s="137"/>
      <c r="V77" s="137"/>
      <c r="W77" s="137"/>
      <c r="X77" s="137"/>
      <c r="Y77" s="137"/>
      <c r="Z77" s="137"/>
      <c r="AA77" s="137"/>
      <c r="AB77" s="136"/>
      <c r="AC77" s="136"/>
      <c r="AD77" s="136"/>
      <c r="AE77" s="136"/>
      <c r="AF77" s="127">
        <f t="shared" si="2"/>
        <v>0</v>
      </c>
      <c r="AG77" s="127" t="str">
        <f>IF(AA77=0,"",Calculator!$B$5)</f>
        <v/>
      </c>
      <c r="AH77" s="127" t="e">
        <f>(AF77/Calculator!$B$10)*Calculator!$B$9</f>
        <v>#DIV/0!</v>
      </c>
      <c r="AI77" s="126" t="str">
        <f t="shared" si="3"/>
        <v/>
      </c>
    </row>
    <row r="78" spans="1:35" ht="13.8">
      <c r="A78" s="134"/>
      <c r="B78" s="135"/>
      <c r="C78" s="136"/>
      <c r="D78" s="136"/>
      <c r="E78" s="136"/>
      <c r="F78" s="134"/>
      <c r="G78" s="136"/>
      <c r="H78" s="136"/>
      <c r="I78" s="134"/>
      <c r="J78" s="137"/>
      <c r="K78" s="137"/>
      <c r="L78" s="137"/>
      <c r="M78" s="137"/>
      <c r="N78" s="137"/>
      <c r="O78" s="137"/>
      <c r="P78" s="137"/>
      <c r="Q78" s="137"/>
      <c r="R78" s="137"/>
      <c r="S78" s="137"/>
      <c r="T78" s="137"/>
      <c r="U78" s="137"/>
      <c r="V78" s="137"/>
      <c r="W78" s="137"/>
      <c r="X78" s="137"/>
      <c r="Y78" s="137"/>
      <c r="Z78" s="137"/>
      <c r="AA78" s="137"/>
      <c r="AB78" s="136"/>
      <c r="AC78" s="136"/>
      <c r="AD78" s="136"/>
      <c r="AE78" s="136"/>
      <c r="AF78" s="127">
        <f t="shared" si="2"/>
        <v>0</v>
      </c>
      <c r="AG78" s="127" t="str">
        <f>IF(AA78=0,"",Calculator!$B$5)</f>
        <v/>
      </c>
      <c r="AH78" s="127" t="e">
        <f>(AF78/Calculator!$B$10)*Calculator!$B$9</f>
        <v>#DIV/0!</v>
      </c>
      <c r="AI78" s="126" t="str">
        <f t="shared" si="3"/>
        <v/>
      </c>
    </row>
    <row r="79" spans="1:35" ht="13.8">
      <c r="A79" s="134"/>
      <c r="B79" s="135"/>
      <c r="C79" s="136"/>
      <c r="D79" s="136"/>
      <c r="E79" s="136"/>
      <c r="F79" s="134"/>
      <c r="G79" s="136"/>
      <c r="H79" s="136"/>
      <c r="I79" s="134"/>
      <c r="J79" s="137"/>
      <c r="K79" s="137"/>
      <c r="L79" s="137"/>
      <c r="M79" s="137"/>
      <c r="N79" s="137"/>
      <c r="O79" s="137"/>
      <c r="P79" s="137"/>
      <c r="Q79" s="137"/>
      <c r="R79" s="137"/>
      <c r="S79" s="137"/>
      <c r="T79" s="137"/>
      <c r="U79" s="137"/>
      <c r="V79" s="137"/>
      <c r="W79" s="137"/>
      <c r="X79" s="137"/>
      <c r="Y79" s="137"/>
      <c r="Z79" s="137"/>
      <c r="AA79" s="137"/>
      <c r="AB79" s="136"/>
      <c r="AC79" s="136"/>
      <c r="AD79" s="136"/>
      <c r="AE79" s="136"/>
      <c r="AF79" s="127">
        <f t="shared" si="2"/>
        <v>0</v>
      </c>
      <c r="AG79" s="127" t="str">
        <f>IF(AA79=0,"",Calculator!$B$5)</f>
        <v/>
      </c>
      <c r="AH79" s="127" t="e">
        <f>(AF79/Calculator!$B$10)*Calculator!$B$9</f>
        <v>#DIV/0!</v>
      </c>
      <c r="AI79" s="126" t="str">
        <f t="shared" si="3"/>
        <v/>
      </c>
    </row>
    <row r="80" spans="1:35" ht="13.8">
      <c r="A80" s="134"/>
      <c r="B80" s="135"/>
      <c r="C80" s="136"/>
      <c r="D80" s="136"/>
      <c r="E80" s="136"/>
      <c r="F80" s="134"/>
      <c r="G80" s="136"/>
      <c r="H80" s="136"/>
      <c r="I80" s="134"/>
      <c r="J80" s="137"/>
      <c r="K80" s="137"/>
      <c r="L80" s="137"/>
      <c r="M80" s="137"/>
      <c r="N80" s="137"/>
      <c r="O80" s="137"/>
      <c r="P80" s="137"/>
      <c r="Q80" s="137"/>
      <c r="R80" s="137"/>
      <c r="S80" s="137"/>
      <c r="T80" s="137"/>
      <c r="U80" s="137"/>
      <c r="V80" s="137"/>
      <c r="W80" s="137"/>
      <c r="X80" s="137"/>
      <c r="Y80" s="137"/>
      <c r="Z80" s="137"/>
      <c r="AA80" s="137"/>
      <c r="AB80" s="136"/>
      <c r="AC80" s="136"/>
      <c r="AD80" s="136"/>
      <c r="AE80" s="136"/>
      <c r="AF80" s="127">
        <f t="shared" si="2"/>
        <v>0</v>
      </c>
      <c r="AG80" s="127" t="str">
        <f>IF(AA80=0,"",Calculator!$B$5)</f>
        <v/>
      </c>
      <c r="AH80" s="127" t="e">
        <f>(AF80/Calculator!$B$10)*Calculator!$B$9</f>
        <v>#DIV/0!</v>
      </c>
      <c r="AI80" s="126" t="str">
        <f t="shared" si="3"/>
        <v/>
      </c>
    </row>
    <row r="81" spans="1:35" ht="13.8">
      <c r="A81" s="134"/>
      <c r="B81" s="135"/>
      <c r="C81" s="136"/>
      <c r="D81" s="136"/>
      <c r="E81" s="136"/>
      <c r="F81" s="134"/>
      <c r="G81" s="136"/>
      <c r="H81" s="136"/>
      <c r="I81" s="134"/>
      <c r="J81" s="137"/>
      <c r="K81" s="137"/>
      <c r="L81" s="137"/>
      <c r="M81" s="137"/>
      <c r="N81" s="137"/>
      <c r="O81" s="137"/>
      <c r="P81" s="137"/>
      <c r="Q81" s="137"/>
      <c r="R81" s="137"/>
      <c r="S81" s="137"/>
      <c r="T81" s="137"/>
      <c r="U81" s="137"/>
      <c r="V81" s="137"/>
      <c r="W81" s="137"/>
      <c r="X81" s="137"/>
      <c r="Y81" s="137"/>
      <c r="Z81" s="137"/>
      <c r="AA81" s="137"/>
      <c r="AB81" s="136"/>
      <c r="AC81" s="136"/>
      <c r="AD81" s="136"/>
      <c r="AE81" s="136"/>
      <c r="AF81" s="127">
        <f t="shared" si="2"/>
        <v>0</v>
      </c>
      <c r="AG81" s="127" t="str">
        <f>IF(AA81=0,"",Calculator!$B$5)</f>
        <v/>
      </c>
      <c r="AH81" s="127" t="e">
        <f>(AF81/Calculator!$B$10)*Calculator!$B$9</f>
        <v>#DIV/0!</v>
      </c>
      <c r="AI81" s="126" t="str">
        <f t="shared" si="3"/>
        <v/>
      </c>
    </row>
    <row r="82" spans="1:35" ht="13.8">
      <c r="A82" s="134"/>
      <c r="B82" s="135"/>
      <c r="C82" s="136"/>
      <c r="D82" s="136"/>
      <c r="E82" s="136"/>
      <c r="F82" s="134"/>
      <c r="G82" s="136"/>
      <c r="H82" s="136"/>
      <c r="I82" s="134"/>
      <c r="J82" s="137"/>
      <c r="K82" s="137"/>
      <c r="L82" s="137"/>
      <c r="M82" s="137"/>
      <c r="N82" s="137"/>
      <c r="O82" s="137"/>
      <c r="P82" s="137"/>
      <c r="Q82" s="137"/>
      <c r="R82" s="137"/>
      <c r="S82" s="137"/>
      <c r="T82" s="137"/>
      <c r="U82" s="137"/>
      <c r="V82" s="137"/>
      <c r="W82" s="137"/>
      <c r="X82" s="137"/>
      <c r="Y82" s="137"/>
      <c r="Z82" s="137"/>
      <c r="AA82" s="137"/>
      <c r="AB82" s="136"/>
      <c r="AC82" s="136"/>
      <c r="AD82" s="136"/>
      <c r="AE82" s="136"/>
      <c r="AF82" s="127">
        <f t="shared" si="2"/>
        <v>0</v>
      </c>
      <c r="AG82" s="127" t="str">
        <f>IF(AA82=0,"",Calculator!$B$5)</f>
        <v/>
      </c>
      <c r="AH82" s="127" t="e">
        <f>(AF82/Calculator!$B$10)*Calculator!$B$9</f>
        <v>#DIV/0!</v>
      </c>
      <c r="AI82" s="126" t="str">
        <f t="shared" si="3"/>
        <v/>
      </c>
    </row>
    <row r="83" spans="1:35" ht="13.8">
      <c r="A83" s="134"/>
      <c r="B83" s="135"/>
      <c r="C83" s="136"/>
      <c r="D83" s="136"/>
      <c r="E83" s="136"/>
      <c r="F83" s="134"/>
      <c r="G83" s="136"/>
      <c r="H83" s="136"/>
      <c r="I83" s="134"/>
      <c r="J83" s="137"/>
      <c r="K83" s="137"/>
      <c r="L83" s="137"/>
      <c r="M83" s="137"/>
      <c r="N83" s="137"/>
      <c r="O83" s="137"/>
      <c r="P83" s="137"/>
      <c r="Q83" s="137"/>
      <c r="R83" s="137"/>
      <c r="S83" s="137"/>
      <c r="T83" s="137"/>
      <c r="U83" s="137"/>
      <c r="V83" s="137"/>
      <c r="W83" s="137"/>
      <c r="X83" s="137"/>
      <c r="Y83" s="137"/>
      <c r="Z83" s="137"/>
      <c r="AA83" s="137"/>
      <c r="AB83" s="136"/>
      <c r="AC83" s="136"/>
      <c r="AD83" s="136"/>
      <c r="AE83" s="136"/>
      <c r="AF83" s="127">
        <f t="shared" si="2"/>
        <v>0</v>
      </c>
      <c r="AG83" s="127" t="str">
        <f>IF(AA83=0,"",Calculator!$B$5)</f>
        <v/>
      </c>
      <c r="AH83" s="127" t="e">
        <f>(AF83/Calculator!$B$10)*Calculator!$B$9</f>
        <v>#DIV/0!</v>
      </c>
      <c r="AI83" s="126" t="str">
        <f t="shared" si="3"/>
        <v/>
      </c>
    </row>
    <row r="84" spans="1:35" ht="13.8">
      <c r="A84" s="134"/>
      <c r="B84" s="135"/>
      <c r="C84" s="136"/>
      <c r="D84" s="136"/>
      <c r="E84" s="136"/>
      <c r="F84" s="134"/>
      <c r="G84" s="136"/>
      <c r="H84" s="136"/>
      <c r="I84" s="134"/>
      <c r="J84" s="137"/>
      <c r="K84" s="137"/>
      <c r="L84" s="137"/>
      <c r="M84" s="137"/>
      <c r="N84" s="137"/>
      <c r="O84" s="137"/>
      <c r="P84" s="137"/>
      <c r="Q84" s="137"/>
      <c r="R84" s="137"/>
      <c r="S84" s="137"/>
      <c r="T84" s="137"/>
      <c r="U84" s="137"/>
      <c r="V84" s="137"/>
      <c r="W84" s="137"/>
      <c r="X84" s="137"/>
      <c r="Y84" s="137"/>
      <c r="Z84" s="137"/>
      <c r="AA84" s="137"/>
      <c r="AB84" s="136"/>
      <c r="AC84" s="136"/>
      <c r="AD84" s="136"/>
      <c r="AE84" s="136"/>
      <c r="AF84" s="127">
        <f t="shared" si="2"/>
        <v>0</v>
      </c>
      <c r="AG84" s="127" t="str">
        <f>IF(AA84=0,"",Calculator!$B$5)</f>
        <v/>
      </c>
      <c r="AH84" s="127" t="e">
        <f>(AF84/Calculator!$B$10)*Calculator!$B$9</f>
        <v>#DIV/0!</v>
      </c>
      <c r="AI84" s="126" t="str">
        <f t="shared" si="3"/>
        <v/>
      </c>
    </row>
    <row r="85" spans="1:35" ht="13.8">
      <c r="A85" s="134"/>
      <c r="B85" s="135"/>
      <c r="C85" s="136"/>
      <c r="D85" s="136"/>
      <c r="E85" s="136"/>
      <c r="F85" s="134"/>
      <c r="G85" s="136"/>
      <c r="H85" s="136"/>
      <c r="I85" s="134"/>
      <c r="J85" s="137"/>
      <c r="K85" s="137"/>
      <c r="L85" s="137"/>
      <c r="M85" s="137"/>
      <c r="N85" s="137"/>
      <c r="O85" s="137"/>
      <c r="P85" s="137"/>
      <c r="Q85" s="137"/>
      <c r="R85" s="137"/>
      <c r="S85" s="137"/>
      <c r="T85" s="137"/>
      <c r="U85" s="137"/>
      <c r="V85" s="137"/>
      <c r="W85" s="137"/>
      <c r="X85" s="137"/>
      <c r="Y85" s="137"/>
      <c r="Z85" s="137"/>
      <c r="AA85" s="137"/>
      <c r="AB85" s="136"/>
      <c r="AC85" s="136"/>
      <c r="AD85" s="136"/>
      <c r="AE85" s="136"/>
      <c r="AF85" s="127">
        <f t="shared" si="2"/>
        <v>0</v>
      </c>
      <c r="AG85" s="127" t="str">
        <f>IF(AA85=0,"",Calculator!$B$5)</f>
        <v/>
      </c>
      <c r="AH85" s="127" t="e">
        <f>(AF85/Calculator!$B$10)*Calculator!$B$9</f>
        <v>#DIV/0!</v>
      </c>
      <c r="AI85" s="126" t="str">
        <f t="shared" si="3"/>
        <v/>
      </c>
    </row>
    <row r="86" spans="1:35" ht="13.8">
      <c r="A86" s="134"/>
      <c r="B86" s="135"/>
      <c r="C86" s="136"/>
      <c r="D86" s="136"/>
      <c r="E86" s="136"/>
      <c r="F86" s="134"/>
      <c r="G86" s="136"/>
      <c r="H86" s="136"/>
      <c r="I86" s="134"/>
      <c r="J86" s="137"/>
      <c r="K86" s="137"/>
      <c r="L86" s="137"/>
      <c r="M86" s="137"/>
      <c r="N86" s="137"/>
      <c r="O86" s="137"/>
      <c r="P86" s="137"/>
      <c r="Q86" s="137"/>
      <c r="R86" s="137"/>
      <c r="S86" s="137"/>
      <c r="T86" s="137"/>
      <c r="U86" s="137"/>
      <c r="V86" s="137"/>
      <c r="W86" s="137"/>
      <c r="X86" s="137"/>
      <c r="Y86" s="137"/>
      <c r="Z86" s="137"/>
      <c r="AA86" s="137"/>
      <c r="AB86" s="136"/>
      <c r="AC86" s="136"/>
      <c r="AD86" s="136"/>
      <c r="AE86" s="136"/>
      <c r="AF86" s="127">
        <f t="shared" si="2"/>
        <v>0</v>
      </c>
      <c r="AG86" s="127" t="str">
        <f>IF(AA86=0,"",Calculator!$B$5)</f>
        <v/>
      </c>
      <c r="AH86" s="127" t="e">
        <f>(AF86/Calculator!$B$10)*Calculator!$B$9</f>
        <v>#DIV/0!</v>
      </c>
      <c r="AI86" s="126" t="str">
        <f t="shared" si="3"/>
        <v/>
      </c>
    </row>
    <row r="87" spans="1:35" ht="13.8">
      <c r="A87" s="134"/>
      <c r="B87" s="135"/>
      <c r="C87" s="136"/>
      <c r="D87" s="136"/>
      <c r="E87" s="136"/>
      <c r="F87" s="134"/>
      <c r="G87" s="136"/>
      <c r="H87" s="136"/>
      <c r="I87" s="134"/>
      <c r="J87" s="137"/>
      <c r="K87" s="137"/>
      <c r="L87" s="137"/>
      <c r="M87" s="137"/>
      <c r="N87" s="137"/>
      <c r="O87" s="137"/>
      <c r="P87" s="137"/>
      <c r="Q87" s="137"/>
      <c r="R87" s="137"/>
      <c r="S87" s="137"/>
      <c r="T87" s="137"/>
      <c r="U87" s="137"/>
      <c r="V87" s="137"/>
      <c r="W87" s="137"/>
      <c r="X87" s="137"/>
      <c r="Y87" s="137"/>
      <c r="Z87" s="137"/>
      <c r="AA87" s="137"/>
      <c r="AB87" s="136"/>
      <c r="AC87" s="136"/>
      <c r="AD87" s="136"/>
      <c r="AE87" s="136"/>
      <c r="AF87" s="127">
        <f t="shared" si="2"/>
        <v>0</v>
      </c>
      <c r="AG87" s="127" t="str">
        <f>IF(AA87=0,"",Calculator!$B$5)</f>
        <v/>
      </c>
      <c r="AH87" s="127" t="e">
        <f>(AF87/Calculator!$B$10)*Calculator!$B$9</f>
        <v>#DIV/0!</v>
      </c>
      <c r="AI87" s="126" t="str">
        <f t="shared" si="3"/>
        <v/>
      </c>
    </row>
    <row r="88" spans="1:35" ht="13.8">
      <c r="A88" s="134"/>
      <c r="B88" s="135"/>
      <c r="C88" s="136"/>
      <c r="D88" s="136"/>
      <c r="E88" s="136"/>
      <c r="F88" s="134"/>
      <c r="G88" s="136"/>
      <c r="H88" s="136"/>
      <c r="I88" s="134"/>
      <c r="J88" s="137"/>
      <c r="K88" s="137"/>
      <c r="L88" s="137"/>
      <c r="M88" s="137"/>
      <c r="N88" s="137"/>
      <c r="O88" s="137"/>
      <c r="P88" s="137"/>
      <c r="Q88" s="137"/>
      <c r="R88" s="137"/>
      <c r="S88" s="137"/>
      <c r="T88" s="137"/>
      <c r="U88" s="137"/>
      <c r="V88" s="137"/>
      <c r="W88" s="137"/>
      <c r="X88" s="137"/>
      <c r="Y88" s="137"/>
      <c r="Z88" s="137"/>
      <c r="AA88" s="137"/>
      <c r="AB88" s="136"/>
      <c r="AC88" s="136"/>
      <c r="AD88" s="136"/>
      <c r="AE88" s="136"/>
      <c r="AF88" s="127">
        <f t="shared" si="2"/>
        <v>0</v>
      </c>
      <c r="AG88" s="127" t="str">
        <f>IF(AA88=0,"",Calculator!$B$5)</f>
        <v/>
      </c>
      <c r="AH88" s="127" t="e">
        <f>(AF88/Calculator!$B$10)*Calculator!$B$9</f>
        <v>#DIV/0!</v>
      </c>
      <c r="AI88" s="126" t="str">
        <f t="shared" si="3"/>
        <v/>
      </c>
    </row>
    <row r="89" spans="1:35" ht="13.8">
      <c r="A89" s="134"/>
      <c r="B89" s="135"/>
      <c r="C89" s="136"/>
      <c r="D89" s="136"/>
      <c r="E89" s="136"/>
      <c r="F89" s="134"/>
      <c r="G89" s="136"/>
      <c r="H89" s="136"/>
      <c r="I89" s="134"/>
      <c r="J89" s="137"/>
      <c r="K89" s="137"/>
      <c r="L89" s="137"/>
      <c r="M89" s="137"/>
      <c r="N89" s="137"/>
      <c r="O89" s="137"/>
      <c r="P89" s="137"/>
      <c r="Q89" s="137"/>
      <c r="R89" s="137"/>
      <c r="S89" s="137"/>
      <c r="T89" s="137"/>
      <c r="U89" s="137"/>
      <c r="V89" s="137"/>
      <c r="W89" s="137"/>
      <c r="X89" s="137"/>
      <c r="Y89" s="137"/>
      <c r="Z89" s="137"/>
      <c r="AA89" s="137"/>
      <c r="AB89" s="136"/>
      <c r="AC89" s="136"/>
      <c r="AD89" s="136"/>
      <c r="AE89" s="136"/>
      <c r="AF89" s="127">
        <f t="shared" si="2"/>
        <v>0</v>
      </c>
      <c r="AG89" s="127" t="str">
        <f>IF(AA89=0,"",Calculator!$B$5)</f>
        <v/>
      </c>
      <c r="AH89" s="127" t="e">
        <f>(AF89/Calculator!$B$10)*Calculator!$B$9</f>
        <v>#DIV/0!</v>
      </c>
      <c r="AI89" s="126" t="str">
        <f t="shared" si="3"/>
        <v/>
      </c>
    </row>
    <row r="90" spans="1:35" ht="13.8">
      <c r="AF90" s="127">
        <f t="shared" si="2"/>
        <v>0</v>
      </c>
      <c r="AG90" s="127" t="str">
        <f>IF(AA90=0,"",Calculator!$B$5)</f>
        <v/>
      </c>
      <c r="AH90" s="127" t="e">
        <f>(AF90/Calculator!$B$10)*Calculator!$B$9</f>
        <v>#DIV/0!</v>
      </c>
      <c r="AI90" s="126" t="str">
        <f t="shared" si="3"/>
        <v/>
      </c>
    </row>
    <row r="91" spans="1:35" ht="13.8">
      <c r="A91" s="138"/>
      <c r="M91" s="139"/>
      <c r="N91" s="139"/>
      <c r="O91" s="139"/>
      <c r="P91" s="139"/>
      <c r="Q91" s="139"/>
      <c r="R91" s="139"/>
      <c r="S91" s="139"/>
      <c r="T91" s="139"/>
      <c r="U91" s="139"/>
      <c r="V91" s="139"/>
      <c r="W91" s="139"/>
      <c r="X91" s="139"/>
      <c r="Y91" s="139"/>
      <c r="Z91" s="139"/>
      <c r="AA91" s="139"/>
      <c r="AF91" s="127">
        <f t="shared" si="2"/>
        <v>0</v>
      </c>
      <c r="AG91" s="127" t="str">
        <f>IF(AA91=0,"",Calculator!$B$5)</f>
        <v/>
      </c>
      <c r="AH91" s="127" t="e">
        <f>(AF91/Calculator!$B$10)*Calculator!$B$9</f>
        <v>#DIV/0!</v>
      </c>
      <c r="AI91" s="126" t="str">
        <f t="shared" si="3"/>
        <v/>
      </c>
    </row>
    <row r="92" spans="1:35" ht="13.8">
      <c r="AF92" s="127">
        <f t="shared" si="2"/>
        <v>0</v>
      </c>
      <c r="AG92" s="127" t="str">
        <f>IF(AA92=0,"",Calculator!$B$5)</f>
        <v/>
      </c>
      <c r="AH92" s="127" t="e">
        <f>(AF92/Calculator!$B$10)*Calculator!$B$9</f>
        <v>#DIV/0!</v>
      </c>
      <c r="AI92" s="126" t="str">
        <f t="shared" si="3"/>
        <v/>
      </c>
    </row>
    <row r="93" spans="1:35" ht="13.8">
      <c r="A93" s="138"/>
      <c r="M93" s="139"/>
      <c r="N93" s="139"/>
      <c r="O93" s="139"/>
      <c r="P93" s="139"/>
      <c r="Q93" s="139"/>
      <c r="R93" s="139"/>
      <c r="S93" s="139"/>
      <c r="T93" s="139"/>
      <c r="U93" s="139"/>
      <c r="V93" s="139"/>
      <c r="W93" s="139"/>
      <c r="X93" s="139"/>
      <c r="Y93" s="139"/>
      <c r="Z93" s="139"/>
      <c r="AA93" s="139"/>
      <c r="AF93" s="127">
        <f t="shared" si="2"/>
        <v>0</v>
      </c>
      <c r="AG93" s="127" t="str">
        <f>IF(AA93=0,"",Calculator!$B$5)</f>
        <v/>
      </c>
      <c r="AH93" s="127" t="e">
        <f>(AF93/Calculator!$B$10)*Calculator!$B$9</f>
        <v>#DIV/0!</v>
      </c>
      <c r="AI93" s="126" t="str">
        <f t="shared" si="3"/>
        <v/>
      </c>
    </row>
    <row r="94" spans="1:35" ht="13.8">
      <c r="AF94" s="127">
        <f t="shared" si="2"/>
        <v>0</v>
      </c>
      <c r="AG94" s="127" t="str">
        <f>IF(AA94=0,"",Calculator!$B$5)</f>
        <v/>
      </c>
      <c r="AH94" s="127" t="e">
        <f>(AF94/Calculator!$B$10)*Calculator!$B$9</f>
        <v>#DIV/0!</v>
      </c>
      <c r="AI94" s="126" t="str">
        <f t="shared" si="3"/>
        <v/>
      </c>
    </row>
    <row r="95" spans="1:35" ht="13.8">
      <c r="AF95" s="127">
        <f t="shared" si="2"/>
        <v>0</v>
      </c>
      <c r="AG95" s="127" t="str">
        <f>IF(AA95=0,"",Calculator!$B$5)</f>
        <v/>
      </c>
      <c r="AH95" s="127" t="e">
        <f>(AF95/Calculator!$B$10)*Calculator!$B$9</f>
        <v>#DIV/0!</v>
      </c>
      <c r="AI95" s="126" t="str">
        <f t="shared" si="3"/>
        <v/>
      </c>
    </row>
    <row r="96" spans="1:35" ht="13.8">
      <c r="AF96" s="127">
        <f t="shared" si="2"/>
        <v>0</v>
      </c>
      <c r="AG96" s="127" t="str">
        <f>IF(AA96=0,"",Calculator!$B$5)</f>
        <v/>
      </c>
      <c r="AH96" s="127" t="e">
        <f>(AF96/Calculator!$B$10)*Calculator!$B$9</f>
        <v>#DIV/0!</v>
      </c>
      <c r="AI96" s="126" t="str">
        <f t="shared" si="3"/>
        <v/>
      </c>
    </row>
    <row r="97" spans="32:35" ht="13.8">
      <c r="AF97" s="127">
        <f t="shared" si="2"/>
        <v>0</v>
      </c>
      <c r="AG97" s="127" t="str">
        <f>IF(AA97=0,"",Calculator!$B$5)</f>
        <v/>
      </c>
      <c r="AH97" s="127" t="e">
        <f>(AF97/Calculator!$B$10)*Calculator!$B$9</f>
        <v>#DIV/0!</v>
      </c>
      <c r="AI97" s="126" t="str">
        <f t="shared" si="3"/>
        <v/>
      </c>
    </row>
    <row r="98" spans="32:35" ht="13.8">
      <c r="AF98" s="127">
        <f t="shared" si="2"/>
        <v>0</v>
      </c>
      <c r="AG98" s="127" t="str">
        <f>IF(AA98=0,"",Calculator!$B$5)</f>
        <v/>
      </c>
      <c r="AH98" s="127" t="e">
        <f>(AF98/Calculator!$B$10)*Calculator!$B$9</f>
        <v>#DIV/0!</v>
      </c>
      <c r="AI98" s="126" t="str">
        <f t="shared" si="3"/>
        <v/>
      </c>
    </row>
    <row r="99" spans="32:35" ht="13.8">
      <c r="AF99" s="127">
        <f t="shared" si="2"/>
        <v>0</v>
      </c>
      <c r="AG99" s="127" t="str">
        <f>IF(AA99=0,"",Calculator!$B$5)</f>
        <v/>
      </c>
      <c r="AH99" s="127" t="e">
        <f>(AF99/Calculator!$B$10)*Calculator!$B$9</f>
        <v>#DIV/0!</v>
      </c>
      <c r="AI99" s="126" t="str">
        <f t="shared" si="3"/>
        <v/>
      </c>
    </row>
    <row r="100" spans="32:35" ht="13.8">
      <c r="AF100" s="127">
        <f t="shared" si="2"/>
        <v>0</v>
      </c>
      <c r="AG100" s="127" t="str">
        <f>IF(AA100=0,"",Calculator!$B$5)</f>
        <v/>
      </c>
      <c r="AH100" s="127" t="e">
        <f>(AF100/Calculator!$B$10)*Calculator!$B$9</f>
        <v>#DIV/0!</v>
      </c>
      <c r="AI100" s="126" t="str">
        <f t="shared" si="3"/>
        <v/>
      </c>
    </row>
    <row r="101" spans="32:35" ht="13.8">
      <c r="AF101" s="127">
        <f t="shared" si="2"/>
        <v>0</v>
      </c>
      <c r="AG101" s="127" t="str">
        <f>IF(AA101=0,"",Calculator!$B$5)</f>
        <v/>
      </c>
      <c r="AH101" s="127" t="e">
        <f>(AF101/Calculator!$B$10)*Calculator!$B$9</f>
        <v>#DIV/0!</v>
      </c>
      <c r="AI101" s="126" t="str">
        <f t="shared" si="3"/>
        <v/>
      </c>
    </row>
    <row r="102" spans="32:35" ht="13.8">
      <c r="AF102" s="127">
        <f t="shared" si="2"/>
        <v>0</v>
      </c>
      <c r="AG102" s="127" t="str">
        <f>IF(AA102=0,"",Calculator!$B$5)</f>
        <v/>
      </c>
      <c r="AH102" s="127" t="e">
        <f>(AF102/Calculator!$B$10)*Calculator!$B$9</f>
        <v>#DIV/0!</v>
      </c>
      <c r="AI102" s="126" t="str">
        <f t="shared" si="3"/>
        <v/>
      </c>
    </row>
    <row r="103" spans="32:35" ht="13.8">
      <c r="AF103" s="127">
        <f t="shared" si="2"/>
        <v>0</v>
      </c>
      <c r="AG103" s="127" t="str">
        <f>IF(AA103=0,"",Calculator!$B$5)</f>
        <v/>
      </c>
      <c r="AH103" s="127" t="e">
        <f>(AF103/Calculator!$B$10)*Calculator!$B$9</f>
        <v>#DIV/0!</v>
      </c>
      <c r="AI103" s="126" t="str">
        <f t="shared" si="3"/>
        <v/>
      </c>
    </row>
    <row r="104" spans="32:35" ht="13.8">
      <c r="AF104" s="127">
        <f t="shared" si="2"/>
        <v>0</v>
      </c>
      <c r="AG104" s="127" t="str">
        <f>IF(AA104=0,"",Calculator!$B$5)</f>
        <v/>
      </c>
      <c r="AH104" s="127" t="e">
        <f>(AF104/Calculator!$B$10)*Calculator!$B$9</f>
        <v>#DIV/0!</v>
      </c>
      <c r="AI104" s="126" t="str">
        <f t="shared" si="3"/>
        <v/>
      </c>
    </row>
    <row r="105" spans="32:35" ht="13.8">
      <c r="AF105" s="127">
        <f t="shared" si="2"/>
        <v>0</v>
      </c>
      <c r="AG105" s="127" t="str">
        <f>IF(AA105=0,"",Calculator!$B$5)</f>
        <v/>
      </c>
      <c r="AH105" s="127" t="e">
        <f>(AF105/Calculator!$B$10)*Calculator!$B$9</f>
        <v>#DIV/0!</v>
      </c>
      <c r="AI105" s="126" t="str">
        <f t="shared" si="3"/>
        <v/>
      </c>
    </row>
    <row r="106" spans="32:35" ht="13.8">
      <c r="AF106" s="127">
        <f t="shared" si="2"/>
        <v>0</v>
      </c>
      <c r="AG106" s="127" t="str">
        <f>IF(AA106=0,"",Calculator!$B$5)</f>
        <v/>
      </c>
      <c r="AH106" s="127" t="e">
        <f>(AF106/Calculator!$B$10)*Calculator!$B$9</f>
        <v>#DIV/0!</v>
      </c>
      <c r="AI106" s="126" t="str">
        <f t="shared" si="3"/>
        <v/>
      </c>
    </row>
    <row r="107" spans="32:35" ht="13.8">
      <c r="AF107" s="127">
        <f t="shared" si="2"/>
        <v>0</v>
      </c>
      <c r="AG107" s="127" t="str">
        <f>IF(AA107=0,"",Calculator!$B$5)</f>
        <v/>
      </c>
      <c r="AH107" s="127" t="e">
        <f>(AF107/Calculator!$B$10)*Calculator!$B$9</f>
        <v>#DIV/0!</v>
      </c>
      <c r="AI107" s="126" t="str">
        <f t="shared" si="3"/>
        <v/>
      </c>
    </row>
    <row r="108" spans="32:35" ht="13.8">
      <c r="AF108" s="127">
        <f t="shared" si="2"/>
        <v>0</v>
      </c>
      <c r="AG108" s="127" t="str">
        <f>IF(AA108=0,"",Calculator!$B$5)</f>
        <v/>
      </c>
      <c r="AH108" s="127" t="e">
        <f>(AF108/Calculator!$B$10)*Calculator!$B$9</f>
        <v>#DIV/0!</v>
      </c>
      <c r="AI108" s="126" t="str">
        <f t="shared" si="3"/>
        <v/>
      </c>
    </row>
    <row r="109" spans="32:35" ht="13.8">
      <c r="AF109" s="127">
        <f t="shared" si="2"/>
        <v>0</v>
      </c>
      <c r="AG109" s="127" t="str">
        <f>IF(AA109=0,"",Calculator!$B$5)</f>
        <v/>
      </c>
      <c r="AH109" s="127" t="e">
        <f>(AF109/Calculator!$B$10)*Calculator!$B$9</f>
        <v>#DIV/0!</v>
      </c>
      <c r="AI109" s="126" t="str">
        <f t="shared" si="3"/>
        <v/>
      </c>
    </row>
    <row r="110" spans="32:35" ht="13.8">
      <c r="AF110" s="127">
        <f t="shared" si="2"/>
        <v>0</v>
      </c>
      <c r="AG110" s="127" t="str">
        <f>IF(AA110=0,"",Calculator!$B$5)</f>
        <v/>
      </c>
      <c r="AH110" s="127" t="e">
        <f>(AF110/Calculator!$B$10)*Calculator!$B$9</f>
        <v>#DIV/0!</v>
      </c>
      <c r="AI110" s="126" t="str">
        <f t="shared" si="3"/>
        <v/>
      </c>
    </row>
    <row r="111" spans="32:35" ht="13.8">
      <c r="AF111" s="127">
        <f t="shared" si="2"/>
        <v>0</v>
      </c>
      <c r="AG111" s="127" t="str">
        <f>IF(AA111=0,"",Calculator!$B$5)</f>
        <v/>
      </c>
      <c r="AH111" s="127" t="e">
        <f>(AF111/Calculator!$B$10)*Calculator!$B$9</f>
        <v>#DIV/0!</v>
      </c>
      <c r="AI111" s="126" t="str">
        <f t="shared" si="3"/>
        <v/>
      </c>
    </row>
    <row r="112" spans="32:35" ht="13.8">
      <c r="AF112" s="127">
        <f t="shared" si="2"/>
        <v>0</v>
      </c>
      <c r="AG112" s="127" t="str">
        <f>IF(AA112=0,"",Calculator!$B$5)</f>
        <v/>
      </c>
      <c r="AH112" s="127" t="e">
        <f>(AF112/Calculator!$B$10)*Calculator!$B$9</f>
        <v>#DIV/0!</v>
      </c>
      <c r="AI112" s="126" t="str">
        <f t="shared" si="3"/>
        <v/>
      </c>
    </row>
    <row r="113" spans="32:35" ht="13.8">
      <c r="AF113" s="127">
        <f t="shared" si="2"/>
        <v>0</v>
      </c>
      <c r="AG113" s="127" t="str">
        <f>IF(AA113=0,"",Calculator!$B$5)</f>
        <v/>
      </c>
      <c r="AH113" s="127" t="e">
        <f>(AF113/Calculator!$B$10)*Calculator!$B$9</f>
        <v>#DIV/0!</v>
      </c>
      <c r="AI113" s="126" t="str">
        <f t="shared" si="3"/>
        <v/>
      </c>
    </row>
    <row r="114" spans="32:35" ht="13.8">
      <c r="AF114" s="127">
        <f t="shared" si="2"/>
        <v>0</v>
      </c>
      <c r="AG114" s="127" t="str">
        <f>IF(AA114=0,"",Calculator!$B$5)</f>
        <v/>
      </c>
      <c r="AH114" s="127" t="e">
        <f>(AF114/Calculator!$B$10)*Calculator!$B$9</f>
        <v>#DIV/0!</v>
      </c>
      <c r="AI114" s="126" t="str">
        <f t="shared" si="3"/>
        <v/>
      </c>
    </row>
    <row r="115" spans="32:35" ht="13.8">
      <c r="AF115" s="127">
        <f t="shared" si="2"/>
        <v>0</v>
      </c>
      <c r="AG115" s="127" t="str">
        <f>IF(AA115=0,"",Calculator!$B$5)</f>
        <v/>
      </c>
      <c r="AH115" s="127" t="e">
        <f>(AF115/Calculator!$B$10)*Calculator!$B$9</f>
        <v>#DIV/0!</v>
      </c>
      <c r="AI115" s="126" t="str">
        <f t="shared" si="3"/>
        <v/>
      </c>
    </row>
    <row r="116" spans="32:35" ht="13.8">
      <c r="AF116" s="127">
        <f t="shared" si="2"/>
        <v>0</v>
      </c>
      <c r="AG116" s="127" t="str">
        <f>IF(AA116=0,"",Calculator!$B$5)</f>
        <v/>
      </c>
      <c r="AH116" s="127" t="e">
        <f>(AF116/Calculator!$B$10)*Calculator!$B$9</f>
        <v>#DIV/0!</v>
      </c>
      <c r="AI116" s="126" t="str">
        <f t="shared" si="3"/>
        <v/>
      </c>
    </row>
    <row r="117" spans="32:35" ht="13.8">
      <c r="AF117" s="127">
        <f t="shared" si="2"/>
        <v>0</v>
      </c>
      <c r="AG117" s="127" t="str">
        <f>IF(AA117=0,"",Calculator!$B$5)</f>
        <v/>
      </c>
      <c r="AH117" s="127" t="e">
        <f>(AF117/Calculator!$B$10)*Calculator!$B$9</f>
        <v>#DIV/0!</v>
      </c>
      <c r="AI117" s="126" t="str">
        <f t="shared" si="3"/>
        <v/>
      </c>
    </row>
    <row r="118" spans="32:35" ht="13.8">
      <c r="AF118" s="127">
        <f t="shared" si="2"/>
        <v>0</v>
      </c>
      <c r="AG118" s="127" t="str">
        <f>IF(AA118=0,"",Calculator!$B$5)</f>
        <v/>
      </c>
      <c r="AH118" s="127" t="e">
        <f>(AF118/Calculator!$B$10)*Calculator!$B$9</f>
        <v>#DIV/0!</v>
      </c>
      <c r="AI118" s="126" t="str">
        <f t="shared" si="3"/>
        <v/>
      </c>
    </row>
    <row r="119" spans="32:35" ht="13.8">
      <c r="AF119" s="127">
        <f t="shared" si="2"/>
        <v>0</v>
      </c>
      <c r="AG119" s="127" t="str">
        <f>IF(AA119=0,"",Calculator!$B$5)</f>
        <v/>
      </c>
      <c r="AH119" s="127" t="e">
        <f>(AF119/Calculator!$B$10)*Calculator!$B$9</f>
        <v>#DIV/0!</v>
      </c>
      <c r="AI119" s="126" t="str">
        <f t="shared" si="3"/>
        <v/>
      </c>
    </row>
    <row r="120" spans="32:35" ht="13.8">
      <c r="AF120" s="127">
        <f t="shared" si="2"/>
        <v>0</v>
      </c>
      <c r="AG120" s="127" t="str">
        <f>IF(AA120=0,"",Calculator!$B$5)</f>
        <v/>
      </c>
      <c r="AH120" s="127" t="e">
        <f>(AF120/Calculator!$B$10)*Calculator!$B$9</f>
        <v>#DIV/0!</v>
      </c>
      <c r="AI120" s="126" t="str">
        <f t="shared" si="3"/>
        <v/>
      </c>
    </row>
    <row r="121" spans="32:35" ht="13.8">
      <c r="AF121" s="127">
        <f t="shared" si="2"/>
        <v>0</v>
      </c>
      <c r="AG121" s="127" t="str">
        <f>IF(AA121=0,"",Calculator!$B$5)</f>
        <v/>
      </c>
      <c r="AH121" s="127" t="e">
        <f>(AF121/Calculator!$B$10)*Calculator!$B$9</f>
        <v>#DIV/0!</v>
      </c>
      <c r="AI121" s="126" t="str">
        <f t="shared" si="3"/>
        <v/>
      </c>
    </row>
    <row r="122" spans="32:35" ht="13.8">
      <c r="AF122" s="127">
        <f t="shared" si="2"/>
        <v>0</v>
      </c>
      <c r="AG122" s="127" t="str">
        <f>IF(AA122=0,"",Calculator!$B$5)</f>
        <v/>
      </c>
      <c r="AH122" s="127" t="e">
        <f>(AF122/Calculator!$B$10)*Calculator!$B$9</f>
        <v>#DIV/0!</v>
      </c>
      <c r="AI122" s="126" t="str">
        <f t="shared" si="3"/>
        <v/>
      </c>
    </row>
    <row r="123" spans="32:35" ht="13.8">
      <c r="AF123" s="127">
        <f t="shared" si="2"/>
        <v>0</v>
      </c>
      <c r="AG123" s="127" t="str">
        <f>IF(AA123=0,"",Calculator!$B$5)</f>
        <v/>
      </c>
      <c r="AH123" s="127" t="e">
        <f>(AF123/Calculator!$B$10)*Calculator!$B$9</f>
        <v>#DIV/0!</v>
      </c>
      <c r="AI123" s="126" t="str">
        <f t="shared" si="3"/>
        <v/>
      </c>
    </row>
    <row r="124" spans="32:35" ht="13.8">
      <c r="AF124" s="127">
        <f t="shared" si="2"/>
        <v>0</v>
      </c>
      <c r="AG124" s="127" t="str">
        <f>IF(AA124=0,"",Calculator!$B$5)</f>
        <v/>
      </c>
      <c r="AH124" s="127" t="e">
        <f>(AF124/Calculator!$B$10)*Calculator!$B$9</f>
        <v>#DIV/0!</v>
      </c>
      <c r="AI124" s="126" t="str">
        <f t="shared" si="3"/>
        <v/>
      </c>
    </row>
    <row r="125" spans="32:35" ht="13.8">
      <c r="AF125" s="127">
        <f t="shared" si="2"/>
        <v>0</v>
      </c>
      <c r="AG125" s="127" t="str">
        <f>IF(AA125=0,"",Calculator!$B$5)</f>
        <v/>
      </c>
      <c r="AH125" s="127" t="e">
        <f>(AF125/Calculator!$B$10)*Calculator!$B$9</f>
        <v>#DIV/0!</v>
      </c>
      <c r="AI125" s="126" t="str">
        <f t="shared" si="3"/>
        <v/>
      </c>
    </row>
    <row r="126" spans="32:35" ht="13.8">
      <c r="AF126" s="127">
        <f t="shared" si="2"/>
        <v>0</v>
      </c>
      <c r="AG126" s="127" t="str">
        <f>IF(AA126=0,"",Calculator!$B$5)</f>
        <v/>
      </c>
      <c r="AH126" s="127" t="e">
        <f>(AF126/Calculator!$B$10)*Calculator!$B$9</f>
        <v>#DIV/0!</v>
      </c>
      <c r="AI126" s="126" t="str">
        <f t="shared" si="3"/>
        <v/>
      </c>
    </row>
    <row r="127" spans="32:35" ht="13.8">
      <c r="AF127" s="127">
        <f t="shared" si="2"/>
        <v>0</v>
      </c>
      <c r="AG127" s="127" t="str">
        <f>IF(AA127=0,"",Calculator!$B$5)</f>
        <v/>
      </c>
      <c r="AH127" s="127" t="e">
        <f>(AF127/Calculator!$B$10)*Calculator!$B$9</f>
        <v>#DIV/0!</v>
      </c>
      <c r="AI127" s="126" t="str">
        <f t="shared" si="3"/>
        <v/>
      </c>
    </row>
    <row r="128" spans="32:35" ht="13.8">
      <c r="AF128" s="127">
        <f t="shared" si="2"/>
        <v>0</v>
      </c>
      <c r="AG128" s="127" t="str">
        <f>IF(AA128=0,"",Calculator!$B$5)</f>
        <v/>
      </c>
      <c r="AH128" s="127" t="e">
        <f>(AF128/Calculator!$B$10)*Calculator!$B$9</f>
        <v>#DIV/0!</v>
      </c>
      <c r="AI128" s="126" t="str">
        <f t="shared" si="3"/>
        <v/>
      </c>
    </row>
    <row r="129" spans="32:35" ht="13.8">
      <c r="AF129" s="127">
        <f t="shared" si="2"/>
        <v>0</v>
      </c>
      <c r="AG129" s="127" t="str">
        <f>IF(AA129=0,"",Calculator!$B$5)</f>
        <v/>
      </c>
      <c r="AH129" s="127" t="e">
        <f>(AF129/Calculator!$B$10)*Calculator!$B$9</f>
        <v>#DIV/0!</v>
      </c>
      <c r="AI129" s="126" t="str">
        <f t="shared" si="3"/>
        <v/>
      </c>
    </row>
    <row r="130" spans="32:35" ht="13.8">
      <c r="AF130" s="127">
        <f t="shared" si="2"/>
        <v>0</v>
      </c>
      <c r="AG130" s="127" t="str">
        <f>IF(AA130=0,"",Calculator!$B$5)</f>
        <v/>
      </c>
      <c r="AH130" s="127" t="e">
        <f>(AF130/Calculator!$B$10)*Calculator!$B$9</f>
        <v>#DIV/0!</v>
      </c>
      <c r="AI130" s="126" t="str">
        <f t="shared" si="3"/>
        <v/>
      </c>
    </row>
    <row r="131" spans="32:35" ht="13.8">
      <c r="AF131" s="127">
        <f t="shared" si="2"/>
        <v>0</v>
      </c>
      <c r="AG131" s="127" t="str">
        <f>IF(AA131=0,"",Calculator!$B$5)</f>
        <v/>
      </c>
      <c r="AH131" s="127" t="e">
        <f>(AF131/Calculator!$B$10)*Calculator!$B$9</f>
        <v>#DIV/0!</v>
      </c>
      <c r="AI131" s="126" t="str">
        <f t="shared" si="3"/>
        <v/>
      </c>
    </row>
    <row r="132" spans="32:35" ht="13.8">
      <c r="AF132" s="127">
        <f t="shared" si="2"/>
        <v>0</v>
      </c>
      <c r="AG132" s="127" t="str">
        <f>IF(AA132=0,"",Calculator!$B$5)</f>
        <v/>
      </c>
      <c r="AH132" s="127" t="e">
        <f>(AF132/Calculator!$B$10)*Calculator!$B$9</f>
        <v>#DIV/0!</v>
      </c>
      <c r="AI132" s="126" t="str">
        <f t="shared" si="3"/>
        <v/>
      </c>
    </row>
    <row r="133" spans="32:35" ht="13.8">
      <c r="AF133" s="127">
        <f t="shared" si="2"/>
        <v>0</v>
      </c>
      <c r="AG133" s="127" t="str">
        <f>IF(AA133=0,"",Calculator!$B$5)</f>
        <v/>
      </c>
      <c r="AH133" s="127" t="e">
        <f>(AF133/Calculator!$B$10)*Calculator!$B$9</f>
        <v>#DIV/0!</v>
      </c>
      <c r="AI133" s="126" t="str">
        <f t="shared" si="3"/>
        <v/>
      </c>
    </row>
    <row r="134" spans="32:35" ht="13.8">
      <c r="AF134" s="127">
        <f t="shared" si="2"/>
        <v>0</v>
      </c>
      <c r="AG134" s="127" t="str">
        <f>IF(AA134=0,"",Calculator!$B$5)</f>
        <v/>
      </c>
      <c r="AH134" s="127" t="e">
        <f>(AF134/Calculator!$B$10)*Calculator!$B$9</f>
        <v>#DIV/0!</v>
      </c>
      <c r="AI134" s="126" t="str">
        <f t="shared" si="3"/>
        <v/>
      </c>
    </row>
    <row r="135" spans="32:35" ht="13.8">
      <c r="AF135" s="127">
        <f t="shared" si="2"/>
        <v>0</v>
      </c>
      <c r="AG135" s="127" t="str">
        <f>IF(AA135=0,"",Calculator!$B$5)</f>
        <v/>
      </c>
      <c r="AH135" s="127" t="e">
        <f>(AF135/Calculator!$B$10)*Calculator!$B$9</f>
        <v>#DIV/0!</v>
      </c>
      <c r="AI135" s="126" t="str">
        <f t="shared" si="3"/>
        <v/>
      </c>
    </row>
    <row r="136" spans="32:35" ht="13.8">
      <c r="AF136" s="127">
        <f t="shared" si="2"/>
        <v>0</v>
      </c>
      <c r="AG136" s="127" t="str">
        <f>IF(AA136=0,"",Calculator!$B$5)</f>
        <v/>
      </c>
      <c r="AH136" s="127" t="e">
        <f>(AF136/Calculator!$B$10)*Calculator!$B$9</f>
        <v>#DIV/0!</v>
      </c>
      <c r="AI136" s="126" t="str">
        <f t="shared" si="3"/>
        <v/>
      </c>
    </row>
    <row r="137" spans="32:35" ht="13.8">
      <c r="AF137" s="127">
        <f t="shared" si="2"/>
        <v>0</v>
      </c>
      <c r="AG137" s="127" t="str">
        <f>IF(AA137=0,"",Calculator!$B$5)</f>
        <v/>
      </c>
      <c r="AH137" s="127" t="e">
        <f>(AF137/Calculator!$B$10)*Calculator!$B$9</f>
        <v>#DIV/0!</v>
      </c>
      <c r="AI137" s="126" t="str">
        <f t="shared" si="3"/>
        <v/>
      </c>
    </row>
    <row r="138" spans="32:35" ht="13.8">
      <c r="AF138" s="127">
        <f t="shared" ref="AF138:AF201" si="4">IFERROR(AA138*AG138,0)</f>
        <v>0</v>
      </c>
      <c r="AG138" s="127" t="str">
        <f>IF(AA138=0,"",Calculator!$B$5)</f>
        <v/>
      </c>
      <c r="AH138" s="127" t="e">
        <f>(AF138/Calculator!$B$10)*Calculator!$B$9</f>
        <v>#DIV/0!</v>
      </c>
      <c r="AI138" s="126" t="str">
        <f t="shared" ref="AI138:AI201" si="5">IF(ISBLANK(AA138),"","RS Means")</f>
        <v/>
      </c>
    </row>
    <row r="139" spans="32:35" ht="13.8">
      <c r="AF139" s="127">
        <f t="shared" si="4"/>
        <v>0</v>
      </c>
      <c r="AG139" s="127" t="str">
        <f>IF(AA139=0,"",Calculator!$B$5)</f>
        <v/>
      </c>
      <c r="AH139" s="127" t="e">
        <f>(AF139/Calculator!$B$10)*Calculator!$B$9</f>
        <v>#DIV/0!</v>
      </c>
      <c r="AI139" s="126" t="str">
        <f t="shared" si="5"/>
        <v/>
      </c>
    </row>
    <row r="140" spans="32:35" ht="13.8">
      <c r="AF140" s="127">
        <f t="shared" si="4"/>
        <v>0</v>
      </c>
      <c r="AG140" s="127" t="str">
        <f>IF(AA140=0,"",Calculator!$B$5)</f>
        <v/>
      </c>
      <c r="AH140" s="127" t="e">
        <f>(AF140/Calculator!$B$10)*Calculator!$B$9</f>
        <v>#DIV/0!</v>
      </c>
      <c r="AI140" s="126" t="str">
        <f t="shared" si="5"/>
        <v/>
      </c>
    </row>
    <row r="141" spans="32:35" ht="13.8">
      <c r="AF141" s="127">
        <f t="shared" si="4"/>
        <v>0</v>
      </c>
      <c r="AG141" s="127" t="str">
        <f>IF(AA141=0,"",Calculator!$B$5)</f>
        <v/>
      </c>
      <c r="AH141" s="127" t="e">
        <f>(AF141/Calculator!$B$10)*Calculator!$B$9</f>
        <v>#DIV/0!</v>
      </c>
      <c r="AI141" s="126" t="str">
        <f t="shared" si="5"/>
        <v/>
      </c>
    </row>
    <row r="142" spans="32:35" ht="13.8">
      <c r="AF142" s="127">
        <f t="shared" si="4"/>
        <v>0</v>
      </c>
      <c r="AG142" s="127" t="str">
        <f>IF(AA142=0,"",Calculator!$B$5)</f>
        <v/>
      </c>
      <c r="AH142" s="127" t="e">
        <f>(AF142/Calculator!$B$10)*Calculator!$B$9</f>
        <v>#DIV/0!</v>
      </c>
      <c r="AI142" s="126" t="str">
        <f t="shared" si="5"/>
        <v/>
      </c>
    </row>
    <row r="143" spans="32:35" ht="13.8">
      <c r="AF143" s="127">
        <f t="shared" si="4"/>
        <v>0</v>
      </c>
      <c r="AG143" s="127" t="str">
        <f>IF(AA143=0,"",Calculator!$B$5)</f>
        <v/>
      </c>
      <c r="AH143" s="127" t="e">
        <f>(AF143/Calculator!$B$10)*Calculator!$B$9</f>
        <v>#DIV/0!</v>
      </c>
      <c r="AI143" s="126" t="str">
        <f t="shared" si="5"/>
        <v/>
      </c>
    </row>
    <row r="144" spans="32:35" ht="13.8">
      <c r="AF144" s="127">
        <f t="shared" si="4"/>
        <v>0</v>
      </c>
      <c r="AG144" s="127" t="str">
        <f>IF(AA144=0,"",Calculator!$B$5)</f>
        <v/>
      </c>
      <c r="AH144" s="127" t="e">
        <f>(AF144/Calculator!$B$10)*Calculator!$B$9</f>
        <v>#DIV/0!</v>
      </c>
      <c r="AI144" s="126" t="str">
        <f t="shared" si="5"/>
        <v/>
      </c>
    </row>
    <row r="145" spans="32:35" ht="13.8">
      <c r="AF145" s="127">
        <f t="shared" si="4"/>
        <v>0</v>
      </c>
      <c r="AG145" s="127" t="str">
        <f>IF(AA145=0,"",Calculator!$B$5)</f>
        <v/>
      </c>
      <c r="AH145" s="127" t="e">
        <f>(AF145/Calculator!$B$10)*Calculator!$B$9</f>
        <v>#DIV/0!</v>
      </c>
      <c r="AI145" s="126" t="str">
        <f t="shared" si="5"/>
        <v/>
      </c>
    </row>
    <row r="146" spans="32:35" ht="13.8">
      <c r="AF146" s="127">
        <f t="shared" si="4"/>
        <v>0</v>
      </c>
      <c r="AG146" s="127" t="str">
        <f>IF(AA146=0,"",Calculator!$B$5)</f>
        <v/>
      </c>
      <c r="AH146" s="127" t="e">
        <f>(AF146/Calculator!$B$10)*Calculator!$B$9</f>
        <v>#DIV/0!</v>
      </c>
      <c r="AI146" s="126" t="str">
        <f t="shared" si="5"/>
        <v/>
      </c>
    </row>
    <row r="147" spans="32:35" ht="13.8">
      <c r="AF147" s="127">
        <f t="shared" si="4"/>
        <v>0</v>
      </c>
      <c r="AG147" s="127" t="str">
        <f>IF(AA147=0,"",Calculator!$B$5)</f>
        <v/>
      </c>
      <c r="AH147" s="127" t="e">
        <f>(AF147/Calculator!$B$10)*Calculator!$B$9</f>
        <v>#DIV/0!</v>
      </c>
      <c r="AI147" s="126" t="str">
        <f t="shared" si="5"/>
        <v/>
      </c>
    </row>
    <row r="148" spans="32:35" ht="13.8">
      <c r="AF148" s="127">
        <f t="shared" si="4"/>
        <v>0</v>
      </c>
      <c r="AG148" s="127" t="str">
        <f>IF(AA148=0,"",Calculator!$B$5)</f>
        <v/>
      </c>
      <c r="AH148" s="127" t="e">
        <f>(AF148/Calculator!$B$10)*Calculator!$B$9</f>
        <v>#DIV/0!</v>
      </c>
      <c r="AI148" s="126" t="str">
        <f t="shared" si="5"/>
        <v/>
      </c>
    </row>
    <row r="149" spans="32:35" ht="13.8">
      <c r="AF149" s="127">
        <f t="shared" si="4"/>
        <v>0</v>
      </c>
      <c r="AG149" s="127" t="str">
        <f>IF(AA149=0,"",Calculator!$B$5)</f>
        <v/>
      </c>
      <c r="AH149" s="127" t="e">
        <f>(AF149/Calculator!$B$10)*Calculator!$B$9</f>
        <v>#DIV/0!</v>
      </c>
      <c r="AI149" s="126" t="str">
        <f t="shared" si="5"/>
        <v/>
      </c>
    </row>
    <row r="150" spans="32:35" ht="13.8">
      <c r="AF150" s="127">
        <f t="shared" si="4"/>
        <v>0</v>
      </c>
      <c r="AG150" s="127" t="str">
        <f>IF(AA150=0,"",Calculator!$B$5)</f>
        <v/>
      </c>
      <c r="AH150" s="127" t="e">
        <f>(AF150/Calculator!$B$10)*Calculator!$B$9</f>
        <v>#DIV/0!</v>
      </c>
      <c r="AI150" s="126" t="str">
        <f t="shared" si="5"/>
        <v/>
      </c>
    </row>
    <row r="151" spans="32:35" ht="13.8">
      <c r="AF151" s="127">
        <f t="shared" si="4"/>
        <v>0</v>
      </c>
      <c r="AG151" s="127" t="str">
        <f>IF(AA151=0,"",Calculator!$B$5)</f>
        <v/>
      </c>
      <c r="AH151" s="127" t="e">
        <f>(AF151/Calculator!$B$10)*Calculator!$B$9</f>
        <v>#DIV/0!</v>
      </c>
      <c r="AI151" s="126" t="str">
        <f t="shared" si="5"/>
        <v/>
      </c>
    </row>
    <row r="152" spans="32:35" ht="13.8">
      <c r="AF152" s="127">
        <f t="shared" si="4"/>
        <v>0</v>
      </c>
      <c r="AG152" s="127" t="str">
        <f>IF(AA152=0,"",Calculator!$B$5)</f>
        <v/>
      </c>
      <c r="AH152" s="127" t="e">
        <f>(AF152/Calculator!$B$10)*Calculator!$B$9</f>
        <v>#DIV/0!</v>
      </c>
      <c r="AI152" s="126" t="str">
        <f t="shared" si="5"/>
        <v/>
      </c>
    </row>
    <row r="153" spans="32:35" ht="13.8">
      <c r="AF153" s="127">
        <f t="shared" si="4"/>
        <v>0</v>
      </c>
      <c r="AG153" s="127" t="str">
        <f>IF(AA153=0,"",Calculator!$B$5)</f>
        <v/>
      </c>
      <c r="AH153" s="127" t="e">
        <f>(AF153/Calculator!$B$10)*Calculator!$B$9</f>
        <v>#DIV/0!</v>
      </c>
      <c r="AI153" s="126" t="str">
        <f t="shared" si="5"/>
        <v/>
      </c>
    </row>
    <row r="154" spans="32:35" ht="13.8">
      <c r="AF154" s="127">
        <f t="shared" si="4"/>
        <v>0</v>
      </c>
      <c r="AG154" s="127" t="str">
        <f>IF(AA154=0,"",Calculator!$B$5)</f>
        <v/>
      </c>
      <c r="AH154" s="127" t="e">
        <f>(AF154/Calculator!$B$10)*Calculator!$B$9</f>
        <v>#DIV/0!</v>
      </c>
      <c r="AI154" s="126" t="str">
        <f t="shared" si="5"/>
        <v/>
      </c>
    </row>
    <row r="155" spans="32:35" ht="15.75" customHeight="1">
      <c r="AF155" s="127">
        <f t="shared" si="4"/>
        <v>0</v>
      </c>
      <c r="AG155" s="127" t="str">
        <f>IF(AA155=0,"",Calculator!$B$5)</f>
        <v/>
      </c>
      <c r="AH155" s="127" t="e">
        <f>(AF155/Calculator!$B$10)*Calculator!$B$9</f>
        <v>#DIV/0!</v>
      </c>
      <c r="AI155" s="126" t="str">
        <f t="shared" si="5"/>
        <v/>
      </c>
    </row>
    <row r="156" spans="32:35" ht="15.75" customHeight="1">
      <c r="AF156" s="127">
        <f t="shared" si="4"/>
        <v>0</v>
      </c>
      <c r="AG156" s="127" t="str">
        <f>IF(AA156=0,"",Calculator!$B$5)</f>
        <v/>
      </c>
      <c r="AH156" s="127" t="e">
        <f>(AF156/Calculator!$B$10)*Calculator!$B$9</f>
        <v>#DIV/0!</v>
      </c>
      <c r="AI156" s="126" t="str">
        <f t="shared" si="5"/>
        <v/>
      </c>
    </row>
    <row r="157" spans="32:35" ht="15.75" customHeight="1">
      <c r="AF157" s="127">
        <f t="shared" si="4"/>
        <v>0</v>
      </c>
      <c r="AG157" s="127" t="str">
        <f>IF(AA157=0,"",Calculator!$B$5)</f>
        <v/>
      </c>
      <c r="AH157" s="127" t="e">
        <f>(AF157/Calculator!$B$10)*Calculator!$B$9</f>
        <v>#DIV/0!</v>
      </c>
      <c r="AI157" s="126" t="str">
        <f t="shared" si="5"/>
        <v/>
      </c>
    </row>
    <row r="158" spans="32:35" ht="15.75" customHeight="1">
      <c r="AF158" s="127">
        <f t="shared" si="4"/>
        <v>0</v>
      </c>
      <c r="AG158" s="127" t="str">
        <f>IF(AA158=0,"",Calculator!$B$5)</f>
        <v/>
      </c>
      <c r="AH158" s="127" t="e">
        <f>(AF158/Calculator!$B$10)*Calculator!$B$9</f>
        <v>#DIV/0!</v>
      </c>
      <c r="AI158" s="126" t="str">
        <f t="shared" si="5"/>
        <v/>
      </c>
    </row>
    <row r="159" spans="32:35" ht="15.75" customHeight="1">
      <c r="AF159" s="127">
        <f t="shared" si="4"/>
        <v>0</v>
      </c>
      <c r="AG159" s="127" t="str">
        <f>IF(AA159=0,"",Calculator!$B$5)</f>
        <v/>
      </c>
      <c r="AH159" s="127" t="e">
        <f>(AF159/Calculator!$B$10)*Calculator!$B$9</f>
        <v>#DIV/0!</v>
      </c>
      <c r="AI159" s="126" t="str">
        <f t="shared" si="5"/>
        <v/>
      </c>
    </row>
    <row r="160" spans="32:35" ht="15.75" customHeight="1">
      <c r="AF160" s="127">
        <f t="shared" si="4"/>
        <v>0</v>
      </c>
      <c r="AG160" s="127" t="str">
        <f>IF(AA160=0,"",Calculator!$B$5)</f>
        <v/>
      </c>
      <c r="AH160" s="127" t="e">
        <f>(AF160/Calculator!$B$10)*Calculator!$B$9</f>
        <v>#DIV/0!</v>
      </c>
      <c r="AI160" s="126" t="str">
        <f t="shared" si="5"/>
        <v/>
      </c>
    </row>
    <row r="161" spans="32:35" ht="15.75" customHeight="1">
      <c r="AF161" s="127">
        <f t="shared" si="4"/>
        <v>0</v>
      </c>
      <c r="AG161" s="127" t="str">
        <f>IF(AA161=0,"",Calculator!$B$5)</f>
        <v/>
      </c>
      <c r="AH161" s="127" t="e">
        <f>(AF161/Calculator!$B$10)*Calculator!$B$9</f>
        <v>#DIV/0!</v>
      </c>
      <c r="AI161" s="126" t="str">
        <f t="shared" si="5"/>
        <v/>
      </c>
    </row>
    <row r="162" spans="32:35" ht="15.75" customHeight="1">
      <c r="AF162" s="127">
        <f t="shared" si="4"/>
        <v>0</v>
      </c>
      <c r="AG162" s="127" t="str">
        <f>IF(AA162=0,"",Calculator!$B$5)</f>
        <v/>
      </c>
      <c r="AH162" s="127" t="e">
        <f>(AF162/Calculator!$B$10)*Calculator!$B$9</f>
        <v>#DIV/0!</v>
      </c>
      <c r="AI162" s="126" t="str">
        <f t="shared" si="5"/>
        <v/>
      </c>
    </row>
    <row r="163" spans="32:35" ht="15.75" customHeight="1">
      <c r="AF163" s="127">
        <f t="shared" si="4"/>
        <v>0</v>
      </c>
      <c r="AG163" s="127" t="str">
        <f>IF(AA163=0,"",Calculator!$B$5)</f>
        <v/>
      </c>
      <c r="AH163" s="127" t="e">
        <f>(AF163/Calculator!$B$10)*Calculator!$B$9</f>
        <v>#DIV/0!</v>
      </c>
      <c r="AI163" s="126" t="str">
        <f t="shared" si="5"/>
        <v/>
      </c>
    </row>
    <row r="164" spans="32:35" ht="15.75" customHeight="1">
      <c r="AF164" s="127">
        <f t="shared" si="4"/>
        <v>0</v>
      </c>
      <c r="AG164" s="127" t="str">
        <f>IF(AA164=0,"",Calculator!$B$5)</f>
        <v/>
      </c>
      <c r="AH164" s="127" t="e">
        <f>(AF164/Calculator!$B$10)*Calculator!$B$9</f>
        <v>#DIV/0!</v>
      </c>
      <c r="AI164" s="126" t="str">
        <f t="shared" si="5"/>
        <v/>
      </c>
    </row>
    <row r="165" spans="32:35" ht="15.75" customHeight="1">
      <c r="AF165" s="127">
        <f t="shared" si="4"/>
        <v>0</v>
      </c>
      <c r="AG165" s="127" t="str">
        <f>IF(AA165=0,"",Calculator!$B$5)</f>
        <v/>
      </c>
      <c r="AH165" s="127" t="e">
        <f>(AF165/Calculator!$B$10)*Calculator!$B$9</f>
        <v>#DIV/0!</v>
      </c>
      <c r="AI165" s="126" t="str">
        <f t="shared" si="5"/>
        <v/>
      </c>
    </row>
    <row r="166" spans="32:35" ht="15.75" customHeight="1">
      <c r="AF166" s="127">
        <f t="shared" si="4"/>
        <v>0</v>
      </c>
      <c r="AG166" s="127" t="str">
        <f>IF(AA166=0,"",Calculator!$B$5)</f>
        <v/>
      </c>
      <c r="AH166" s="127" t="e">
        <f>(AF166/Calculator!$B$10)*Calculator!$B$9</f>
        <v>#DIV/0!</v>
      </c>
      <c r="AI166" s="126" t="str">
        <f t="shared" si="5"/>
        <v/>
      </c>
    </row>
    <row r="167" spans="32:35" ht="15.75" customHeight="1">
      <c r="AF167" s="127">
        <f t="shared" si="4"/>
        <v>0</v>
      </c>
      <c r="AG167" s="127" t="str">
        <f>IF(AA167=0,"",Calculator!$B$5)</f>
        <v/>
      </c>
      <c r="AH167" s="127" t="e">
        <f>(AF167/Calculator!$B$10)*Calculator!$B$9</f>
        <v>#DIV/0!</v>
      </c>
      <c r="AI167" s="126" t="str">
        <f t="shared" si="5"/>
        <v/>
      </c>
    </row>
    <row r="168" spans="32:35" ht="15.75" customHeight="1">
      <c r="AF168" s="127">
        <f t="shared" si="4"/>
        <v>0</v>
      </c>
      <c r="AG168" s="127" t="str">
        <f>IF(AA168=0,"",Calculator!$B$5)</f>
        <v/>
      </c>
      <c r="AH168" s="127" t="e">
        <f>(AF168/Calculator!$B$10)*Calculator!$B$9</f>
        <v>#DIV/0!</v>
      </c>
      <c r="AI168" s="126" t="str">
        <f t="shared" si="5"/>
        <v/>
      </c>
    </row>
    <row r="169" spans="32:35" ht="15.75" customHeight="1">
      <c r="AF169" s="127">
        <f t="shared" si="4"/>
        <v>0</v>
      </c>
      <c r="AG169" s="127" t="str">
        <f>IF(AA169=0,"",Calculator!$B$5)</f>
        <v/>
      </c>
      <c r="AH169" s="127" t="e">
        <f>(AF169/Calculator!$B$10)*Calculator!$B$9</f>
        <v>#DIV/0!</v>
      </c>
      <c r="AI169" s="126" t="str">
        <f t="shared" si="5"/>
        <v/>
      </c>
    </row>
    <row r="170" spans="32:35" ht="15.75" customHeight="1">
      <c r="AF170" s="127">
        <f t="shared" si="4"/>
        <v>0</v>
      </c>
      <c r="AG170" s="127" t="str">
        <f>IF(AA170=0,"",Calculator!$B$5)</f>
        <v/>
      </c>
      <c r="AH170" s="127" t="e">
        <f>(AF170/Calculator!$B$10)*Calculator!$B$9</f>
        <v>#DIV/0!</v>
      </c>
      <c r="AI170" s="126" t="str">
        <f t="shared" si="5"/>
        <v/>
      </c>
    </row>
    <row r="171" spans="32:35" ht="15.75" customHeight="1">
      <c r="AF171" s="127">
        <f t="shared" si="4"/>
        <v>0</v>
      </c>
      <c r="AG171" s="127" t="str">
        <f>IF(AA171=0,"",Calculator!$B$5)</f>
        <v/>
      </c>
      <c r="AH171" s="127" t="e">
        <f>(AF171/Calculator!$B$10)*Calculator!$B$9</f>
        <v>#DIV/0!</v>
      </c>
      <c r="AI171" s="126" t="str">
        <f t="shared" si="5"/>
        <v/>
      </c>
    </row>
    <row r="172" spans="32:35" ht="15.75" customHeight="1">
      <c r="AF172" s="127">
        <f t="shared" si="4"/>
        <v>0</v>
      </c>
      <c r="AG172" s="127" t="str">
        <f>IF(AA172=0,"",Calculator!$B$5)</f>
        <v/>
      </c>
      <c r="AH172" s="127" t="e">
        <f>(AF172/Calculator!$B$10)*Calculator!$B$9</f>
        <v>#DIV/0!</v>
      </c>
      <c r="AI172" s="126" t="str">
        <f t="shared" si="5"/>
        <v/>
      </c>
    </row>
    <row r="173" spans="32:35" ht="15.75" customHeight="1">
      <c r="AF173" s="127">
        <f t="shared" si="4"/>
        <v>0</v>
      </c>
      <c r="AG173" s="127" t="str">
        <f>IF(AA173=0,"",Calculator!$B$5)</f>
        <v/>
      </c>
      <c r="AH173" s="127" t="e">
        <f>(AF173/Calculator!$B$10)*Calculator!$B$9</f>
        <v>#DIV/0!</v>
      </c>
      <c r="AI173" s="126" t="str">
        <f t="shared" si="5"/>
        <v/>
      </c>
    </row>
    <row r="174" spans="32:35" ht="15.75" customHeight="1">
      <c r="AF174" s="127">
        <f t="shared" si="4"/>
        <v>0</v>
      </c>
      <c r="AG174" s="127" t="str">
        <f>IF(AA174=0,"",Calculator!$B$5)</f>
        <v/>
      </c>
      <c r="AH174" s="127" t="e">
        <f>(AF174/Calculator!$B$10)*Calculator!$B$9</f>
        <v>#DIV/0!</v>
      </c>
      <c r="AI174" s="126" t="str">
        <f t="shared" si="5"/>
        <v/>
      </c>
    </row>
    <row r="175" spans="32:35" ht="15.75" customHeight="1">
      <c r="AF175" s="127">
        <f t="shared" si="4"/>
        <v>0</v>
      </c>
      <c r="AG175" s="127" t="str">
        <f>IF(AA175=0,"",Calculator!$B$5)</f>
        <v/>
      </c>
      <c r="AH175" s="127" t="e">
        <f>(AF175/Calculator!$B$10)*Calculator!$B$9</f>
        <v>#DIV/0!</v>
      </c>
      <c r="AI175" s="126" t="str">
        <f t="shared" si="5"/>
        <v/>
      </c>
    </row>
    <row r="176" spans="32:35" ht="15.75" customHeight="1">
      <c r="AF176" s="127">
        <f t="shared" si="4"/>
        <v>0</v>
      </c>
      <c r="AG176" s="127" t="str">
        <f>IF(AA176=0,"",Calculator!$B$5)</f>
        <v/>
      </c>
      <c r="AH176" s="127" t="e">
        <f>(AF176/Calculator!$B$10)*Calculator!$B$9</f>
        <v>#DIV/0!</v>
      </c>
      <c r="AI176" s="126" t="str">
        <f t="shared" si="5"/>
        <v/>
      </c>
    </row>
    <row r="177" spans="32:35" ht="15.75" customHeight="1">
      <c r="AF177" s="127">
        <f t="shared" si="4"/>
        <v>0</v>
      </c>
      <c r="AG177" s="127" t="str">
        <f>IF(AA177=0,"",Calculator!$B$5)</f>
        <v/>
      </c>
      <c r="AH177" s="127" t="e">
        <f>(AF177/Calculator!$B$10)*Calculator!$B$9</f>
        <v>#DIV/0!</v>
      </c>
      <c r="AI177" s="126" t="str">
        <f t="shared" si="5"/>
        <v/>
      </c>
    </row>
    <row r="178" spans="32:35" ht="15.75" customHeight="1">
      <c r="AF178" s="127">
        <f t="shared" si="4"/>
        <v>0</v>
      </c>
      <c r="AG178" s="127" t="str">
        <f>IF(AA178=0,"",Calculator!$B$5)</f>
        <v/>
      </c>
      <c r="AH178" s="127" t="e">
        <f>(AF178/Calculator!$B$10)*Calculator!$B$9</f>
        <v>#DIV/0!</v>
      </c>
      <c r="AI178" s="126" t="str">
        <f t="shared" si="5"/>
        <v/>
      </c>
    </row>
    <row r="179" spans="32:35" ht="15.75" customHeight="1">
      <c r="AF179" s="127">
        <f t="shared" si="4"/>
        <v>0</v>
      </c>
      <c r="AG179" s="127" t="str">
        <f>IF(AA179=0,"",Calculator!$B$5)</f>
        <v/>
      </c>
      <c r="AH179" s="127" t="e">
        <f>(AF179/Calculator!$B$10)*Calculator!$B$9</f>
        <v>#DIV/0!</v>
      </c>
      <c r="AI179" s="126" t="str">
        <f t="shared" si="5"/>
        <v/>
      </c>
    </row>
    <row r="180" spans="32:35" ht="15.75" customHeight="1">
      <c r="AF180" s="127">
        <f t="shared" si="4"/>
        <v>0</v>
      </c>
      <c r="AG180" s="127" t="str">
        <f>IF(AA180=0,"",Calculator!$B$5)</f>
        <v/>
      </c>
      <c r="AH180" s="127" t="e">
        <f>(AF180/Calculator!$B$10)*Calculator!$B$9</f>
        <v>#DIV/0!</v>
      </c>
      <c r="AI180" s="126" t="str">
        <f t="shared" si="5"/>
        <v/>
      </c>
    </row>
    <row r="181" spans="32:35" ht="15.75" customHeight="1">
      <c r="AF181" s="127">
        <f t="shared" si="4"/>
        <v>0</v>
      </c>
      <c r="AG181" s="127" t="str">
        <f>IF(AA181=0,"",Calculator!$B$5)</f>
        <v/>
      </c>
      <c r="AH181" s="127" t="e">
        <f>(AF181/Calculator!$B$10)*Calculator!$B$9</f>
        <v>#DIV/0!</v>
      </c>
      <c r="AI181" s="126" t="str">
        <f t="shared" si="5"/>
        <v/>
      </c>
    </row>
    <row r="182" spans="32:35" ht="15.75" customHeight="1">
      <c r="AF182" s="127">
        <f t="shared" si="4"/>
        <v>0</v>
      </c>
      <c r="AG182" s="127" t="str">
        <f>IF(AA182=0,"",Calculator!$B$5)</f>
        <v/>
      </c>
      <c r="AH182" s="127" t="e">
        <f>(AF182/Calculator!$B$10)*Calculator!$B$9</f>
        <v>#DIV/0!</v>
      </c>
      <c r="AI182" s="126" t="str">
        <f t="shared" si="5"/>
        <v/>
      </c>
    </row>
    <row r="183" spans="32:35" ht="15.75" customHeight="1">
      <c r="AF183" s="127">
        <f t="shared" si="4"/>
        <v>0</v>
      </c>
      <c r="AG183" s="127" t="str">
        <f>IF(AA183=0,"",Calculator!$B$5)</f>
        <v/>
      </c>
      <c r="AH183" s="127" t="e">
        <f>(AF183/Calculator!$B$10)*Calculator!$B$9</f>
        <v>#DIV/0!</v>
      </c>
      <c r="AI183" s="126" t="str">
        <f t="shared" si="5"/>
        <v/>
      </c>
    </row>
    <row r="184" spans="32:35" ht="15.75" customHeight="1">
      <c r="AF184" s="127">
        <f t="shared" si="4"/>
        <v>0</v>
      </c>
      <c r="AG184" s="127" t="str">
        <f>IF(AA184=0,"",Calculator!$B$5)</f>
        <v/>
      </c>
      <c r="AH184" s="127" t="e">
        <f>(AF184/Calculator!$B$10)*Calculator!$B$9</f>
        <v>#DIV/0!</v>
      </c>
      <c r="AI184" s="126" t="str">
        <f t="shared" si="5"/>
        <v/>
      </c>
    </row>
    <row r="185" spans="32:35" ht="15.75" customHeight="1">
      <c r="AF185" s="127">
        <f t="shared" si="4"/>
        <v>0</v>
      </c>
      <c r="AG185" s="127" t="str">
        <f>IF(AA185=0,"",Calculator!$B$5)</f>
        <v/>
      </c>
      <c r="AH185" s="127" t="e">
        <f>(AF185/Calculator!$B$10)*Calculator!$B$9</f>
        <v>#DIV/0!</v>
      </c>
      <c r="AI185" s="126" t="str">
        <f t="shared" si="5"/>
        <v/>
      </c>
    </row>
    <row r="186" spans="32:35" ht="15.75" customHeight="1">
      <c r="AF186" s="127">
        <f t="shared" si="4"/>
        <v>0</v>
      </c>
      <c r="AG186" s="127" t="str">
        <f>IF(AA186=0,"",Calculator!$B$5)</f>
        <v/>
      </c>
      <c r="AH186" s="127" t="e">
        <f>(AF186/Calculator!$B$10)*Calculator!$B$9</f>
        <v>#DIV/0!</v>
      </c>
      <c r="AI186" s="126" t="str">
        <f t="shared" si="5"/>
        <v/>
      </c>
    </row>
    <row r="187" spans="32:35" ht="15.75" customHeight="1">
      <c r="AF187" s="127">
        <f t="shared" si="4"/>
        <v>0</v>
      </c>
      <c r="AG187" s="127" t="str">
        <f>IF(AA187=0,"",Calculator!$B$5)</f>
        <v/>
      </c>
      <c r="AH187" s="127" t="e">
        <f>(AF187/Calculator!$B$10)*Calculator!$B$9</f>
        <v>#DIV/0!</v>
      </c>
      <c r="AI187" s="126" t="str">
        <f t="shared" si="5"/>
        <v/>
      </c>
    </row>
    <row r="188" spans="32:35" ht="15.75" customHeight="1">
      <c r="AF188" s="127">
        <f t="shared" si="4"/>
        <v>0</v>
      </c>
      <c r="AG188" s="127" t="str">
        <f>IF(AA188=0,"",Calculator!$B$5)</f>
        <v/>
      </c>
      <c r="AH188" s="127" t="e">
        <f>(AF188/Calculator!$B$10)*Calculator!$B$9</f>
        <v>#DIV/0!</v>
      </c>
      <c r="AI188" s="126" t="str">
        <f t="shared" si="5"/>
        <v/>
      </c>
    </row>
    <row r="189" spans="32:35" ht="15.75" customHeight="1">
      <c r="AF189" s="127">
        <f t="shared" si="4"/>
        <v>0</v>
      </c>
      <c r="AG189" s="127" t="str">
        <f>IF(AA189=0,"",Calculator!$B$5)</f>
        <v/>
      </c>
      <c r="AH189" s="127" t="e">
        <f>(AF189/Calculator!$B$10)*Calculator!$B$9</f>
        <v>#DIV/0!</v>
      </c>
      <c r="AI189" s="126" t="str">
        <f t="shared" si="5"/>
        <v/>
      </c>
    </row>
    <row r="190" spans="32:35" ht="15.75" customHeight="1">
      <c r="AF190" s="127">
        <f t="shared" si="4"/>
        <v>0</v>
      </c>
      <c r="AG190" s="127" t="str">
        <f>IF(AA190=0,"",Calculator!$B$5)</f>
        <v/>
      </c>
      <c r="AH190" s="127" t="e">
        <f>(AF190/Calculator!$B$10)*Calculator!$B$9</f>
        <v>#DIV/0!</v>
      </c>
      <c r="AI190" s="126" t="str">
        <f t="shared" si="5"/>
        <v/>
      </c>
    </row>
    <row r="191" spans="32:35" ht="15.75" customHeight="1">
      <c r="AF191" s="127">
        <f t="shared" si="4"/>
        <v>0</v>
      </c>
      <c r="AG191" s="127" t="str">
        <f>IF(AA191=0,"",Calculator!$B$5)</f>
        <v/>
      </c>
      <c r="AH191" s="127" t="e">
        <f>(AF191/Calculator!$B$10)*Calculator!$B$9</f>
        <v>#DIV/0!</v>
      </c>
      <c r="AI191" s="126" t="str">
        <f t="shared" si="5"/>
        <v/>
      </c>
    </row>
    <row r="192" spans="32:35" ht="15.75" customHeight="1">
      <c r="AF192" s="127">
        <f t="shared" si="4"/>
        <v>0</v>
      </c>
      <c r="AG192" s="127" t="str">
        <f>IF(AA192=0,"",Calculator!$B$5)</f>
        <v/>
      </c>
      <c r="AH192" s="127" t="e">
        <f>(AF192/Calculator!$B$10)*Calculator!$B$9</f>
        <v>#DIV/0!</v>
      </c>
      <c r="AI192" s="126" t="str">
        <f t="shared" si="5"/>
        <v/>
      </c>
    </row>
    <row r="193" spans="32:35" ht="15.75" customHeight="1">
      <c r="AF193" s="127">
        <f t="shared" si="4"/>
        <v>0</v>
      </c>
      <c r="AG193" s="127" t="str">
        <f>IF(AA193=0,"",Calculator!$B$5)</f>
        <v/>
      </c>
      <c r="AH193" s="127" t="e">
        <f>(AF193/Calculator!$B$10)*Calculator!$B$9</f>
        <v>#DIV/0!</v>
      </c>
      <c r="AI193" s="126" t="str">
        <f t="shared" si="5"/>
        <v/>
      </c>
    </row>
    <row r="194" spans="32:35" ht="15.75" customHeight="1">
      <c r="AF194" s="127">
        <f t="shared" si="4"/>
        <v>0</v>
      </c>
      <c r="AG194" s="127" t="str">
        <f>IF(AA194=0,"",Calculator!$B$5)</f>
        <v/>
      </c>
      <c r="AH194" s="127" t="e">
        <f>(AF194/Calculator!$B$10)*Calculator!$B$9</f>
        <v>#DIV/0!</v>
      </c>
      <c r="AI194" s="126" t="str">
        <f t="shared" si="5"/>
        <v/>
      </c>
    </row>
    <row r="195" spans="32:35" ht="15.75" customHeight="1">
      <c r="AF195" s="127">
        <f t="shared" si="4"/>
        <v>0</v>
      </c>
      <c r="AG195" s="127" t="str">
        <f>IF(AA195=0,"",Calculator!$B$5)</f>
        <v/>
      </c>
      <c r="AH195" s="127" t="e">
        <f>(AF195/Calculator!$B$10)*Calculator!$B$9</f>
        <v>#DIV/0!</v>
      </c>
      <c r="AI195" s="126" t="str">
        <f t="shared" si="5"/>
        <v/>
      </c>
    </row>
    <row r="196" spans="32:35" ht="15.75" customHeight="1">
      <c r="AF196" s="127">
        <f t="shared" si="4"/>
        <v>0</v>
      </c>
      <c r="AG196" s="127" t="str">
        <f>IF(AA196=0,"",Calculator!$B$5)</f>
        <v/>
      </c>
      <c r="AH196" s="127" t="e">
        <f>(AF196/Calculator!$B$10)*Calculator!$B$9</f>
        <v>#DIV/0!</v>
      </c>
      <c r="AI196" s="126" t="str">
        <f t="shared" si="5"/>
        <v/>
      </c>
    </row>
    <row r="197" spans="32:35" ht="15.75" customHeight="1">
      <c r="AF197" s="127">
        <f t="shared" si="4"/>
        <v>0</v>
      </c>
      <c r="AG197" s="127" t="str">
        <f>IF(AA197=0,"",Calculator!$B$5)</f>
        <v/>
      </c>
      <c r="AH197" s="127" t="e">
        <f>(AF197/Calculator!$B$10)*Calculator!$B$9</f>
        <v>#DIV/0!</v>
      </c>
      <c r="AI197" s="126" t="str">
        <f t="shared" si="5"/>
        <v/>
      </c>
    </row>
    <row r="198" spans="32:35" ht="15.75" customHeight="1">
      <c r="AF198" s="127">
        <f t="shared" si="4"/>
        <v>0</v>
      </c>
      <c r="AG198" s="127" t="str">
        <f>IF(AA198=0,"",Calculator!$B$5)</f>
        <v/>
      </c>
      <c r="AH198" s="127" t="e">
        <f>(AF198/Calculator!$B$10)*Calculator!$B$9</f>
        <v>#DIV/0!</v>
      </c>
      <c r="AI198" s="126" t="str">
        <f t="shared" si="5"/>
        <v/>
      </c>
    </row>
    <row r="199" spans="32:35" ht="15.75" customHeight="1">
      <c r="AF199" s="127">
        <f t="shared" si="4"/>
        <v>0</v>
      </c>
      <c r="AG199" s="127" t="str">
        <f>IF(AA199=0,"",Calculator!$B$5)</f>
        <v/>
      </c>
      <c r="AH199" s="127" t="e">
        <f>(AF199/Calculator!$B$10)*Calculator!$B$9</f>
        <v>#DIV/0!</v>
      </c>
      <c r="AI199" s="126" t="str">
        <f t="shared" si="5"/>
        <v/>
      </c>
    </row>
    <row r="200" spans="32:35" ht="15.75" customHeight="1">
      <c r="AF200" s="127">
        <f t="shared" si="4"/>
        <v>0</v>
      </c>
      <c r="AG200" s="127" t="str">
        <f>IF(AA200=0,"",Calculator!$B$5)</f>
        <v/>
      </c>
      <c r="AH200" s="127" t="e">
        <f>(AF200/Calculator!$B$10)*Calculator!$B$9</f>
        <v>#DIV/0!</v>
      </c>
      <c r="AI200" s="126" t="str">
        <f t="shared" si="5"/>
        <v/>
      </c>
    </row>
    <row r="201" spans="32:35" ht="15.75" customHeight="1">
      <c r="AF201" s="127">
        <f t="shared" si="4"/>
        <v>0</v>
      </c>
      <c r="AG201" s="127" t="str">
        <f>IF(AA201=0,"",Calculator!$B$5)</f>
        <v/>
      </c>
      <c r="AH201" s="127" t="e">
        <f>(AF201/Calculator!$B$10)*Calculator!$B$9</f>
        <v>#DIV/0!</v>
      </c>
      <c r="AI201" s="126" t="str">
        <f t="shared" si="5"/>
        <v/>
      </c>
    </row>
    <row r="202" spans="32:35" ht="15.75" customHeight="1">
      <c r="AF202" s="127">
        <f t="shared" ref="AF202:AF265" si="6">IFERROR(AA202*AG202,0)</f>
        <v>0</v>
      </c>
      <c r="AG202" s="127" t="str">
        <f>IF(AA202=0,"",Calculator!$B$5)</f>
        <v/>
      </c>
      <c r="AH202" s="127" t="e">
        <f>(AF202/Calculator!$B$10)*Calculator!$B$9</f>
        <v>#DIV/0!</v>
      </c>
      <c r="AI202" s="126" t="str">
        <f t="shared" ref="AI202:AI265" si="7">IF(ISBLANK(AA202),"","RS Means")</f>
        <v/>
      </c>
    </row>
    <row r="203" spans="32:35" ht="15.75" customHeight="1">
      <c r="AF203" s="127">
        <f t="shared" si="6"/>
        <v>0</v>
      </c>
      <c r="AG203" s="127" t="str">
        <f>IF(AA203=0,"",Calculator!$B$5)</f>
        <v/>
      </c>
      <c r="AH203" s="127" t="e">
        <f>(AF203/Calculator!$B$10)*Calculator!$B$9</f>
        <v>#DIV/0!</v>
      </c>
      <c r="AI203" s="126" t="str">
        <f t="shared" si="7"/>
        <v/>
      </c>
    </row>
    <row r="204" spans="32:35" ht="15.75" customHeight="1">
      <c r="AF204" s="127">
        <f t="shared" si="6"/>
        <v>0</v>
      </c>
      <c r="AG204" s="127" t="str">
        <f>IF(AA204=0,"",Calculator!$B$5)</f>
        <v/>
      </c>
      <c r="AH204" s="127" t="e">
        <f>(AF204/Calculator!$B$10)*Calculator!$B$9</f>
        <v>#DIV/0!</v>
      </c>
      <c r="AI204" s="126" t="str">
        <f t="shared" si="7"/>
        <v/>
      </c>
    </row>
    <row r="205" spans="32:35" ht="15.75" customHeight="1">
      <c r="AF205" s="127">
        <f t="shared" si="6"/>
        <v>0</v>
      </c>
      <c r="AG205" s="127" t="str">
        <f>IF(AA205=0,"",Calculator!$B$5)</f>
        <v/>
      </c>
      <c r="AH205" s="127" t="e">
        <f>(AF205/Calculator!$B$10)*Calculator!$B$9</f>
        <v>#DIV/0!</v>
      </c>
      <c r="AI205" s="126" t="str">
        <f t="shared" si="7"/>
        <v/>
      </c>
    </row>
    <row r="206" spans="32:35" ht="15.75" customHeight="1">
      <c r="AF206" s="127">
        <f t="shared" si="6"/>
        <v>0</v>
      </c>
      <c r="AG206" s="127" t="str">
        <f>IF(AA206=0,"",Calculator!$B$5)</f>
        <v/>
      </c>
      <c r="AH206" s="127" t="e">
        <f>(AF206/Calculator!$B$10)*Calculator!$B$9</f>
        <v>#DIV/0!</v>
      </c>
      <c r="AI206" s="126" t="str">
        <f t="shared" si="7"/>
        <v/>
      </c>
    </row>
    <row r="207" spans="32:35" ht="15.75" customHeight="1">
      <c r="AF207" s="127">
        <f t="shared" si="6"/>
        <v>0</v>
      </c>
      <c r="AG207" s="127" t="str">
        <f>IF(AA207=0,"",Calculator!$B$5)</f>
        <v/>
      </c>
      <c r="AH207" s="127" t="e">
        <f>(AF207/Calculator!$B$10)*Calculator!$B$9</f>
        <v>#DIV/0!</v>
      </c>
      <c r="AI207" s="126" t="str">
        <f t="shared" si="7"/>
        <v/>
      </c>
    </row>
    <row r="208" spans="32:35" ht="15.75" customHeight="1">
      <c r="AF208" s="127">
        <f t="shared" si="6"/>
        <v>0</v>
      </c>
      <c r="AG208" s="127" t="str">
        <f>IF(AA208=0,"",Calculator!$B$5)</f>
        <v/>
      </c>
      <c r="AH208" s="127" t="e">
        <f>(AF208/Calculator!$B$10)*Calculator!$B$9</f>
        <v>#DIV/0!</v>
      </c>
      <c r="AI208" s="126" t="str">
        <f t="shared" si="7"/>
        <v/>
      </c>
    </row>
    <row r="209" spans="32:35" ht="15.75" customHeight="1">
      <c r="AF209" s="127">
        <f t="shared" si="6"/>
        <v>0</v>
      </c>
      <c r="AG209" s="127" t="str">
        <f>IF(AA209=0,"",Calculator!$B$5)</f>
        <v/>
      </c>
      <c r="AH209" s="127" t="e">
        <f>(AF209/Calculator!$B$10)*Calculator!$B$9</f>
        <v>#DIV/0!</v>
      </c>
      <c r="AI209" s="126" t="str">
        <f t="shared" si="7"/>
        <v/>
      </c>
    </row>
    <row r="210" spans="32:35" ht="15.75" customHeight="1">
      <c r="AF210" s="127">
        <f t="shared" si="6"/>
        <v>0</v>
      </c>
      <c r="AG210" s="127" t="str">
        <f>IF(AA210=0,"",Calculator!$B$5)</f>
        <v/>
      </c>
      <c r="AH210" s="127" t="e">
        <f>(AF210/Calculator!$B$10)*Calculator!$B$9</f>
        <v>#DIV/0!</v>
      </c>
      <c r="AI210" s="126" t="str">
        <f t="shared" si="7"/>
        <v/>
      </c>
    </row>
    <row r="211" spans="32:35" ht="15.75" customHeight="1">
      <c r="AF211" s="127">
        <f t="shared" si="6"/>
        <v>0</v>
      </c>
      <c r="AG211" s="127" t="str">
        <f>IF(AA211=0,"",Calculator!$B$5)</f>
        <v/>
      </c>
      <c r="AH211" s="127" t="e">
        <f>(AF211/Calculator!$B$10)*Calculator!$B$9</f>
        <v>#DIV/0!</v>
      </c>
      <c r="AI211" s="126" t="str">
        <f t="shared" si="7"/>
        <v/>
      </c>
    </row>
    <row r="212" spans="32:35" ht="15.75" customHeight="1">
      <c r="AF212" s="127">
        <f t="shared" si="6"/>
        <v>0</v>
      </c>
      <c r="AG212" s="127" t="str">
        <f>IF(AA212=0,"",Calculator!$B$5)</f>
        <v/>
      </c>
      <c r="AH212" s="127" t="e">
        <f>(AF212/Calculator!$B$10)*Calculator!$B$9</f>
        <v>#DIV/0!</v>
      </c>
      <c r="AI212" s="126" t="str">
        <f t="shared" si="7"/>
        <v/>
      </c>
    </row>
    <row r="213" spans="32:35" ht="15.75" customHeight="1">
      <c r="AF213" s="127">
        <f t="shared" si="6"/>
        <v>0</v>
      </c>
      <c r="AG213" s="127" t="str">
        <f>IF(AA213=0,"",Calculator!$B$5)</f>
        <v/>
      </c>
      <c r="AH213" s="127" t="e">
        <f>(AF213/Calculator!$B$10)*Calculator!$B$9</f>
        <v>#DIV/0!</v>
      </c>
      <c r="AI213" s="126" t="str">
        <f t="shared" si="7"/>
        <v/>
      </c>
    </row>
    <row r="214" spans="32:35" ht="15.75" customHeight="1">
      <c r="AF214" s="127">
        <f t="shared" si="6"/>
        <v>0</v>
      </c>
      <c r="AG214" s="127" t="str">
        <f>IF(AA214=0,"",Calculator!$B$5)</f>
        <v/>
      </c>
      <c r="AH214" s="127" t="e">
        <f>(AF214/Calculator!$B$10)*Calculator!$B$9</f>
        <v>#DIV/0!</v>
      </c>
      <c r="AI214" s="126" t="str">
        <f t="shared" si="7"/>
        <v/>
      </c>
    </row>
    <row r="215" spans="32:35" ht="15.75" customHeight="1">
      <c r="AF215" s="127">
        <f t="shared" si="6"/>
        <v>0</v>
      </c>
      <c r="AG215" s="127" t="str">
        <f>IF(AA215=0,"",Calculator!$B$5)</f>
        <v/>
      </c>
      <c r="AH215" s="127" t="e">
        <f>(AF215/Calculator!$B$10)*Calculator!$B$9</f>
        <v>#DIV/0!</v>
      </c>
      <c r="AI215" s="126" t="str">
        <f t="shared" si="7"/>
        <v/>
      </c>
    </row>
    <row r="216" spans="32:35" ht="15.75" customHeight="1">
      <c r="AF216" s="127">
        <f t="shared" si="6"/>
        <v>0</v>
      </c>
      <c r="AG216" s="127" t="str">
        <f>IF(AA216=0,"",Calculator!$B$5)</f>
        <v/>
      </c>
      <c r="AH216" s="127" t="e">
        <f>(AF216/Calculator!$B$10)*Calculator!$B$9</f>
        <v>#DIV/0!</v>
      </c>
      <c r="AI216" s="126" t="str">
        <f t="shared" si="7"/>
        <v/>
      </c>
    </row>
    <row r="217" spans="32:35" ht="15.75" customHeight="1">
      <c r="AF217" s="127">
        <f t="shared" si="6"/>
        <v>0</v>
      </c>
      <c r="AG217" s="127" t="str">
        <f>IF(AA217=0,"",Calculator!$B$5)</f>
        <v/>
      </c>
      <c r="AH217" s="127" t="e">
        <f>(AF217/Calculator!$B$10)*Calculator!$B$9</f>
        <v>#DIV/0!</v>
      </c>
      <c r="AI217" s="126" t="str">
        <f t="shared" si="7"/>
        <v/>
      </c>
    </row>
    <row r="218" spans="32:35" ht="15.75" customHeight="1">
      <c r="AF218" s="127">
        <f t="shared" si="6"/>
        <v>0</v>
      </c>
      <c r="AG218" s="127" t="str">
        <f>IF(AA218=0,"",Calculator!$B$5)</f>
        <v/>
      </c>
      <c r="AH218" s="127" t="e">
        <f>(AF218/Calculator!$B$10)*Calculator!$B$9</f>
        <v>#DIV/0!</v>
      </c>
      <c r="AI218" s="126" t="str">
        <f t="shared" si="7"/>
        <v/>
      </c>
    </row>
    <row r="219" spans="32:35" ht="15.75" customHeight="1">
      <c r="AF219" s="127">
        <f t="shared" si="6"/>
        <v>0</v>
      </c>
      <c r="AG219" s="127" t="str">
        <f>IF(AA219=0,"",Calculator!$B$5)</f>
        <v/>
      </c>
      <c r="AH219" s="127" t="e">
        <f>(AF219/Calculator!$B$10)*Calculator!$B$9</f>
        <v>#DIV/0!</v>
      </c>
      <c r="AI219" s="126" t="str">
        <f t="shared" si="7"/>
        <v/>
      </c>
    </row>
    <row r="220" spans="32:35" ht="15.75" customHeight="1">
      <c r="AF220" s="127">
        <f t="shared" si="6"/>
        <v>0</v>
      </c>
      <c r="AG220" s="127" t="str">
        <f>IF(AA220=0,"",Calculator!$B$5)</f>
        <v/>
      </c>
      <c r="AH220" s="127" t="e">
        <f>(AF220/Calculator!$B$10)*Calculator!$B$9</f>
        <v>#DIV/0!</v>
      </c>
      <c r="AI220" s="126" t="str">
        <f t="shared" si="7"/>
        <v/>
      </c>
    </row>
    <row r="221" spans="32:35" ht="15.75" customHeight="1">
      <c r="AF221" s="127">
        <f t="shared" si="6"/>
        <v>0</v>
      </c>
      <c r="AG221" s="127" t="str">
        <f>IF(AA221=0,"",Calculator!$B$5)</f>
        <v/>
      </c>
      <c r="AH221" s="127" t="e">
        <f>(AF221/Calculator!$B$10)*Calculator!$B$9</f>
        <v>#DIV/0!</v>
      </c>
      <c r="AI221" s="126" t="str">
        <f t="shared" si="7"/>
        <v/>
      </c>
    </row>
    <row r="222" spans="32:35" ht="15.75" customHeight="1">
      <c r="AF222" s="127">
        <f t="shared" si="6"/>
        <v>0</v>
      </c>
      <c r="AG222" s="127" t="str">
        <f>IF(AA222=0,"",Calculator!$B$5)</f>
        <v/>
      </c>
      <c r="AH222" s="127" t="e">
        <f>(AF222/Calculator!$B$10)*Calculator!$B$9</f>
        <v>#DIV/0!</v>
      </c>
      <c r="AI222" s="126" t="str">
        <f t="shared" si="7"/>
        <v/>
      </c>
    </row>
    <row r="223" spans="32:35" ht="15.75" customHeight="1">
      <c r="AF223" s="127">
        <f t="shared" si="6"/>
        <v>0</v>
      </c>
      <c r="AG223" s="127" t="str">
        <f>IF(AA223=0,"",Calculator!$B$5)</f>
        <v/>
      </c>
      <c r="AH223" s="127" t="e">
        <f>(AF223/Calculator!$B$10)*Calculator!$B$9</f>
        <v>#DIV/0!</v>
      </c>
      <c r="AI223" s="126" t="str">
        <f t="shared" si="7"/>
        <v/>
      </c>
    </row>
    <row r="224" spans="32:35" ht="15.75" customHeight="1">
      <c r="AF224" s="127">
        <f t="shared" si="6"/>
        <v>0</v>
      </c>
      <c r="AG224" s="127" t="str">
        <f>IF(AA224=0,"",Calculator!$B$5)</f>
        <v/>
      </c>
      <c r="AH224" s="127" t="e">
        <f>(AF224/Calculator!$B$10)*Calculator!$B$9</f>
        <v>#DIV/0!</v>
      </c>
      <c r="AI224" s="126" t="str">
        <f t="shared" si="7"/>
        <v/>
      </c>
    </row>
    <row r="225" spans="32:35" ht="15.75" customHeight="1">
      <c r="AF225" s="127">
        <f t="shared" si="6"/>
        <v>0</v>
      </c>
      <c r="AG225" s="127" t="str">
        <f>IF(AA225=0,"",Calculator!$B$5)</f>
        <v/>
      </c>
      <c r="AH225" s="127" t="e">
        <f>(AF225/Calculator!$B$10)*Calculator!$B$9</f>
        <v>#DIV/0!</v>
      </c>
      <c r="AI225" s="126" t="str">
        <f t="shared" si="7"/>
        <v/>
      </c>
    </row>
    <row r="226" spans="32:35" ht="15.75" customHeight="1">
      <c r="AF226" s="127">
        <f t="shared" si="6"/>
        <v>0</v>
      </c>
      <c r="AG226" s="127" t="str">
        <f>IF(AA226=0,"",Calculator!$B$5)</f>
        <v/>
      </c>
      <c r="AH226" s="127" t="e">
        <f>(AF226/Calculator!$B$10)*Calculator!$B$9</f>
        <v>#DIV/0!</v>
      </c>
      <c r="AI226" s="126" t="str">
        <f t="shared" si="7"/>
        <v/>
      </c>
    </row>
    <row r="227" spans="32:35" ht="15.75" customHeight="1">
      <c r="AF227" s="127">
        <f t="shared" si="6"/>
        <v>0</v>
      </c>
      <c r="AG227" s="127" t="str">
        <f>IF(AA227=0,"",Calculator!$B$5)</f>
        <v/>
      </c>
      <c r="AH227" s="127" t="e">
        <f>(AF227/Calculator!$B$10)*Calculator!$B$9</f>
        <v>#DIV/0!</v>
      </c>
      <c r="AI227" s="126" t="str">
        <f t="shared" si="7"/>
        <v/>
      </c>
    </row>
    <row r="228" spans="32:35" ht="15.75" customHeight="1">
      <c r="AF228" s="127">
        <f t="shared" si="6"/>
        <v>0</v>
      </c>
      <c r="AG228" s="127" t="str">
        <f>IF(AA228=0,"",Calculator!$B$5)</f>
        <v/>
      </c>
      <c r="AH228" s="127" t="e">
        <f>(AF228/Calculator!$B$10)*Calculator!$B$9</f>
        <v>#DIV/0!</v>
      </c>
      <c r="AI228" s="126" t="str">
        <f t="shared" si="7"/>
        <v/>
      </c>
    </row>
    <row r="229" spans="32:35" ht="15.75" customHeight="1">
      <c r="AF229" s="127">
        <f t="shared" si="6"/>
        <v>0</v>
      </c>
      <c r="AG229" s="127" t="str">
        <f>IF(AA229=0,"",Calculator!$B$5)</f>
        <v/>
      </c>
      <c r="AH229" s="127" t="e">
        <f>(AF229/Calculator!$B$10)*Calculator!$B$9</f>
        <v>#DIV/0!</v>
      </c>
      <c r="AI229" s="126" t="str">
        <f t="shared" si="7"/>
        <v/>
      </c>
    </row>
    <row r="230" spans="32:35" ht="15.75" customHeight="1">
      <c r="AF230" s="127">
        <f t="shared" si="6"/>
        <v>0</v>
      </c>
      <c r="AG230" s="127" t="str">
        <f>IF(AA230=0,"",Calculator!$B$5)</f>
        <v/>
      </c>
      <c r="AH230" s="127" t="e">
        <f>(AF230/Calculator!$B$10)*Calculator!$B$9</f>
        <v>#DIV/0!</v>
      </c>
      <c r="AI230" s="126" t="str">
        <f t="shared" si="7"/>
        <v/>
      </c>
    </row>
    <row r="231" spans="32:35" ht="15.75" customHeight="1">
      <c r="AF231" s="127">
        <f t="shared" si="6"/>
        <v>0</v>
      </c>
      <c r="AG231" s="127" t="str">
        <f>IF(AA231=0,"",Calculator!$B$5)</f>
        <v/>
      </c>
      <c r="AH231" s="127" t="e">
        <f>(AF231/Calculator!$B$10)*Calculator!$B$9</f>
        <v>#DIV/0!</v>
      </c>
      <c r="AI231" s="126" t="str">
        <f t="shared" si="7"/>
        <v/>
      </c>
    </row>
    <row r="232" spans="32:35" ht="15.75" customHeight="1">
      <c r="AF232" s="127">
        <f t="shared" si="6"/>
        <v>0</v>
      </c>
      <c r="AG232" s="127" t="str">
        <f>IF(AA232=0,"",Calculator!$B$5)</f>
        <v/>
      </c>
      <c r="AH232" s="127" t="e">
        <f>(AF232/Calculator!$B$10)*Calculator!$B$9</f>
        <v>#DIV/0!</v>
      </c>
      <c r="AI232" s="126" t="str">
        <f t="shared" si="7"/>
        <v/>
      </c>
    </row>
    <row r="233" spans="32:35" ht="15.75" customHeight="1">
      <c r="AF233" s="127">
        <f t="shared" si="6"/>
        <v>0</v>
      </c>
      <c r="AG233" s="127" t="str">
        <f>IF(AA233=0,"",Calculator!$B$5)</f>
        <v/>
      </c>
      <c r="AH233" s="127" t="e">
        <f>(AF233/Calculator!$B$10)*Calculator!$B$9</f>
        <v>#DIV/0!</v>
      </c>
      <c r="AI233" s="126" t="str">
        <f t="shared" si="7"/>
        <v/>
      </c>
    </row>
    <row r="234" spans="32:35" ht="15.75" customHeight="1">
      <c r="AF234" s="127">
        <f t="shared" si="6"/>
        <v>0</v>
      </c>
      <c r="AG234" s="127" t="str">
        <f>IF(AA234=0,"",Calculator!$B$5)</f>
        <v/>
      </c>
      <c r="AH234" s="127" t="e">
        <f>(AF234/Calculator!$B$10)*Calculator!$B$9</f>
        <v>#DIV/0!</v>
      </c>
      <c r="AI234" s="126" t="str">
        <f t="shared" si="7"/>
        <v/>
      </c>
    </row>
    <row r="235" spans="32:35" ht="15.75" customHeight="1">
      <c r="AF235" s="127">
        <f t="shared" si="6"/>
        <v>0</v>
      </c>
      <c r="AG235" s="127" t="str">
        <f>IF(AA235=0,"",Calculator!$B$5)</f>
        <v/>
      </c>
      <c r="AH235" s="127" t="e">
        <f>(AF235/Calculator!$B$10)*Calculator!$B$9</f>
        <v>#DIV/0!</v>
      </c>
      <c r="AI235" s="126" t="str">
        <f t="shared" si="7"/>
        <v/>
      </c>
    </row>
    <row r="236" spans="32:35" ht="15.75" customHeight="1">
      <c r="AF236" s="127">
        <f t="shared" si="6"/>
        <v>0</v>
      </c>
      <c r="AG236" s="127" t="str">
        <f>IF(AA236=0,"",Calculator!$B$5)</f>
        <v/>
      </c>
      <c r="AH236" s="127" t="e">
        <f>(AF236/Calculator!$B$10)*Calculator!$B$9</f>
        <v>#DIV/0!</v>
      </c>
      <c r="AI236" s="126" t="str">
        <f t="shared" si="7"/>
        <v/>
      </c>
    </row>
    <row r="237" spans="32:35" ht="15.75" customHeight="1">
      <c r="AF237" s="127">
        <f t="shared" si="6"/>
        <v>0</v>
      </c>
      <c r="AG237" s="127" t="str">
        <f>IF(AA237=0,"",Calculator!$B$5)</f>
        <v/>
      </c>
      <c r="AH237" s="127" t="e">
        <f>(AF237/Calculator!$B$10)*Calculator!$B$9</f>
        <v>#DIV/0!</v>
      </c>
      <c r="AI237" s="126" t="str">
        <f t="shared" si="7"/>
        <v/>
      </c>
    </row>
    <row r="238" spans="32:35" ht="15.75" customHeight="1">
      <c r="AF238" s="127">
        <f t="shared" si="6"/>
        <v>0</v>
      </c>
      <c r="AG238" s="127" t="str">
        <f>IF(AA238=0,"",Calculator!$B$5)</f>
        <v/>
      </c>
      <c r="AH238" s="127" t="e">
        <f>(AF238/Calculator!$B$10)*Calculator!$B$9</f>
        <v>#DIV/0!</v>
      </c>
      <c r="AI238" s="126" t="str">
        <f t="shared" si="7"/>
        <v/>
      </c>
    </row>
    <row r="239" spans="32:35" ht="15.75" customHeight="1">
      <c r="AF239" s="127">
        <f t="shared" si="6"/>
        <v>0</v>
      </c>
      <c r="AG239" s="127" t="str">
        <f>IF(AA239=0,"",Calculator!$B$5)</f>
        <v/>
      </c>
      <c r="AH239" s="127" t="e">
        <f>(AF239/Calculator!$B$10)*Calculator!$B$9</f>
        <v>#DIV/0!</v>
      </c>
      <c r="AI239" s="126" t="str">
        <f t="shared" si="7"/>
        <v/>
      </c>
    </row>
    <row r="240" spans="32:35" ht="15.75" customHeight="1">
      <c r="AF240" s="127">
        <f t="shared" si="6"/>
        <v>0</v>
      </c>
      <c r="AG240" s="127" t="str">
        <f>IF(AA240=0,"",Calculator!$B$5)</f>
        <v/>
      </c>
      <c r="AH240" s="127" t="e">
        <f>(AF240/Calculator!$B$10)*Calculator!$B$9</f>
        <v>#DIV/0!</v>
      </c>
      <c r="AI240" s="126" t="str">
        <f t="shared" si="7"/>
        <v/>
      </c>
    </row>
    <row r="241" spans="32:35" ht="15.75" customHeight="1">
      <c r="AF241" s="127">
        <f t="shared" si="6"/>
        <v>0</v>
      </c>
      <c r="AG241" s="127" t="str">
        <f>IF(AA241=0,"",Calculator!$B$5)</f>
        <v/>
      </c>
      <c r="AH241" s="127" t="e">
        <f>(AF241/Calculator!$B$10)*Calculator!$B$9</f>
        <v>#DIV/0!</v>
      </c>
      <c r="AI241" s="126" t="str">
        <f t="shared" si="7"/>
        <v/>
      </c>
    </row>
    <row r="242" spans="32:35" ht="15.75" customHeight="1">
      <c r="AF242" s="127">
        <f t="shared" si="6"/>
        <v>0</v>
      </c>
      <c r="AG242" s="127" t="str">
        <f>IF(AA242=0,"",Calculator!$B$5)</f>
        <v/>
      </c>
      <c r="AH242" s="127" t="e">
        <f>(AF242/Calculator!$B$10)*Calculator!$B$9</f>
        <v>#DIV/0!</v>
      </c>
      <c r="AI242" s="126" t="str">
        <f t="shared" si="7"/>
        <v/>
      </c>
    </row>
    <row r="243" spans="32:35" ht="15.75" customHeight="1">
      <c r="AF243" s="127">
        <f t="shared" si="6"/>
        <v>0</v>
      </c>
      <c r="AG243" s="127" t="str">
        <f>IF(AA243=0,"",Calculator!$B$5)</f>
        <v/>
      </c>
      <c r="AH243" s="127" t="e">
        <f>(AF243/Calculator!$B$10)*Calculator!$B$9</f>
        <v>#DIV/0!</v>
      </c>
      <c r="AI243" s="126" t="str">
        <f t="shared" si="7"/>
        <v/>
      </c>
    </row>
    <row r="244" spans="32:35" ht="15.75" customHeight="1">
      <c r="AF244" s="127">
        <f t="shared" si="6"/>
        <v>0</v>
      </c>
      <c r="AG244" s="127" t="str">
        <f>IF(AA244=0,"",Calculator!$B$5)</f>
        <v/>
      </c>
      <c r="AH244" s="127" t="e">
        <f>(AF244/Calculator!$B$10)*Calculator!$B$9</f>
        <v>#DIV/0!</v>
      </c>
      <c r="AI244" s="126" t="str">
        <f t="shared" si="7"/>
        <v/>
      </c>
    </row>
    <row r="245" spans="32:35" ht="15.75" customHeight="1">
      <c r="AF245" s="127">
        <f t="shared" si="6"/>
        <v>0</v>
      </c>
      <c r="AG245" s="127" t="str">
        <f>IF(AA245=0,"",Calculator!$B$5)</f>
        <v/>
      </c>
      <c r="AH245" s="127" t="e">
        <f>(AF245/Calculator!$B$10)*Calculator!$B$9</f>
        <v>#DIV/0!</v>
      </c>
      <c r="AI245" s="126" t="str">
        <f t="shared" si="7"/>
        <v/>
      </c>
    </row>
    <row r="246" spans="32:35" ht="15.75" customHeight="1">
      <c r="AF246" s="127">
        <f t="shared" si="6"/>
        <v>0</v>
      </c>
      <c r="AG246" s="127" t="str">
        <f>IF(AA246=0,"",Calculator!$B$5)</f>
        <v/>
      </c>
      <c r="AH246" s="127" t="e">
        <f>(AF246/Calculator!$B$10)*Calculator!$B$9</f>
        <v>#DIV/0!</v>
      </c>
      <c r="AI246" s="126" t="str">
        <f t="shared" si="7"/>
        <v/>
      </c>
    </row>
    <row r="247" spans="32:35" ht="15.75" customHeight="1">
      <c r="AF247" s="127">
        <f t="shared" si="6"/>
        <v>0</v>
      </c>
      <c r="AG247" s="127" t="str">
        <f>IF(AA247=0,"",Calculator!$B$5)</f>
        <v/>
      </c>
      <c r="AH247" s="127" t="e">
        <f>(AF247/Calculator!$B$10)*Calculator!$B$9</f>
        <v>#DIV/0!</v>
      </c>
      <c r="AI247" s="126" t="str">
        <f t="shared" si="7"/>
        <v/>
      </c>
    </row>
    <row r="248" spans="32:35" ht="15.75" customHeight="1">
      <c r="AF248" s="127">
        <f t="shared" si="6"/>
        <v>0</v>
      </c>
      <c r="AG248" s="127" t="str">
        <f>IF(AA248=0,"",Calculator!$B$5)</f>
        <v/>
      </c>
      <c r="AH248" s="127" t="e">
        <f>(AF248/Calculator!$B$10)*Calculator!$B$9</f>
        <v>#DIV/0!</v>
      </c>
      <c r="AI248" s="126" t="str">
        <f t="shared" si="7"/>
        <v/>
      </c>
    </row>
    <row r="249" spans="32:35" ht="15.75" customHeight="1">
      <c r="AF249" s="127">
        <f t="shared" si="6"/>
        <v>0</v>
      </c>
      <c r="AG249" s="127" t="str">
        <f>IF(AA249=0,"",Calculator!$B$5)</f>
        <v/>
      </c>
      <c r="AH249" s="127" t="e">
        <f>(AF249/Calculator!$B$10)*Calculator!$B$9</f>
        <v>#DIV/0!</v>
      </c>
      <c r="AI249" s="126" t="str">
        <f t="shared" si="7"/>
        <v/>
      </c>
    </row>
    <row r="250" spans="32:35" ht="15.75" customHeight="1">
      <c r="AF250" s="127">
        <f t="shared" si="6"/>
        <v>0</v>
      </c>
      <c r="AG250" s="127" t="str">
        <f>IF(AA250=0,"",Calculator!$B$5)</f>
        <v/>
      </c>
      <c r="AH250" s="127" t="e">
        <f>(AF250/Calculator!$B$10)*Calculator!$B$9</f>
        <v>#DIV/0!</v>
      </c>
      <c r="AI250" s="126" t="str">
        <f t="shared" si="7"/>
        <v/>
      </c>
    </row>
    <row r="251" spans="32:35" ht="15.75" customHeight="1">
      <c r="AF251" s="127">
        <f t="shared" si="6"/>
        <v>0</v>
      </c>
      <c r="AG251" s="127" t="str">
        <f>IF(AA251=0,"",Calculator!$B$5)</f>
        <v/>
      </c>
      <c r="AH251" s="127" t="e">
        <f>(AF251/Calculator!$B$10)*Calculator!$B$9</f>
        <v>#DIV/0!</v>
      </c>
      <c r="AI251" s="126" t="str">
        <f t="shared" si="7"/>
        <v/>
      </c>
    </row>
    <row r="252" spans="32:35" ht="15.75" customHeight="1">
      <c r="AF252" s="127">
        <f t="shared" si="6"/>
        <v>0</v>
      </c>
      <c r="AG252" s="127" t="str">
        <f>IF(AA252=0,"",Calculator!$B$5)</f>
        <v/>
      </c>
      <c r="AH252" s="127" t="e">
        <f>(AF252/Calculator!$B$10)*Calculator!$B$9</f>
        <v>#DIV/0!</v>
      </c>
      <c r="AI252" s="126" t="str">
        <f t="shared" si="7"/>
        <v/>
      </c>
    </row>
    <row r="253" spans="32:35" ht="15.75" customHeight="1">
      <c r="AF253" s="127">
        <f t="shared" si="6"/>
        <v>0</v>
      </c>
      <c r="AG253" s="127" t="str">
        <f>IF(AA253=0,"",Calculator!$B$5)</f>
        <v/>
      </c>
      <c r="AH253" s="127" t="e">
        <f>(AF253/Calculator!$B$10)*Calculator!$B$9</f>
        <v>#DIV/0!</v>
      </c>
      <c r="AI253" s="126" t="str">
        <f t="shared" si="7"/>
        <v/>
      </c>
    </row>
    <row r="254" spans="32:35" ht="15.75" customHeight="1">
      <c r="AF254" s="127">
        <f t="shared" si="6"/>
        <v>0</v>
      </c>
      <c r="AG254" s="127" t="str">
        <f>IF(AA254=0,"",Calculator!$B$5)</f>
        <v/>
      </c>
      <c r="AH254" s="127" t="e">
        <f>(AF254/Calculator!$B$10)*Calculator!$B$9</f>
        <v>#DIV/0!</v>
      </c>
      <c r="AI254" s="126" t="str">
        <f t="shared" si="7"/>
        <v/>
      </c>
    </row>
    <row r="255" spans="32:35" ht="15.75" customHeight="1">
      <c r="AF255" s="127">
        <f t="shared" si="6"/>
        <v>0</v>
      </c>
      <c r="AG255" s="127" t="str">
        <f>IF(AA255=0,"",Calculator!$B$5)</f>
        <v/>
      </c>
      <c r="AH255" s="127" t="e">
        <f>(AF255/Calculator!$B$10)*Calculator!$B$9</f>
        <v>#DIV/0!</v>
      </c>
      <c r="AI255" s="126" t="str">
        <f t="shared" si="7"/>
        <v/>
      </c>
    </row>
    <row r="256" spans="32:35" ht="15.75" customHeight="1">
      <c r="AF256" s="127">
        <f t="shared" si="6"/>
        <v>0</v>
      </c>
      <c r="AG256" s="127" t="str">
        <f>IF(AA256=0,"",Calculator!$B$5)</f>
        <v/>
      </c>
      <c r="AH256" s="127" t="e">
        <f>(AF256/Calculator!$B$10)*Calculator!$B$9</f>
        <v>#DIV/0!</v>
      </c>
      <c r="AI256" s="126" t="str">
        <f t="shared" si="7"/>
        <v/>
      </c>
    </row>
    <row r="257" spans="32:35" ht="15.75" customHeight="1">
      <c r="AF257" s="127">
        <f t="shared" si="6"/>
        <v>0</v>
      </c>
      <c r="AG257" s="127" t="str">
        <f>IF(AA257=0,"",Calculator!$B$5)</f>
        <v/>
      </c>
      <c r="AH257" s="127" t="e">
        <f>(AF257/Calculator!$B$10)*Calculator!$B$9</f>
        <v>#DIV/0!</v>
      </c>
      <c r="AI257" s="126" t="str">
        <f t="shared" si="7"/>
        <v/>
      </c>
    </row>
    <row r="258" spans="32:35" ht="15.75" customHeight="1">
      <c r="AF258" s="127">
        <f t="shared" si="6"/>
        <v>0</v>
      </c>
      <c r="AG258" s="127" t="str">
        <f>IF(AA258=0,"",Calculator!$B$5)</f>
        <v/>
      </c>
      <c r="AH258" s="127" t="e">
        <f>(AF258/Calculator!$B$10)*Calculator!$B$9</f>
        <v>#DIV/0!</v>
      </c>
      <c r="AI258" s="126" t="str">
        <f t="shared" si="7"/>
        <v/>
      </c>
    </row>
    <row r="259" spans="32:35" ht="15.75" customHeight="1">
      <c r="AF259" s="127">
        <f t="shared" si="6"/>
        <v>0</v>
      </c>
      <c r="AG259" s="127" t="str">
        <f>IF(AA259=0,"",Calculator!$B$5)</f>
        <v/>
      </c>
      <c r="AH259" s="127" t="e">
        <f>(AF259/Calculator!$B$10)*Calculator!$B$9</f>
        <v>#DIV/0!</v>
      </c>
      <c r="AI259" s="126" t="str">
        <f t="shared" si="7"/>
        <v/>
      </c>
    </row>
    <row r="260" spans="32:35" ht="15.75" customHeight="1">
      <c r="AF260" s="127">
        <f t="shared" si="6"/>
        <v>0</v>
      </c>
      <c r="AG260" s="127" t="str">
        <f>IF(AA260=0,"",Calculator!$B$5)</f>
        <v/>
      </c>
      <c r="AH260" s="127" t="e">
        <f>(AF260/Calculator!$B$10)*Calculator!$B$9</f>
        <v>#DIV/0!</v>
      </c>
      <c r="AI260" s="126" t="str">
        <f t="shared" si="7"/>
        <v/>
      </c>
    </row>
    <row r="261" spans="32:35" ht="15.75" customHeight="1">
      <c r="AF261" s="127">
        <f t="shared" si="6"/>
        <v>0</v>
      </c>
      <c r="AG261" s="127" t="str">
        <f>IF(AA261=0,"",Calculator!$B$5)</f>
        <v/>
      </c>
      <c r="AH261" s="127" t="e">
        <f>(AF261/Calculator!$B$10)*Calculator!$B$9</f>
        <v>#DIV/0!</v>
      </c>
      <c r="AI261" s="126" t="str">
        <f t="shared" si="7"/>
        <v/>
      </c>
    </row>
    <row r="262" spans="32:35" ht="15.75" customHeight="1">
      <c r="AF262" s="127">
        <f t="shared" si="6"/>
        <v>0</v>
      </c>
      <c r="AG262" s="127" t="str">
        <f>IF(AA262=0,"",Calculator!$B$5)</f>
        <v/>
      </c>
      <c r="AH262" s="127" t="e">
        <f>(AF262/Calculator!$B$10)*Calculator!$B$9</f>
        <v>#DIV/0!</v>
      </c>
      <c r="AI262" s="126" t="str">
        <f t="shared" si="7"/>
        <v/>
      </c>
    </row>
    <row r="263" spans="32:35" ht="15.75" customHeight="1">
      <c r="AF263" s="127">
        <f t="shared" si="6"/>
        <v>0</v>
      </c>
      <c r="AG263" s="127" t="str">
        <f>IF(AA263=0,"",Calculator!$B$5)</f>
        <v/>
      </c>
      <c r="AH263" s="127" t="e">
        <f>(AF263/Calculator!$B$10)*Calculator!$B$9</f>
        <v>#DIV/0!</v>
      </c>
      <c r="AI263" s="126" t="str">
        <f t="shared" si="7"/>
        <v/>
      </c>
    </row>
    <row r="264" spans="32:35" ht="15.75" customHeight="1">
      <c r="AF264" s="127">
        <f t="shared" si="6"/>
        <v>0</v>
      </c>
      <c r="AG264" s="127" t="str">
        <f>IF(AA264=0,"",Calculator!$B$5)</f>
        <v/>
      </c>
      <c r="AH264" s="127" t="e">
        <f>(AF264/Calculator!$B$10)*Calculator!$B$9</f>
        <v>#DIV/0!</v>
      </c>
      <c r="AI264" s="126" t="str">
        <f t="shared" si="7"/>
        <v/>
      </c>
    </row>
    <row r="265" spans="32:35" ht="15.75" customHeight="1">
      <c r="AF265" s="127">
        <f t="shared" si="6"/>
        <v>0</v>
      </c>
      <c r="AG265" s="127" t="str">
        <f>IF(AA265=0,"",Calculator!$B$5)</f>
        <v/>
      </c>
      <c r="AH265" s="127" t="e">
        <f>(AF265/Calculator!$B$10)*Calculator!$B$9</f>
        <v>#DIV/0!</v>
      </c>
      <c r="AI265" s="126" t="str">
        <f t="shared" si="7"/>
        <v/>
      </c>
    </row>
    <row r="266" spans="32:35" ht="15.75" customHeight="1">
      <c r="AF266" s="127">
        <f t="shared" ref="AF266:AF329" si="8">IFERROR(AA266*AG266,0)</f>
        <v>0</v>
      </c>
      <c r="AG266" s="127" t="str">
        <f>IF(AA266=0,"",Calculator!$B$5)</f>
        <v/>
      </c>
      <c r="AH266" s="127" t="e">
        <f>(AF266/Calculator!$B$10)*Calculator!$B$9</f>
        <v>#DIV/0!</v>
      </c>
      <c r="AI266" s="126" t="str">
        <f t="shared" ref="AI266:AI329" si="9">IF(ISBLANK(AA266),"","RS Means")</f>
        <v/>
      </c>
    </row>
    <row r="267" spans="32:35" ht="15.75" customHeight="1">
      <c r="AF267" s="127">
        <f t="shared" si="8"/>
        <v>0</v>
      </c>
      <c r="AG267" s="127" t="str">
        <f>IF(AA267=0,"",Calculator!$B$5)</f>
        <v/>
      </c>
      <c r="AH267" s="127" t="e">
        <f>(AF267/Calculator!$B$10)*Calculator!$B$9</f>
        <v>#DIV/0!</v>
      </c>
      <c r="AI267" s="126" t="str">
        <f t="shared" si="9"/>
        <v/>
      </c>
    </row>
    <row r="268" spans="32:35" ht="15.75" customHeight="1">
      <c r="AF268" s="127">
        <f t="shared" si="8"/>
        <v>0</v>
      </c>
      <c r="AG268" s="127" t="str">
        <f>IF(AA268=0,"",Calculator!$B$5)</f>
        <v/>
      </c>
      <c r="AH268" s="127" t="e">
        <f>(AF268/Calculator!$B$10)*Calculator!$B$9</f>
        <v>#DIV/0!</v>
      </c>
      <c r="AI268" s="126" t="str">
        <f t="shared" si="9"/>
        <v/>
      </c>
    </row>
    <row r="269" spans="32:35" ht="15.75" customHeight="1">
      <c r="AF269" s="127">
        <f t="shared" si="8"/>
        <v>0</v>
      </c>
      <c r="AG269" s="127" t="str">
        <f>IF(AA269=0,"",Calculator!$B$5)</f>
        <v/>
      </c>
      <c r="AH269" s="127" t="e">
        <f>(AF269/Calculator!$B$10)*Calculator!$B$9</f>
        <v>#DIV/0!</v>
      </c>
      <c r="AI269" s="126" t="str">
        <f t="shared" si="9"/>
        <v/>
      </c>
    </row>
    <row r="270" spans="32:35" ht="15.75" customHeight="1">
      <c r="AF270" s="127">
        <f t="shared" si="8"/>
        <v>0</v>
      </c>
      <c r="AG270" s="127" t="str">
        <f>IF(AA270=0,"",Calculator!$B$5)</f>
        <v/>
      </c>
      <c r="AH270" s="127" t="e">
        <f>(AF270/Calculator!$B$10)*Calculator!$B$9</f>
        <v>#DIV/0!</v>
      </c>
      <c r="AI270" s="126" t="str">
        <f t="shared" si="9"/>
        <v/>
      </c>
    </row>
    <row r="271" spans="32:35" ht="15.75" customHeight="1">
      <c r="AF271" s="127">
        <f t="shared" si="8"/>
        <v>0</v>
      </c>
      <c r="AG271" s="127" t="str">
        <f>IF(AA271=0,"",Calculator!$B$5)</f>
        <v/>
      </c>
      <c r="AH271" s="127" t="e">
        <f>(AF271/Calculator!$B$10)*Calculator!$B$9</f>
        <v>#DIV/0!</v>
      </c>
      <c r="AI271" s="126" t="str">
        <f t="shared" si="9"/>
        <v/>
      </c>
    </row>
    <row r="272" spans="32:35" ht="15.75" customHeight="1">
      <c r="AF272" s="127">
        <f t="shared" si="8"/>
        <v>0</v>
      </c>
      <c r="AG272" s="127" t="str">
        <f>IF(AA272=0,"",Calculator!$B$5)</f>
        <v/>
      </c>
      <c r="AH272" s="127" t="e">
        <f>(AF272/Calculator!$B$10)*Calculator!$B$9</f>
        <v>#DIV/0!</v>
      </c>
      <c r="AI272" s="126" t="str">
        <f t="shared" si="9"/>
        <v/>
      </c>
    </row>
    <row r="273" spans="32:35" ht="15.75" customHeight="1">
      <c r="AF273" s="127">
        <f t="shared" si="8"/>
        <v>0</v>
      </c>
      <c r="AG273" s="127" t="str">
        <f>IF(AA273=0,"",Calculator!$B$5)</f>
        <v/>
      </c>
      <c r="AH273" s="127" t="e">
        <f>(AF273/Calculator!$B$10)*Calculator!$B$9</f>
        <v>#DIV/0!</v>
      </c>
      <c r="AI273" s="126" t="str">
        <f t="shared" si="9"/>
        <v/>
      </c>
    </row>
    <row r="274" spans="32:35" ht="15.75" customHeight="1">
      <c r="AF274" s="127">
        <f t="shared" si="8"/>
        <v>0</v>
      </c>
      <c r="AG274" s="127" t="str">
        <f>IF(AA274=0,"",Calculator!$B$5)</f>
        <v/>
      </c>
      <c r="AH274" s="127" t="e">
        <f>(AF274/Calculator!$B$10)*Calculator!$B$9</f>
        <v>#DIV/0!</v>
      </c>
      <c r="AI274" s="126" t="str">
        <f t="shared" si="9"/>
        <v/>
      </c>
    </row>
    <row r="275" spans="32:35" ht="15.75" customHeight="1">
      <c r="AF275" s="127">
        <f t="shared" si="8"/>
        <v>0</v>
      </c>
      <c r="AG275" s="127" t="str">
        <f>IF(AA275=0,"",Calculator!$B$5)</f>
        <v/>
      </c>
      <c r="AH275" s="127" t="e">
        <f>(AF275/Calculator!$B$10)*Calculator!$B$9</f>
        <v>#DIV/0!</v>
      </c>
      <c r="AI275" s="126" t="str">
        <f t="shared" si="9"/>
        <v/>
      </c>
    </row>
    <row r="276" spans="32:35" ht="15.75" customHeight="1">
      <c r="AF276" s="127">
        <f t="shared" si="8"/>
        <v>0</v>
      </c>
      <c r="AG276" s="127" t="str">
        <f>IF(AA276=0,"",Calculator!$B$5)</f>
        <v/>
      </c>
      <c r="AH276" s="127" t="e">
        <f>(AF276/Calculator!$B$10)*Calculator!$B$9</f>
        <v>#DIV/0!</v>
      </c>
      <c r="AI276" s="126" t="str">
        <f t="shared" si="9"/>
        <v/>
      </c>
    </row>
    <row r="277" spans="32:35" ht="15.75" customHeight="1">
      <c r="AF277" s="127">
        <f t="shared" si="8"/>
        <v>0</v>
      </c>
      <c r="AG277" s="127" t="str">
        <f>IF(AA277=0,"",Calculator!$B$5)</f>
        <v/>
      </c>
      <c r="AH277" s="127" t="e">
        <f>(AF277/Calculator!$B$10)*Calculator!$B$9</f>
        <v>#DIV/0!</v>
      </c>
      <c r="AI277" s="126" t="str">
        <f t="shared" si="9"/>
        <v/>
      </c>
    </row>
    <row r="278" spans="32:35" ht="15.75" customHeight="1">
      <c r="AF278" s="127">
        <f t="shared" si="8"/>
        <v>0</v>
      </c>
      <c r="AG278" s="127" t="str">
        <f>IF(AA278=0,"",Calculator!$B$5)</f>
        <v/>
      </c>
      <c r="AH278" s="127" t="e">
        <f>(AF278/Calculator!$B$10)*Calculator!$B$9</f>
        <v>#DIV/0!</v>
      </c>
      <c r="AI278" s="126" t="str">
        <f t="shared" si="9"/>
        <v/>
      </c>
    </row>
    <row r="279" spans="32:35" ht="15.75" customHeight="1">
      <c r="AF279" s="127">
        <f t="shared" si="8"/>
        <v>0</v>
      </c>
      <c r="AG279" s="127" t="str">
        <f>IF(AA279=0,"",Calculator!$B$5)</f>
        <v/>
      </c>
      <c r="AH279" s="127" t="e">
        <f>(AF279/Calculator!$B$10)*Calculator!$B$9</f>
        <v>#DIV/0!</v>
      </c>
      <c r="AI279" s="126" t="str">
        <f t="shared" si="9"/>
        <v/>
      </c>
    </row>
    <row r="280" spans="32:35" ht="15.75" customHeight="1">
      <c r="AF280" s="127">
        <f t="shared" si="8"/>
        <v>0</v>
      </c>
      <c r="AG280" s="127" t="str">
        <f>IF(AA280=0,"",Calculator!$B$5)</f>
        <v/>
      </c>
      <c r="AH280" s="127" t="e">
        <f>(AF280/Calculator!$B$10)*Calculator!$B$9</f>
        <v>#DIV/0!</v>
      </c>
      <c r="AI280" s="126" t="str">
        <f t="shared" si="9"/>
        <v/>
      </c>
    </row>
    <row r="281" spans="32:35" ht="15.75" customHeight="1">
      <c r="AF281" s="127">
        <f t="shared" si="8"/>
        <v>0</v>
      </c>
      <c r="AG281" s="127" t="str">
        <f>IF(AA281=0,"",Calculator!$B$5)</f>
        <v/>
      </c>
      <c r="AH281" s="127" t="e">
        <f>(AF281/Calculator!$B$10)*Calculator!$B$9</f>
        <v>#DIV/0!</v>
      </c>
      <c r="AI281" s="126" t="str">
        <f t="shared" si="9"/>
        <v/>
      </c>
    </row>
    <row r="282" spans="32:35" ht="15.75" customHeight="1">
      <c r="AF282" s="127">
        <f t="shared" si="8"/>
        <v>0</v>
      </c>
      <c r="AG282" s="127" t="str">
        <f>IF(AA282=0,"",Calculator!$B$5)</f>
        <v/>
      </c>
      <c r="AH282" s="127" t="e">
        <f>(AF282/Calculator!$B$10)*Calculator!$B$9</f>
        <v>#DIV/0!</v>
      </c>
      <c r="AI282" s="126" t="str">
        <f t="shared" si="9"/>
        <v/>
      </c>
    </row>
    <row r="283" spans="32:35" ht="15.75" customHeight="1">
      <c r="AF283" s="127">
        <f t="shared" si="8"/>
        <v>0</v>
      </c>
      <c r="AG283" s="127" t="str">
        <f>IF(AA283=0,"",Calculator!$B$5)</f>
        <v/>
      </c>
      <c r="AH283" s="127" t="e">
        <f>(AF283/Calculator!$B$10)*Calculator!$B$9</f>
        <v>#DIV/0!</v>
      </c>
      <c r="AI283" s="126" t="str">
        <f t="shared" si="9"/>
        <v/>
      </c>
    </row>
    <row r="284" spans="32:35" ht="15.75" customHeight="1">
      <c r="AF284" s="127">
        <f t="shared" si="8"/>
        <v>0</v>
      </c>
      <c r="AG284" s="127" t="str">
        <f>IF(AA284=0,"",Calculator!$B$5)</f>
        <v/>
      </c>
      <c r="AH284" s="127" t="e">
        <f>(AF284/Calculator!$B$10)*Calculator!$B$9</f>
        <v>#DIV/0!</v>
      </c>
      <c r="AI284" s="126" t="str">
        <f t="shared" si="9"/>
        <v/>
      </c>
    </row>
    <row r="285" spans="32:35" ht="15.75" customHeight="1">
      <c r="AF285" s="127">
        <f t="shared" si="8"/>
        <v>0</v>
      </c>
      <c r="AG285" s="127" t="str">
        <f>IF(AA285=0,"",Calculator!$B$5)</f>
        <v/>
      </c>
      <c r="AH285" s="127" t="e">
        <f>(AF285/Calculator!$B$10)*Calculator!$B$9</f>
        <v>#DIV/0!</v>
      </c>
      <c r="AI285" s="126" t="str">
        <f t="shared" si="9"/>
        <v/>
      </c>
    </row>
    <row r="286" spans="32:35" ht="15.75" customHeight="1">
      <c r="AF286" s="127">
        <f t="shared" si="8"/>
        <v>0</v>
      </c>
      <c r="AG286" s="127" t="str">
        <f>IF(AA286=0,"",Calculator!$B$5)</f>
        <v/>
      </c>
      <c r="AH286" s="127" t="e">
        <f>(AF286/Calculator!$B$10)*Calculator!$B$9</f>
        <v>#DIV/0!</v>
      </c>
      <c r="AI286" s="126" t="str">
        <f t="shared" si="9"/>
        <v/>
      </c>
    </row>
    <row r="287" spans="32:35" ht="15.75" customHeight="1">
      <c r="AF287" s="127">
        <f t="shared" si="8"/>
        <v>0</v>
      </c>
      <c r="AG287" s="127" t="str">
        <f>IF(AA287=0,"",Calculator!$B$5)</f>
        <v/>
      </c>
      <c r="AH287" s="127" t="e">
        <f>(AF287/Calculator!$B$10)*Calculator!$B$9</f>
        <v>#DIV/0!</v>
      </c>
      <c r="AI287" s="126" t="str">
        <f t="shared" si="9"/>
        <v/>
      </c>
    </row>
    <row r="288" spans="32:35" ht="15.75" customHeight="1">
      <c r="AF288" s="127">
        <f t="shared" si="8"/>
        <v>0</v>
      </c>
      <c r="AG288" s="127" t="str">
        <f>IF(AA288=0,"",Calculator!$B$5)</f>
        <v/>
      </c>
      <c r="AH288" s="127" t="e">
        <f>(AF288/Calculator!$B$10)*Calculator!$B$9</f>
        <v>#DIV/0!</v>
      </c>
      <c r="AI288" s="126" t="str">
        <f t="shared" si="9"/>
        <v/>
      </c>
    </row>
    <row r="289" spans="32:35" ht="15.75" customHeight="1">
      <c r="AF289" s="127">
        <f t="shared" si="8"/>
        <v>0</v>
      </c>
      <c r="AG289" s="127" t="str">
        <f>IF(AA289=0,"",Calculator!$B$5)</f>
        <v/>
      </c>
      <c r="AH289" s="127" t="e">
        <f>(AF289/Calculator!$B$10)*Calculator!$B$9</f>
        <v>#DIV/0!</v>
      </c>
      <c r="AI289" s="126" t="str">
        <f t="shared" si="9"/>
        <v/>
      </c>
    </row>
    <row r="290" spans="32:35" ht="15.75" customHeight="1">
      <c r="AF290" s="127">
        <f t="shared" si="8"/>
        <v>0</v>
      </c>
      <c r="AG290" s="127" t="str">
        <f>IF(AA290=0,"",Calculator!$B$5)</f>
        <v/>
      </c>
      <c r="AH290" s="127" t="e">
        <f>(AF290/Calculator!$B$10)*Calculator!$B$9</f>
        <v>#DIV/0!</v>
      </c>
      <c r="AI290" s="126" t="str">
        <f t="shared" si="9"/>
        <v/>
      </c>
    </row>
    <row r="291" spans="32:35" ht="15.75" customHeight="1">
      <c r="AF291" s="127">
        <f t="shared" si="8"/>
        <v>0</v>
      </c>
      <c r="AG291" s="127" t="str">
        <f>IF(AA291=0,"",Calculator!$B$5)</f>
        <v/>
      </c>
      <c r="AH291" s="127" t="e">
        <f>(AF291/Calculator!$B$10)*Calculator!$B$9</f>
        <v>#DIV/0!</v>
      </c>
      <c r="AI291" s="126" t="str">
        <f t="shared" si="9"/>
        <v/>
      </c>
    </row>
    <row r="292" spans="32:35" ht="15.75" customHeight="1">
      <c r="AF292" s="127">
        <f t="shared" si="8"/>
        <v>0</v>
      </c>
      <c r="AG292" s="127" t="str">
        <f>IF(AA292=0,"",Calculator!$B$5)</f>
        <v/>
      </c>
      <c r="AH292" s="127" t="e">
        <f>(AF292/Calculator!$B$10)*Calculator!$B$9</f>
        <v>#DIV/0!</v>
      </c>
      <c r="AI292" s="126" t="str">
        <f t="shared" si="9"/>
        <v/>
      </c>
    </row>
    <row r="293" spans="32:35" ht="15.75" customHeight="1">
      <c r="AF293" s="127">
        <f t="shared" si="8"/>
        <v>0</v>
      </c>
      <c r="AG293" s="127" t="str">
        <f>IF(AA293=0,"",Calculator!$B$5)</f>
        <v/>
      </c>
      <c r="AH293" s="127" t="e">
        <f>(AF293/Calculator!$B$10)*Calculator!$B$9</f>
        <v>#DIV/0!</v>
      </c>
      <c r="AI293" s="126" t="str">
        <f t="shared" si="9"/>
        <v/>
      </c>
    </row>
    <row r="294" spans="32:35" ht="15.75" customHeight="1">
      <c r="AF294" s="127">
        <f t="shared" si="8"/>
        <v>0</v>
      </c>
      <c r="AG294" s="127" t="str">
        <f>IF(AA294=0,"",Calculator!$B$5)</f>
        <v/>
      </c>
      <c r="AH294" s="127" t="e">
        <f>(AF294/Calculator!$B$10)*Calculator!$B$9</f>
        <v>#DIV/0!</v>
      </c>
      <c r="AI294" s="126" t="str">
        <f t="shared" si="9"/>
        <v/>
      </c>
    </row>
    <row r="295" spans="32:35" ht="15.75" customHeight="1">
      <c r="AF295" s="127">
        <f t="shared" si="8"/>
        <v>0</v>
      </c>
      <c r="AG295" s="127" t="str">
        <f>IF(AA295=0,"",Calculator!$B$5)</f>
        <v/>
      </c>
      <c r="AH295" s="127" t="e">
        <f>(AF295/Calculator!$B$10)*Calculator!$B$9</f>
        <v>#DIV/0!</v>
      </c>
      <c r="AI295" s="126" t="str">
        <f t="shared" si="9"/>
        <v/>
      </c>
    </row>
    <row r="296" spans="32:35" ht="15.75" customHeight="1">
      <c r="AF296" s="127">
        <f t="shared" si="8"/>
        <v>0</v>
      </c>
      <c r="AG296" s="127" t="str">
        <f>IF(AA296=0,"",Calculator!$B$5)</f>
        <v/>
      </c>
      <c r="AH296" s="127" t="e">
        <f>(AF296/Calculator!$B$10)*Calculator!$B$9</f>
        <v>#DIV/0!</v>
      </c>
      <c r="AI296" s="126" t="str">
        <f t="shared" si="9"/>
        <v/>
      </c>
    </row>
    <row r="297" spans="32:35" ht="15.75" customHeight="1">
      <c r="AF297" s="127">
        <f t="shared" si="8"/>
        <v>0</v>
      </c>
      <c r="AG297" s="127" t="str">
        <f>IF(AA297=0,"",Calculator!$B$5)</f>
        <v/>
      </c>
      <c r="AH297" s="127" t="e">
        <f>(AF297/Calculator!$B$10)*Calculator!$B$9</f>
        <v>#DIV/0!</v>
      </c>
      <c r="AI297" s="126" t="str">
        <f t="shared" si="9"/>
        <v/>
      </c>
    </row>
    <row r="298" spans="32:35" ht="15.75" customHeight="1">
      <c r="AF298" s="127">
        <f t="shared" si="8"/>
        <v>0</v>
      </c>
      <c r="AG298" s="127" t="str">
        <f>IF(AA298=0,"",Calculator!$B$5)</f>
        <v/>
      </c>
      <c r="AH298" s="127" t="e">
        <f>(AF298/Calculator!$B$10)*Calculator!$B$9</f>
        <v>#DIV/0!</v>
      </c>
      <c r="AI298" s="126" t="str">
        <f t="shared" si="9"/>
        <v/>
      </c>
    </row>
    <row r="299" spans="32:35" ht="15.75" customHeight="1">
      <c r="AF299" s="127">
        <f t="shared" si="8"/>
        <v>0</v>
      </c>
      <c r="AG299" s="127" t="str">
        <f>IF(AA299=0,"",Calculator!$B$5)</f>
        <v/>
      </c>
      <c r="AH299" s="127" t="e">
        <f>(AF299/Calculator!$B$10)*Calculator!$B$9</f>
        <v>#DIV/0!</v>
      </c>
      <c r="AI299" s="126" t="str">
        <f t="shared" si="9"/>
        <v/>
      </c>
    </row>
    <row r="300" spans="32:35" ht="15.75" customHeight="1">
      <c r="AF300" s="127">
        <f t="shared" si="8"/>
        <v>0</v>
      </c>
      <c r="AG300" s="127" t="str">
        <f>IF(AA300=0,"",Calculator!$B$5)</f>
        <v/>
      </c>
      <c r="AH300" s="127" t="e">
        <f>(AF300/Calculator!$B$10)*Calculator!$B$9</f>
        <v>#DIV/0!</v>
      </c>
      <c r="AI300" s="126" t="str">
        <f t="shared" si="9"/>
        <v/>
      </c>
    </row>
    <row r="301" spans="32:35" ht="15.75" customHeight="1">
      <c r="AF301" s="127">
        <f t="shared" si="8"/>
        <v>0</v>
      </c>
      <c r="AG301" s="127" t="str">
        <f>IF(AA301=0,"",Calculator!$B$5)</f>
        <v/>
      </c>
      <c r="AH301" s="127" t="e">
        <f>(AF301/Calculator!$B$10)*Calculator!$B$9</f>
        <v>#DIV/0!</v>
      </c>
      <c r="AI301" s="126" t="str">
        <f t="shared" si="9"/>
        <v/>
      </c>
    </row>
    <row r="302" spans="32:35" ht="15.75" customHeight="1">
      <c r="AF302" s="127">
        <f t="shared" si="8"/>
        <v>0</v>
      </c>
      <c r="AG302" s="127" t="str">
        <f>IF(AA302=0,"",Calculator!$B$5)</f>
        <v/>
      </c>
      <c r="AH302" s="127" t="e">
        <f>(AF302/Calculator!$B$10)*Calculator!$B$9</f>
        <v>#DIV/0!</v>
      </c>
      <c r="AI302" s="126" t="str">
        <f t="shared" si="9"/>
        <v/>
      </c>
    </row>
    <row r="303" spans="32:35" ht="15.75" customHeight="1">
      <c r="AF303" s="127">
        <f t="shared" si="8"/>
        <v>0</v>
      </c>
      <c r="AG303" s="127" t="str">
        <f>IF(AA303=0,"",Calculator!$B$5)</f>
        <v/>
      </c>
      <c r="AH303" s="127" t="e">
        <f>(AF303/Calculator!$B$10)*Calculator!$B$9</f>
        <v>#DIV/0!</v>
      </c>
      <c r="AI303" s="126" t="str">
        <f t="shared" si="9"/>
        <v/>
      </c>
    </row>
    <row r="304" spans="32:35" ht="15.75" customHeight="1">
      <c r="AF304" s="127">
        <f t="shared" si="8"/>
        <v>0</v>
      </c>
      <c r="AG304" s="127" t="str">
        <f>IF(AA304=0,"",Calculator!$B$5)</f>
        <v/>
      </c>
      <c r="AH304" s="127" t="e">
        <f>(AF304/Calculator!$B$10)*Calculator!$B$9</f>
        <v>#DIV/0!</v>
      </c>
      <c r="AI304" s="126" t="str">
        <f t="shared" si="9"/>
        <v/>
      </c>
    </row>
    <row r="305" spans="32:35" ht="15.75" customHeight="1">
      <c r="AF305" s="127">
        <f t="shared" si="8"/>
        <v>0</v>
      </c>
      <c r="AG305" s="127" t="str">
        <f>IF(AA305=0,"",Calculator!$B$5)</f>
        <v/>
      </c>
      <c r="AH305" s="127" t="e">
        <f>(AF305/Calculator!$B$10)*Calculator!$B$9</f>
        <v>#DIV/0!</v>
      </c>
      <c r="AI305" s="126" t="str">
        <f t="shared" si="9"/>
        <v/>
      </c>
    </row>
    <row r="306" spans="32:35" ht="15.75" customHeight="1">
      <c r="AF306" s="127">
        <f t="shared" si="8"/>
        <v>0</v>
      </c>
      <c r="AG306" s="127" t="str">
        <f>IF(AA306=0,"",Calculator!$B$5)</f>
        <v/>
      </c>
      <c r="AH306" s="127" t="e">
        <f>(AF306/Calculator!$B$10)*Calculator!$B$9</f>
        <v>#DIV/0!</v>
      </c>
      <c r="AI306" s="126" t="str">
        <f t="shared" si="9"/>
        <v/>
      </c>
    </row>
    <row r="307" spans="32:35" ht="15.75" customHeight="1">
      <c r="AF307" s="127">
        <f t="shared" si="8"/>
        <v>0</v>
      </c>
      <c r="AG307" s="127" t="str">
        <f>IF(AA307=0,"",Calculator!$B$5)</f>
        <v/>
      </c>
      <c r="AH307" s="127" t="e">
        <f>(AF307/Calculator!$B$10)*Calculator!$B$9</f>
        <v>#DIV/0!</v>
      </c>
      <c r="AI307" s="126" t="str">
        <f t="shared" si="9"/>
        <v/>
      </c>
    </row>
    <row r="308" spans="32:35" ht="15.75" customHeight="1">
      <c r="AF308" s="127">
        <f t="shared" si="8"/>
        <v>0</v>
      </c>
      <c r="AG308" s="127" t="str">
        <f>IF(AA308=0,"",Calculator!$B$5)</f>
        <v/>
      </c>
      <c r="AH308" s="127" t="e">
        <f>(AF308/Calculator!$B$10)*Calculator!$B$9</f>
        <v>#DIV/0!</v>
      </c>
      <c r="AI308" s="126" t="str">
        <f t="shared" si="9"/>
        <v/>
      </c>
    </row>
    <row r="309" spans="32:35" ht="15.75" customHeight="1">
      <c r="AF309" s="127">
        <f t="shared" si="8"/>
        <v>0</v>
      </c>
      <c r="AG309" s="127" t="str">
        <f>IF(AA309=0,"",Calculator!$B$5)</f>
        <v/>
      </c>
      <c r="AH309" s="127" t="e">
        <f>(AF309/Calculator!$B$10)*Calculator!$B$9</f>
        <v>#DIV/0!</v>
      </c>
      <c r="AI309" s="126" t="str">
        <f t="shared" si="9"/>
        <v/>
      </c>
    </row>
    <row r="310" spans="32:35" ht="15.75" customHeight="1">
      <c r="AF310" s="127">
        <f t="shared" si="8"/>
        <v>0</v>
      </c>
      <c r="AG310" s="127" t="str">
        <f>IF(AA310=0,"",Calculator!$B$5)</f>
        <v/>
      </c>
      <c r="AH310" s="127" t="e">
        <f>(AF310/Calculator!$B$10)*Calculator!$B$9</f>
        <v>#DIV/0!</v>
      </c>
      <c r="AI310" s="126" t="str">
        <f t="shared" si="9"/>
        <v/>
      </c>
    </row>
    <row r="311" spans="32:35" ht="15.75" customHeight="1">
      <c r="AF311" s="127">
        <f t="shared" si="8"/>
        <v>0</v>
      </c>
      <c r="AG311" s="127" t="str">
        <f>IF(AA311=0,"",Calculator!$B$5)</f>
        <v/>
      </c>
      <c r="AH311" s="127" t="e">
        <f>(AF311/Calculator!$B$10)*Calculator!$B$9</f>
        <v>#DIV/0!</v>
      </c>
      <c r="AI311" s="126" t="str">
        <f t="shared" si="9"/>
        <v/>
      </c>
    </row>
    <row r="312" spans="32:35" ht="15.75" customHeight="1">
      <c r="AF312" s="127">
        <f t="shared" si="8"/>
        <v>0</v>
      </c>
      <c r="AG312" s="127" t="str">
        <f>IF(AA312=0,"",Calculator!$B$5)</f>
        <v/>
      </c>
      <c r="AH312" s="127" t="e">
        <f>(AF312/Calculator!$B$10)*Calculator!$B$9</f>
        <v>#DIV/0!</v>
      </c>
      <c r="AI312" s="126" t="str">
        <f t="shared" si="9"/>
        <v/>
      </c>
    </row>
    <row r="313" spans="32:35" ht="15.75" customHeight="1">
      <c r="AF313" s="127">
        <f t="shared" si="8"/>
        <v>0</v>
      </c>
      <c r="AG313" s="127" t="str">
        <f>IF(AA313=0,"",Calculator!$B$5)</f>
        <v/>
      </c>
      <c r="AH313" s="127" t="e">
        <f>(AF313/Calculator!$B$10)*Calculator!$B$9</f>
        <v>#DIV/0!</v>
      </c>
      <c r="AI313" s="126" t="str">
        <f t="shared" si="9"/>
        <v/>
      </c>
    </row>
    <row r="314" spans="32:35" ht="15.75" customHeight="1">
      <c r="AF314" s="127">
        <f t="shared" si="8"/>
        <v>0</v>
      </c>
      <c r="AG314" s="127" t="str">
        <f>IF(AA314=0,"",Calculator!$B$5)</f>
        <v/>
      </c>
      <c r="AH314" s="127" t="e">
        <f>(AF314/Calculator!$B$10)*Calculator!$B$9</f>
        <v>#DIV/0!</v>
      </c>
      <c r="AI314" s="126" t="str">
        <f t="shared" si="9"/>
        <v/>
      </c>
    </row>
    <row r="315" spans="32:35" ht="15.75" customHeight="1">
      <c r="AF315" s="127">
        <f t="shared" si="8"/>
        <v>0</v>
      </c>
      <c r="AG315" s="127" t="str">
        <f>IF(AA315=0,"",Calculator!$B$5)</f>
        <v/>
      </c>
      <c r="AH315" s="127" t="e">
        <f>(AF315/Calculator!$B$10)*Calculator!$B$9</f>
        <v>#DIV/0!</v>
      </c>
      <c r="AI315" s="126" t="str">
        <f t="shared" si="9"/>
        <v/>
      </c>
    </row>
    <row r="316" spans="32:35" ht="15.75" customHeight="1">
      <c r="AF316" s="127">
        <f t="shared" si="8"/>
        <v>0</v>
      </c>
      <c r="AG316" s="127" t="str">
        <f>IF(AA316=0,"",Calculator!$B$5)</f>
        <v/>
      </c>
      <c r="AH316" s="127" t="e">
        <f>(AF316/Calculator!$B$10)*Calculator!$B$9</f>
        <v>#DIV/0!</v>
      </c>
      <c r="AI316" s="126" t="str">
        <f t="shared" si="9"/>
        <v/>
      </c>
    </row>
    <row r="317" spans="32:35" ht="15.75" customHeight="1">
      <c r="AF317" s="127">
        <f t="shared" si="8"/>
        <v>0</v>
      </c>
      <c r="AG317" s="127" t="str">
        <f>IF(AA317=0,"",Calculator!$B$5)</f>
        <v/>
      </c>
      <c r="AH317" s="127" t="e">
        <f>(AF317/Calculator!$B$10)*Calculator!$B$9</f>
        <v>#DIV/0!</v>
      </c>
      <c r="AI317" s="126" t="str">
        <f t="shared" si="9"/>
        <v/>
      </c>
    </row>
    <row r="318" spans="32:35" ht="15.75" customHeight="1">
      <c r="AF318" s="127">
        <f t="shared" si="8"/>
        <v>0</v>
      </c>
      <c r="AG318" s="127" t="str">
        <f>IF(AA318=0,"",Calculator!$B$5)</f>
        <v/>
      </c>
      <c r="AH318" s="127" t="e">
        <f>(AF318/Calculator!$B$10)*Calculator!$B$9</f>
        <v>#DIV/0!</v>
      </c>
      <c r="AI318" s="126" t="str">
        <f t="shared" si="9"/>
        <v/>
      </c>
    </row>
    <row r="319" spans="32:35" ht="15.75" customHeight="1">
      <c r="AF319" s="127">
        <f t="shared" si="8"/>
        <v>0</v>
      </c>
      <c r="AG319" s="127" t="str">
        <f>IF(AA319=0,"",Calculator!$B$5)</f>
        <v/>
      </c>
      <c r="AH319" s="127" t="e">
        <f>(AF319/Calculator!$B$10)*Calculator!$B$9</f>
        <v>#DIV/0!</v>
      </c>
      <c r="AI319" s="126" t="str">
        <f t="shared" si="9"/>
        <v/>
      </c>
    </row>
    <row r="320" spans="32:35" ht="15.75" customHeight="1">
      <c r="AF320" s="127">
        <f t="shared" si="8"/>
        <v>0</v>
      </c>
      <c r="AG320" s="127" t="str">
        <f>IF(AA320=0,"",Calculator!$B$5)</f>
        <v/>
      </c>
      <c r="AH320" s="127" t="e">
        <f>(AF320/Calculator!$B$10)*Calculator!$B$9</f>
        <v>#DIV/0!</v>
      </c>
      <c r="AI320" s="126" t="str">
        <f t="shared" si="9"/>
        <v/>
      </c>
    </row>
    <row r="321" spans="32:35" ht="15.75" customHeight="1">
      <c r="AF321" s="127">
        <f t="shared" si="8"/>
        <v>0</v>
      </c>
      <c r="AG321" s="127" t="str">
        <f>IF(AA321=0,"",Calculator!$B$5)</f>
        <v/>
      </c>
      <c r="AH321" s="127" t="e">
        <f>(AF321/Calculator!$B$10)*Calculator!$B$9</f>
        <v>#DIV/0!</v>
      </c>
      <c r="AI321" s="126" t="str">
        <f t="shared" si="9"/>
        <v/>
      </c>
    </row>
    <row r="322" spans="32:35" ht="15.75" customHeight="1">
      <c r="AF322" s="127">
        <f t="shared" si="8"/>
        <v>0</v>
      </c>
      <c r="AG322" s="127" t="str">
        <f>IF(AA322=0,"",Calculator!$B$5)</f>
        <v/>
      </c>
      <c r="AH322" s="127" t="e">
        <f>(AF322/Calculator!$B$10)*Calculator!$B$9</f>
        <v>#DIV/0!</v>
      </c>
      <c r="AI322" s="126" t="str">
        <f t="shared" si="9"/>
        <v/>
      </c>
    </row>
    <row r="323" spans="32:35" ht="15.75" customHeight="1">
      <c r="AF323" s="127">
        <f t="shared" si="8"/>
        <v>0</v>
      </c>
      <c r="AG323" s="127" t="str">
        <f>IF(AA323=0,"",Calculator!$B$5)</f>
        <v/>
      </c>
      <c r="AH323" s="127" t="e">
        <f>(AF323/Calculator!$B$10)*Calculator!$B$9</f>
        <v>#DIV/0!</v>
      </c>
      <c r="AI323" s="126" t="str">
        <f t="shared" si="9"/>
        <v/>
      </c>
    </row>
    <row r="324" spans="32:35" ht="15.75" customHeight="1">
      <c r="AF324" s="127">
        <f t="shared" si="8"/>
        <v>0</v>
      </c>
      <c r="AG324" s="127" t="str">
        <f>IF(AA324=0,"",Calculator!$B$5)</f>
        <v/>
      </c>
      <c r="AH324" s="127" t="e">
        <f>(AF324/Calculator!$B$10)*Calculator!$B$9</f>
        <v>#DIV/0!</v>
      </c>
      <c r="AI324" s="126" t="str">
        <f t="shared" si="9"/>
        <v/>
      </c>
    </row>
    <row r="325" spans="32:35" ht="15.75" customHeight="1">
      <c r="AF325" s="127">
        <f t="shared" si="8"/>
        <v>0</v>
      </c>
      <c r="AG325" s="127" t="str">
        <f>IF(AA325=0,"",Calculator!$B$5)</f>
        <v/>
      </c>
      <c r="AH325" s="127" t="e">
        <f>(AF325/Calculator!$B$10)*Calculator!$B$9</f>
        <v>#DIV/0!</v>
      </c>
      <c r="AI325" s="126" t="str">
        <f t="shared" si="9"/>
        <v/>
      </c>
    </row>
    <row r="326" spans="32:35" ht="15.75" customHeight="1">
      <c r="AF326" s="127">
        <f t="shared" si="8"/>
        <v>0</v>
      </c>
      <c r="AG326" s="127" t="str">
        <f>IF(AA326=0,"",Calculator!$B$5)</f>
        <v/>
      </c>
      <c r="AH326" s="127" t="e">
        <f>(AF326/Calculator!$B$10)*Calculator!$B$9</f>
        <v>#DIV/0!</v>
      </c>
      <c r="AI326" s="126" t="str">
        <f t="shared" si="9"/>
        <v/>
      </c>
    </row>
    <row r="327" spans="32:35" ht="15.75" customHeight="1">
      <c r="AF327" s="127">
        <f t="shared" si="8"/>
        <v>0</v>
      </c>
      <c r="AG327" s="127" t="str">
        <f>IF(AA327=0,"",Calculator!$B$5)</f>
        <v/>
      </c>
      <c r="AH327" s="127" t="e">
        <f>(AF327/Calculator!$B$10)*Calculator!$B$9</f>
        <v>#DIV/0!</v>
      </c>
      <c r="AI327" s="126" t="str">
        <f t="shared" si="9"/>
        <v/>
      </c>
    </row>
    <row r="328" spans="32:35" ht="15.75" customHeight="1">
      <c r="AF328" s="127">
        <f t="shared" si="8"/>
        <v>0</v>
      </c>
      <c r="AG328" s="127" t="str">
        <f>IF(AA328=0,"",Calculator!$B$5)</f>
        <v/>
      </c>
      <c r="AH328" s="127" t="e">
        <f>(AF328/Calculator!$B$10)*Calculator!$B$9</f>
        <v>#DIV/0!</v>
      </c>
      <c r="AI328" s="126" t="str">
        <f t="shared" si="9"/>
        <v/>
      </c>
    </row>
    <row r="329" spans="32:35" ht="15.75" customHeight="1">
      <c r="AF329" s="127">
        <f t="shared" si="8"/>
        <v>0</v>
      </c>
      <c r="AG329" s="127" t="str">
        <f>IF(AA329=0,"",Calculator!$B$5)</f>
        <v/>
      </c>
      <c r="AH329" s="127" t="e">
        <f>(AF329/Calculator!$B$10)*Calculator!$B$9</f>
        <v>#DIV/0!</v>
      </c>
      <c r="AI329" s="126" t="str">
        <f t="shared" si="9"/>
        <v/>
      </c>
    </row>
    <row r="330" spans="32:35" ht="15.75" customHeight="1">
      <c r="AF330" s="127">
        <f t="shared" ref="AF330:AF393" si="10">IFERROR(AA330*AG330,0)</f>
        <v>0</v>
      </c>
      <c r="AG330" s="127" t="str">
        <f>IF(AA330=0,"",Calculator!$B$5)</f>
        <v/>
      </c>
      <c r="AH330" s="127" t="e">
        <f>(AF330/Calculator!$B$10)*Calculator!$B$9</f>
        <v>#DIV/0!</v>
      </c>
      <c r="AI330" s="126" t="str">
        <f t="shared" ref="AI330:AI393" si="11">IF(ISBLANK(AA330),"","RS Means")</f>
        <v/>
      </c>
    </row>
    <row r="331" spans="32:35" ht="15.75" customHeight="1">
      <c r="AF331" s="127">
        <f t="shared" si="10"/>
        <v>0</v>
      </c>
      <c r="AG331" s="127" t="str">
        <f>IF(AA331=0,"",Calculator!$B$5)</f>
        <v/>
      </c>
      <c r="AH331" s="127" t="e">
        <f>(AF331/Calculator!$B$10)*Calculator!$B$9</f>
        <v>#DIV/0!</v>
      </c>
      <c r="AI331" s="126" t="str">
        <f t="shared" si="11"/>
        <v/>
      </c>
    </row>
    <row r="332" spans="32:35" ht="15.75" customHeight="1">
      <c r="AF332" s="127">
        <f t="shared" si="10"/>
        <v>0</v>
      </c>
      <c r="AG332" s="127" t="str">
        <f>IF(AA332=0,"",Calculator!$B$5)</f>
        <v/>
      </c>
      <c r="AH332" s="127" t="e">
        <f>(AF332/Calculator!$B$10)*Calculator!$B$9</f>
        <v>#DIV/0!</v>
      </c>
      <c r="AI332" s="126" t="str">
        <f t="shared" si="11"/>
        <v/>
      </c>
    </row>
    <row r="333" spans="32:35" ht="15.75" customHeight="1">
      <c r="AF333" s="127">
        <f t="shared" si="10"/>
        <v>0</v>
      </c>
      <c r="AG333" s="127" t="str">
        <f>IF(AA333=0,"",Calculator!$B$5)</f>
        <v/>
      </c>
      <c r="AH333" s="127" t="e">
        <f>(AF333/Calculator!$B$10)*Calculator!$B$9</f>
        <v>#DIV/0!</v>
      </c>
      <c r="AI333" s="126" t="str">
        <f t="shared" si="11"/>
        <v/>
      </c>
    </row>
    <row r="334" spans="32:35" ht="15.75" customHeight="1">
      <c r="AF334" s="127">
        <f t="shared" si="10"/>
        <v>0</v>
      </c>
      <c r="AG334" s="127" t="str">
        <f>IF(AA334=0,"",Calculator!$B$5)</f>
        <v/>
      </c>
      <c r="AH334" s="127" t="e">
        <f>(AF334/Calculator!$B$10)*Calculator!$B$9</f>
        <v>#DIV/0!</v>
      </c>
      <c r="AI334" s="126" t="str">
        <f t="shared" si="11"/>
        <v/>
      </c>
    </row>
    <row r="335" spans="32:35" ht="15.75" customHeight="1">
      <c r="AF335" s="127">
        <f t="shared" si="10"/>
        <v>0</v>
      </c>
      <c r="AG335" s="127" t="str">
        <f>IF(AA335=0,"",Calculator!$B$5)</f>
        <v/>
      </c>
      <c r="AH335" s="127" t="e">
        <f>(AF335/Calculator!$B$10)*Calculator!$B$9</f>
        <v>#DIV/0!</v>
      </c>
      <c r="AI335" s="126" t="str">
        <f t="shared" si="11"/>
        <v/>
      </c>
    </row>
    <row r="336" spans="32:35" ht="15.75" customHeight="1">
      <c r="AF336" s="127">
        <f t="shared" si="10"/>
        <v>0</v>
      </c>
      <c r="AG336" s="127" t="str">
        <f>IF(AA336=0,"",Calculator!$B$5)</f>
        <v/>
      </c>
      <c r="AH336" s="127" t="e">
        <f>(AF336/Calculator!$B$10)*Calculator!$B$9</f>
        <v>#DIV/0!</v>
      </c>
      <c r="AI336" s="126" t="str">
        <f t="shared" si="11"/>
        <v/>
      </c>
    </row>
    <row r="337" spans="32:35" ht="15.75" customHeight="1">
      <c r="AF337" s="127">
        <f t="shared" si="10"/>
        <v>0</v>
      </c>
      <c r="AG337" s="127" t="str">
        <f>IF(AA337=0,"",Calculator!$B$5)</f>
        <v/>
      </c>
      <c r="AH337" s="127" t="e">
        <f>(AF337/Calculator!$B$10)*Calculator!$B$9</f>
        <v>#DIV/0!</v>
      </c>
      <c r="AI337" s="126" t="str">
        <f t="shared" si="11"/>
        <v/>
      </c>
    </row>
    <row r="338" spans="32:35" ht="15.75" customHeight="1">
      <c r="AF338" s="127">
        <f t="shared" si="10"/>
        <v>0</v>
      </c>
      <c r="AG338" s="127" t="str">
        <f>IF(AA338=0,"",Calculator!$B$5)</f>
        <v/>
      </c>
      <c r="AH338" s="127" t="e">
        <f>(AF338/Calculator!$B$10)*Calculator!$B$9</f>
        <v>#DIV/0!</v>
      </c>
      <c r="AI338" s="126" t="str">
        <f t="shared" si="11"/>
        <v/>
      </c>
    </row>
    <row r="339" spans="32:35" ht="15.75" customHeight="1">
      <c r="AF339" s="127">
        <f t="shared" si="10"/>
        <v>0</v>
      </c>
      <c r="AG339" s="127" t="str">
        <f>IF(AA339=0,"",Calculator!$B$5)</f>
        <v/>
      </c>
      <c r="AH339" s="127" t="e">
        <f>(AF339/Calculator!$B$10)*Calculator!$B$9</f>
        <v>#DIV/0!</v>
      </c>
      <c r="AI339" s="126" t="str">
        <f t="shared" si="11"/>
        <v/>
      </c>
    </row>
    <row r="340" spans="32:35" ht="15.75" customHeight="1">
      <c r="AF340" s="127">
        <f t="shared" si="10"/>
        <v>0</v>
      </c>
      <c r="AG340" s="127" t="str">
        <f>IF(AA340=0,"",Calculator!$B$5)</f>
        <v/>
      </c>
      <c r="AH340" s="127" t="e">
        <f>(AF340/Calculator!$B$10)*Calculator!$B$9</f>
        <v>#DIV/0!</v>
      </c>
      <c r="AI340" s="126" t="str">
        <f t="shared" si="11"/>
        <v/>
      </c>
    </row>
    <row r="341" spans="32:35" ht="15.75" customHeight="1">
      <c r="AF341" s="127">
        <f t="shared" si="10"/>
        <v>0</v>
      </c>
      <c r="AG341" s="127" t="str">
        <f>IF(AA341=0,"",Calculator!$B$5)</f>
        <v/>
      </c>
      <c r="AH341" s="127" t="e">
        <f>(AF341/Calculator!$B$10)*Calculator!$B$9</f>
        <v>#DIV/0!</v>
      </c>
      <c r="AI341" s="126" t="str">
        <f t="shared" si="11"/>
        <v/>
      </c>
    </row>
    <row r="342" spans="32:35" ht="15.75" customHeight="1">
      <c r="AF342" s="127">
        <f t="shared" si="10"/>
        <v>0</v>
      </c>
      <c r="AG342" s="127" t="str">
        <f>IF(AA342=0,"",Calculator!$B$5)</f>
        <v/>
      </c>
      <c r="AH342" s="127" t="e">
        <f>(AF342/Calculator!$B$10)*Calculator!$B$9</f>
        <v>#DIV/0!</v>
      </c>
      <c r="AI342" s="126" t="str">
        <f t="shared" si="11"/>
        <v/>
      </c>
    </row>
    <row r="343" spans="32:35" ht="15.75" customHeight="1">
      <c r="AF343" s="127">
        <f t="shared" si="10"/>
        <v>0</v>
      </c>
      <c r="AG343" s="127" t="str">
        <f>IF(AA343=0,"",Calculator!$B$5)</f>
        <v/>
      </c>
      <c r="AH343" s="127" t="e">
        <f>(AF343/Calculator!$B$10)*Calculator!$B$9</f>
        <v>#DIV/0!</v>
      </c>
      <c r="AI343" s="126" t="str">
        <f t="shared" si="11"/>
        <v/>
      </c>
    </row>
    <row r="344" spans="32:35" ht="15.75" customHeight="1">
      <c r="AF344" s="127">
        <f t="shared" si="10"/>
        <v>0</v>
      </c>
      <c r="AG344" s="127" t="str">
        <f>IF(AA344=0,"",Calculator!$B$5)</f>
        <v/>
      </c>
      <c r="AH344" s="127" t="e">
        <f>(AF344/Calculator!$B$10)*Calculator!$B$9</f>
        <v>#DIV/0!</v>
      </c>
      <c r="AI344" s="126" t="str">
        <f t="shared" si="11"/>
        <v/>
      </c>
    </row>
    <row r="345" spans="32:35" ht="15.75" customHeight="1">
      <c r="AF345" s="127">
        <f t="shared" si="10"/>
        <v>0</v>
      </c>
      <c r="AG345" s="127" t="str">
        <f>IF(AA345=0,"",Calculator!$B$5)</f>
        <v/>
      </c>
      <c r="AH345" s="127" t="e">
        <f>(AF345/Calculator!$B$10)*Calculator!$B$9</f>
        <v>#DIV/0!</v>
      </c>
      <c r="AI345" s="126" t="str">
        <f t="shared" si="11"/>
        <v/>
      </c>
    </row>
    <row r="346" spans="32:35" ht="15.75" customHeight="1">
      <c r="AF346" s="127">
        <f t="shared" si="10"/>
        <v>0</v>
      </c>
      <c r="AG346" s="127" t="str">
        <f>IF(AA346=0,"",Calculator!$B$5)</f>
        <v/>
      </c>
      <c r="AH346" s="127" t="e">
        <f>(AF346/Calculator!$B$10)*Calculator!$B$9</f>
        <v>#DIV/0!</v>
      </c>
      <c r="AI346" s="126" t="str">
        <f t="shared" si="11"/>
        <v/>
      </c>
    </row>
    <row r="347" spans="32:35" ht="15.75" customHeight="1">
      <c r="AF347" s="127">
        <f t="shared" si="10"/>
        <v>0</v>
      </c>
      <c r="AG347" s="127" t="str">
        <f>IF(AA347=0,"",Calculator!$B$5)</f>
        <v/>
      </c>
      <c r="AH347" s="127" t="e">
        <f>(AF347/Calculator!$B$10)*Calculator!$B$9</f>
        <v>#DIV/0!</v>
      </c>
      <c r="AI347" s="126" t="str">
        <f t="shared" si="11"/>
        <v/>
      </c>
    </row>
    <row r="348" spans="32:35" ht="15.75" customHeight="1">
      <c r="AF348" s="127">
        <f t="shared" si="10"/>
        <v>0</v>
      </c>
      <c r="AG348" s="127" t="str">
        <f>IF(AA348=0,"",Calculator!$B$5)</f>
        <v/>
      </c>
      <c r="AH348" s="127" t="e">
        <f>(AF348/Calculator!$B$10)*Calculator!$B$9</f>
        <v>#DIV/0!</v>
      </c>
      <c r="AI348" s="126" t="str">
        <f t="shared" si="11"/>
        <v/>
      </c>
    </row>
    <row r="349" spans="32:35" ht="15.75" customHeight="1">
      <c r="AF349" s="127">
        <f t="shared" si="10"/>
        <v>0</v>
      </c>
      <c r="AG349" s="127" t="str">
        <f>IF(AA349=0,"",Calculator!$B$5)</f>
        <v/>
      </c>
      <c r="AH349" s="127" t="e">
        <f>(AF349/Calculator!$B$10)*Calculator!$B$9</f>
        <v>#DIV/0!</v>
      </c>
      <c r="AI349" s="126" t="str">
        <f t="shared" si="11"/>
        <v/>
      </c>
    </row>
    <row r="350" spans="32:35" ht="15.75" customHeight="1">
      <c r="AF350" s="127">
        <f t="shared" si="10"/>
        <v>0</v>
      </c>
      <c r="AG350" s="127" t="str">
        <f>IF(AA350=0,"",Calculator!$B$5)</f>
        <v/>
      </c>
      <c r="AH350" s="127" t="e">
        <f>(AF350/Calculator!$B$10)*Calculator!$B$9</f>
        <v>#DIV/0!</v>
      </c>
      <c r="AI350" s="126" t="str">
        <f t="shared" si="11"/>
        <v/>
      </c>
    </row>
    <row r="351" spans="32:35" ht="15.75" customHeight="1">
      <c r="AF351" s="127">
        <f t="shared" si="10"/>
        <v>0</v>
      </c>
      <c r="AG351" s="127" t="str">
        <f>IF(AA351=0,"",Calculator!$B$5)</f>
        <v/>
      </c>
      <c r="AH351" s="127" t="e">
        <f>(AF351/Calculator!$B$10)*Calculator!$B$9</f>
        <v>#DIV/0!</v>
      </c>
      <c r="AI351" s="126" t="str">
        <f t="shared" si="11"/>
        <v/>
      </c>
    </row>
    <row r="352" spans="32:35" ht="15.75" customHeight="1">
      <c r="AF352" s="127">
        <f t="shared" si="10"/>
        <v>0</v>
      </c>
      <c r="AG352" s="127" t="str">
        <f>IF(AA352=0,"",Calculator!$B$5)</f>
        <v/>
      </c>
      <c r="AH352" s="127" t="e">
        <f>(AF352/Calculator!$B$10)*Calculator!$B$9</f>
        <v>#DIV/0!</v>
      </c>
      <c r="AI352" s="126" t="str">
        <f t="shared" si="11"/>
        <v/>
      </c>
    </row>
    <row r="353" spans="32:35" ht="15.75" customHeight="1">
      <c r="AF353" s="127">
        <f t="shared" si="10"/>
        <v>0</v>
      </c>
      <c r="AG353" s="127" t="str">
        <f>IF(AA353=0,"",Calculator!$B$5)</f>
        <v/>
      </c>
      <c r="AH353" s="127" t="e">
        <f>(AF353/Calculator!$B$10)*Calculator!$B$9</f>
        <v>#DIV/0!</v>
      </c>
      <c r="AI353" s="126" t="str">
        <f t="shared" si="11"/>
        <v/>
      </c>
    </row>
    <row r="354" spans="32:35" ht="15.75" customHeight="1">
      <c r="AF354" s="127">
        <f t="shared" si="10"/>
        <v>0</v>
      </c>
      <c r="AG354" s="127" t="str">
        <f>IF(AA354=0,"",Calculator!$B$5)</f>
        <v/>
      </c>
      <c r="AH354" s="127" t="e">
        <f>(AF354/Calculator!$B$10)*Calculator!$B$9</f>
        <v>#DIV/0!</v>
      </c>
      <c r="AI354" s="126" t="str">
        <f t="shared" si="11"/>
        <v/>
      </c>
    </row>
    <row r="355" spans="32:35" ht="15.75" customHeight="1">
      <c r="AF355" s="127">
        <f t="shared" si="10"/>
        <v>0</v>
      </c>
      <c r="AG355" s="127" t="str">
        <f>IF(AA355=0,"",Calculator!$B$5)</f>
        <v/>
      </c>
      <c r="AH355" s="127" t="e">
        <f>(AF355/Calculator!$B$10)*Calculator!$B$9</f>
        <v>#DIV/0!</v>
      </c>
      <c r="AI355" s="126" t="str">
        <f t="shared" si="11"/>
        <v/>
      </c>
    </row>
    <row r="356" spans="32:35" ht="15.75" customHeight="1">
      <c r="AF356" s="127">
        <f t="shared" si="10"/>
        <v>0</v>
      </c>
      <c r="AG356" s="127" t="str">
        <f>IF(AA356=0,"",Calculator!$B$5)</f>
        <v/>
      </c>
      <c r="AH356" s="127" t="e">
        <f>(AF356/Calculator!$B$10)*Calculator!$B$9</f>
        <v>#DIV/0!</v>
      </c>
      <c r="AI356" s="126" t="str">
        <f t="shared" si="11"/>
        <v/>
      </c>
    </row>
    <row r="357" spans="32:35" ht="15.75" customHeight="1">
      <c r="AF357" s="127">
        <f t="shared" si="10"/>
        <v>0</v>
      </c>
      <c r="AG357" s="127" t="str">
        <f>IF(AA357=0,"",Calculator!$B$5)</f>
        <v/>
      </c>
      <c r="AH357" s="127" t="e">
        <f>(AF357/Calculator!$B$10)*Calculator!$B$9</f>
        <v>#DIV/0!</v>
      </c>
      <c r="AI357" s="126" t="str">
        <f t="shared" si="11"/>
        <v/>
      </c>
    </row>
    <row r="358" spans="32:35" ht="15.75" customHeight="1">
      <c r="AF358" s="127">
        <f t="shared" si="10"/>
        <v>0</v>
      </c>
      <c r="AG358" s="127" t="str">
        <f>IF(AA358=0,"",Calculator!$B$5)</f>
        <v/>
      </c>
      <c r="AH358" s="127" t="e">
        <f>(AF358/Calculator!$B$10)*Calculator!$B$9</f>
        <v>#DIV/0!</v>
      </c>
      <c r="AI358" s="126" t="str">
        <f t="shared" si="11"/>
        <v/>
      </c>
    </row>
    <row r="359" spans="32:35" ht="15.75" customHeight="1">
      <c r="AF359" s="127">
        <f t="shared" si="10"/>
        <v>0</v>
      </c>
      <c r="AG359" s="127" t="str">
        <f>IF(AA359=0,"",Calculator!$B$5)</f>
        <v/>
      </c>
      <c r="AH359" s="127" t="e">
        <f>(AF359/Calculator!$B$10)*Calculator!$B$9</f>
        <v>#DIV/0!</v>
      </c>
      <c r="AI359" s="126" t="str">
        <f t="shared" si="11"/>
        <v/>
      </c>
    </row>
    <row r="360" spans="32:35" ht="15.75" customHeight="1">
      <c r="AF360" s="127">
        <f t="shared" si="10"/>
        <v>0</v>
      </c>
      <c r="AG360" s="127" t="str">
        <f>IF(AA360=0,"",Calculator!$B$5)</f>
        <v/>
      </c>
      <c r="AH360" s="127" t="e">
        <f>(AF360/Calculator!$B$10)*Calculator!$B$9</f>
        <v>#DIV/0!</v>
      </c>
      <c r="AI360" s="126" t="str">
        <f t="shared" si="11"/>
        <v/>
      </c>
    </row>
    <row r="361" spans="32:35" ht="15.75" customHeight="1">
      <c r="AF361" s="127">
        <f t="shared" si="10"/>
        <v>0</v>
      </c>
      <c r="AG361" s="127" t="str">
        <f>IF(AA361=0,"",Calculator!$B$5)</f>
        <v/>
      </c>
      <c r="AH361" s="127" t="e">
        <f>(AF361/Calculator!$B$10)*Calculator!$B$9</f>
        <v>#DIV/0!</v>
      </c>
      <c r="AI361" s="126" t="str">
        <f t="shared" si="11"/>
        <v/>
      </c>
    </row>
    <row r="362" spans="32:35" ht="15.75" customHeight="1">
      <c r="AF362" s="127">
        <f t="shared" si="10"/>
        <v>0</v>
      </c>
      <c r="AG362" s="127" t="str">
        <f>IF(AA362=0,"",Calculator!$B$5)</f>
        <v/>
      </c>
      <c r="AH362" s="127" t="e">
        <f>(AF362/Calculator!$B$10)*Calculator!$B$9</f>
        <v>#DIV/0!</v>
      </c>
      <c r="AI362" s="126" t="str">
        <f t="shared" si="11"/>
        <v/>
      </c>
    </row>
    <row r="363" spans="32:35" ht="15.75" customHeight="1">
      <c r="AF363" s="127">
        <f t="shared" si="10"/>
        <v>0</v>
      </c>
      <c r="AG363" s="127" t="str">
        <f>IF(AA363=0,"",Calculator!$B$5)</f>
        <v/>
      </c>
      <c r="AH363" s="127" t="e">
        <f>(AF363/Calculator!$B$10)*Calculator!$B$9</f>
        <v>#DIV/0!</v>
      </c>
      <c r="AI363" s="126" t="str">
        <f t="shared" si="11"/>
        <v/>
      </c>
    </row>
    <row r="364" spans="32:35" ht="15.75" customHeight="1">
      <c r="AF364" s="127">
        <f t="shared" si="10"/>
        <v>0</v>
      </c>
      <c r="AG364" s="127" t="str">
        <f>IF(AA364=0,"",Calculator!$B$5)</f>
        <v/>
      </c>
      <c r="AH364" s="127" t="e">
        <f>(AF364/Calculator!$B$10)*Calculator!$B$9</f>
        <v>#DIV/0!</v>
      </c>
      <c r="AI364" s="126" t="str">
        <f t="shared" si="11"/>
        <v/>
      </c>
    </row>
    <row r="365" spans="32:35" ht="15.75" customHeight="1">
      <c r="AF365" s="127">
        <f t="shared" si="10"/>
        <v>0</v>
      </c>
      <c r="AG365" s="127" t="str">
        <f>IF(AA365=0,"",Calculator!$B$5)</f>
        <v/>
      </c>
      <c r="AH365" s="127" t="e">
        <f>(AF365/Calculator!$B$10)*Calculator!$B$9</f>
        <v>#DIV/0!</v>
      </c>
      <c r="AI365" s="126" t="str">
        <f t="shared" si="11"/>
        <v/>
      </c>
    </row>
    <row r="366" spans="32:35" ht="15.75" customHeight="1">
      <c r="AF366" s="127">
        <f t="shared" si="10"/>
        <v>0</v>
      </c>
      <c r="AG366" s="127" t="str">
        <f>IF(AA366=0,"",Calculator!$B$5)</f>
        <v/>
      </c>
      <c r="AH366" s="127" t="e">
        <f>(AF366/Calculator!$B$10)*Calculator!$B$9</f>
        <v>#DIV/0!</v>
      </c>
      <c r="AI366" s="126" t="str">
        <f t="shared" si="11"/>
        <v/>
      </c>
    </row>
    <row r="367" spans="32:35" ht="15.75" customHeight="1">
      <c r="AF367" s="127">
        <f t="shared" si="10"/>
        <v>0</v>
      </c>
      <c r="AG367" s="127" t="str">
        <f>IF(AA367=0,"",Calculator!$B$5)</f>
        <v/>
      </c>
      <c r="AH367" s="127" t="e">
        <f>(AF367/Calculator!$B$10)*Calculator!$B$9</f>
        <v>#DIV/0!</v>
      </c>
      <c r="AI367" s="126" t="str">
        <f t="shared" si="11"/>
        <v/>
      </c>
    </row>
    <row r="368" spans="32:35" ht="15.75" customHeight="1">
      <c r="AF368" s="127">
        <f t="shared" si="10"/>
        <v>0</v>
      </c>
      <c r="AG368" s="127" t="str">
        <f>IF(AA368=0,"",Calculator!$B$5)</f>
        <v/>
      </c>
      <c r="AH368" s="127" t="e">
        <f>(AF368/Calculator!$B$10)*Calculator!$B$9</f>
        <v>#DIV/0!</v>
      </c>
      <c r="AI368" s="126" t="str">
        <f t="shared" si="11"/>
        <v/>
      </c>
    </row>
    <row r="369" spans="32:35" ht="15.75" customHeight="1">
      <c r="AF369" s="127">
        <f t="shared" si="10"/>
        <v>0</v>
      </c>
      <c r="AG369" s="127" t="str">
        <f>IF(AA369=0,"",Calculator!$B$5)</f>
        <v/>
      </c>
      <c r="AH369" s="127" t="e">
        <f>(AF369/Calculator!$B$10)*Calculator!$B$9</f>
        <v>#DIV/0!</v>
      </c>
      <c r="AI369" s="126" t="str">
        <f t="shared" si="11"/>
        <v/>
      </c>
    </row>
    <row r="370" spans="32:35" ht="15.75" customHeight="1">
      <c r="AF370" s="127">
        <f t="shared" si="10"/>
        <v>0</v>
      </c>
      <c r="AG370" s="127" t="str">
        <f>IF(AA370=0,"",Calculator!$B$5)</f>
        <v/>
      </c>
      <c r="AH370" s="127" t="e">
        <f>(AF370/Calculator!$B$10)*Calculator!$B$9</f>
        <v>#DIV/0!</v>
      </c>
      <c r="AI370" s="126" t="str">
        <f t="shared" si="11"/>
        <v/>
      </c>
    </row>
    <row r="371" spans="32:35" ht="15.75" customHeight="1">
      <c r="AF371" s="127">
        <f t="shared" si="10"/>
        <v>0</v>
      </c>
      <c r="AG371" s="127" t="str">
        <f>IF(AA371=0,"",Calculator!$B$5)</f>
        <v/>
      </c>
      <c r="AH371" s="127" t="e">
        <f>(AF371/Calculator!$B$10)*Calculator!$B$9</f>
        <v>#DIV/0!</v>
      </c>
      <c r="AI371" s="126" t="str">
        <f t="shared" si="11"/>
        <v/>
      </c>
    </row>
    <row r="372" spans="32:35" ht="15.75" customHeight="1">
      <c r="AF372" s="127">
        <f t="shared" si="10"/>
        <v>0</v>
      </c>
      <c r="AG372" s="127" t="str">
        <f>IF(AA372=0,"",Calculator!$B$5)</f>
        <v/>
      </c>
      <c r="AH372" s="127" t="e">
        <f>(AF372/Calculator!$B$10)*Calculator!$B$9</f>
        <v>#DIV/0!</v>
      </c>
      <c r="AI372" s="126" t="str">
        <f t="shared" si="11"/>
        <v/>
      </c>
    </row>
    <row r="373" spans="32:35" ht="15.75" customHeight="1">
      <c r="AF373" s="127">
        <f t="shared" si="10"/>
        <v>0</v>
      </c>
      <c r="AG373" s="127" t="str">
        <f>IF(AA373=0,"",Calculator!$B$5)</f>
        <v/>
      </c>
      <c r="AH373" s="127" t="e">
        <f>(AF373/Calculator!$B$10)*Calculator!$B$9</f>
        <v>#DIV/0!</v>
      </c>
      <c r="AI373" s="126" t="str">
        <f t="shared" si="11"/>
        <v/>
      </c>
    </row>
    <row r="374" spans="32:35" ht="15.75" customHeight="1">
      <c r="AF374" s="127">
        <f t="shared" si="10"/>
        <v>0</v>
      </c>
      <c r="AG374" s="127" t="str">
        <f>IF(AA374=0,"",Calculator!$B$5)</f>
        <v/>
      </c>
      <c r="AH374" s="127" t="e">
        <f>(AF374/Calculator!$B$10)*Calculator!$B$9</f>
        <v>#DIV/0!</v>
      </c>
      <c r="AI374" s="126" t="str">
        <f t="shared" si="11"/>
        <v/>
      </c>
    </row>
    <row r="375" spans="32:35" ht="15.75" customHeight="1">
      <c r="AF375" s="127">
        <f t="shared" si="10"/>
        <v>0</v>
      </c>
      <c r="AG375" s="127" t="str">
        <f>IF(AA375=0,"",Calculator!$B$5)</f>
        <v/>
      </c>
      <c r="AH375" s="127" t="e">
        <f>(AF375/Calculator!$B$10)*Calculator!$B$9</f>
        <v>#DIV/0!</v>
      </c>
      <c r="AI375" s="126" t="str">
        <f t="shared" si="11"/>
        <v/>
      </c>
    </row>
    <row r="376" spans="32:35" ht="15.75" customHeight="1">
      <c r="AF376" s="127">
        <f t="shared" si="10"/>
        <v>0</v>
      </c>
      <c r="AG376" s="127" t="str">
        <f>IF(AA376=0,"",Calculator!$B$5)</f>
        <v/>
      </c>
      <c r="AH376" s="127" t="e">
        <f>(AF376/Calculator!$B$10)*Calculator!$B$9</f>
        <v>#DIV/0!</v>
      </c>
      <c r="AI376" s="126" t="str">
        <f t="shared" si="11"/>
        <v/>
      </c>
    </row>
    <row r="377" spans="32:35" ht="15.75" customHeight="1">
      <c r="AF377" s="127">
        <f t="shared" si="10"/>
        <v>0</v>
      </c>
      <c r="AG377" s="127" t="str">
        <f>IF(AA377=0,"",Calculator!$B$5)</f>
        <v/>
      </c>
      <c r="AH377" s="127" t="e">
        <f>(AF377/Calculator!$B$10)*Calculator!$B$9</f>
        <v>#DIV/0!</v>
      </c>
      <c r="AI377" s="126" t="str">
        <f t="shared" si="11"/>
        <v/>
      </c>
    </row>
    <row r="378" spans="32:35" ht="15.75" customHeight="1">
      <c r="AF378" s="127">
        <f t="shared" si="10"/>
        <v>0</v>
      </c>
      <c r="AG378" s="127" t="str">
        <f>IF(AA378=0,"",Calculator!$B$5)</f>
        <v/>
      </c>
      <c r="AH378" s="127" t="e">
        <f>(AF378/Calculator!$B$10)*Calculator!$B$9</f>
        <v>#DIV/0!</v>
      </c>
      <c r="AI378" s="126" t="str">
        <f t="shared" si="11"/>
        <v/>
      </c>
    </row>
    <row r="379" spans="32:35" ht="15.75" customHeight="1">
      <c r="AF379" s="127">
        <f t="shared" si="10"/>
        <v>0</v>
      </c>
      <c r="AG379" s="127" t="str">
        <f>IF(AA379=0,"",Calculator!$B$5)</f>
        <v/>
      </c>
      <c r="AH379" s="127" t="e">
        <f>(AF379/Calculator!$B$10)*Calculator!$B$9</f>
        <v>#DIV/0!</v>
      </c>
      <c r="AI379" s="126" t="str">
        <f t="shared" si="11"/>
        <v/>
      </c>
    </row>
    <row r="380" spans="32:35" ht="15.75" customHeight="1">
      <c r="AF380" s="127">
        <f t="shared" si="10"/>
        <v>0</v>
      </c>
      <c r="AG380" s="127" t="str">
        <f>IF(AA380=0,"",Calculator!$B$5)</f>
        <v/>
      </c>
      <c r="AH380" s="127" t="e">
        <f>(AF380/Calculator!$B$10)*Calculator!$B$9</f>
        <v>#DIV/0!</v>
      </c>
      <c r="AI380" s="126" t="str">
        <f t="shared" si="11"/>
        <v/>
      </c>
    </row>
    <row r="381" spans="32:35" ht="15.75" customHeight="1">
      <c r="AF381" s="127">
        <f t="shared" si="10"/>
        <v>0</v>
      </c>
      <c r="AG381" s="127" t="str">
        <f>IF(AA381=0,"",Calculator!$B$5)</f>
        <v/>
      </c>
      <c r="AH381" s="127" t="e">
        <f>(AF381/Calculator!$B$10)*Calculator!$B$9</f>
        <v>#DIV/0!</v>
      </c>
      <c r="AI381" s="126" t="str">
        <f t="shared" si="11"/>
        <v/>
      </c>
    </row>
    <row r="382" spans="32:35" ht="15.75" customHeight="1">
      <c r="AF382" s="127">
        <f t="shared" si="10"/>
        <v>0</v>
      </c>
      <c r="AG382" s="127" t="str">
        <f>IF(AA382=0,"",Calculator!$B$5)</f>
        <v/>
      </c>
      <c r="AH382" s="127" t="e">
        <f>(AF382/Calculator!$B$10)*Calculator!$B$9</f>
        <v>#DIV/0!</v>
      </c>
      <c r="AI382" s="126" t="str">
        <f t="shared" si="11"/>
        <v/>
      </c>
    </row>
    <row r="383" spans="32:35" ht="15.75" customHeight="1">
      <c r="AF383" s="127">
        <f t="shared" si="10"/>
        <v>0</v>
      </c>
      <c r="AG383" s="127" t="str">
        <f>IF(AA383=0,"",Calculator!$B$5)</f>
        <v/>
      </c>
      <c r="AH383" s="127" t="e">
        <f>(AF383/Calculator!$B$10)*Calculator!$B$9</f>
        <v>#DIV/0!</v>
      </c>
      <c r="AI383" s="126" t="str">
        <f t="shared" si="11"/>
        <v/>
      </c>
    </row>
    <row r="384" spans="32:35" ht="15.75" customHeight="1">
      <c r="AF384" s="127">
        <f t="shared" si="10"/>
        <v>0</v>
      </c>
      <c r="AG384" s="127" t="str">
        <f>IF(AA384=0,"",Calculator!$B$5)</f>
        <v/>
      </c>
      <c r="AH384" s="127" t="e">
        <f>(AF384/Calculator!$B$10)*Calculator!$B$9</f>
        <v>#DIV/0!</v>
      </c>
      <c r="AI384" s="126" t="str">
        <f t="shared" si="11"/>
        <v/>
      </c>
    </row>
    <row r="385" spans="32:35" ht="15.75" customHeight="1">
      <c r="AF385" s="127">
        <f t="shared" si="10"/>
        <v>0</v>
      </c>
      <c r="AG385" s="127" t="str">
        <f>IF(AA385=0,"",Calculator!$B$5)</f>
        <v/>
      </c>
      <c r="AH385" s="127" t="e">
        <f>(AF385/Calculator!$B$10)*Calculator!$B$9</f>
        <v>#DIV/0!</v>
      </c>
      <c r="AI385" s="126" t="str">
        <f t="shared" si="11"/>
        <v/>
      </c>
    </row>
    <row r="386" spans="32:35" ht="15.75" customHeight="1">
      <c r="AF386" s="127">
        <f t="shared" si="10"/>
        <v>0</v>
      </c>
      <c r="AG386" s="127" t="str">
        <f>IF(AA386=0,"",Calculator!$B$5)</f>
        <v/>
      </c>
      <c r="AH386" s="127" t="e">
        <f>(AF386/Calculator!$B$10)*Calculator!$B$9</f>
        <v>#DIV/0!</v>
      </c>
      <c r="AI386" s="126" t="str">
        <f t="shared" si="11"/>
        <v/>
      </c>
    </row>
    <row r="387" spans="32:35" ht="15.75" customHeight="1">
      <c r="AF387" s="127">
        <f t="shared" si="10"/>
        <v>0</v>
      </c>
      <c r="AG387" s="127" t="str">
        <f>IF(AA387=0,"",Calculator!$B$5)</f>
        <v/>
      </c>
      <c r="AH387" s="127" t="e">
        <f>(AF387/Calculator!$B$10)*Calculator!$B$9</f>
        <v>#DIV/0!</v>
      </c>
      <c r="AI387" s="126" t="str">
        <f t="shared" si="11"/>
        <v/>
      </c>
    </row>
    <row r="388" spans="32:35" ht="15.75" customHeight="1">
      <c r="AF388" s="127">
        <f t="shared" si="10"/>
        <v>0</v>
      </c>
      <c r="AG388" s="127" t="str">
        <f>IF(AA388=0,"",Calculator!$B$5)</f>
        <v/>
      </c>
      <c r="AH388" s="127" t="e">
        <f>(AF388/Calculator!$B$10)*Calculator!$B$9</f>
        <v>#DIV/0!</v>
      </c>
      <c r="AI388" s="126" t="str">
        <f t="shared" si="11"/>
        <v/>
      </c>
    </row>
    <row r="389" spans="32:35" ht="15.75" customHeight="1">
      <c r="AF389" s="127">
        <f t="shared" si="10"/>
        <v>0</v>
      </c>
      <c r="AG389" s="127" t="str">
        <f>IF(AA389=0,"",Calculator!$B$5)</f>
        <v/>
      </c>
      <c r="AH389" s="127" t="e">
        <f>(AF389/Calculator!$B$10)*Calculator!$B$9</f>
        <v>#DIV/0!</v>
      </c>
      <c r="AI389" s="126" t="str">
        <f t="shared" si="11"/>
        <v/>
      </c>
    </row>
    <row r="390" spans="32:35" ht="15.75" customHeight="1">
      <c r="AF390" s="127">
        <f t="shared" si="10"/>
        <v>0</v>
      </c>
      <c r="AG390" s="127" t="str">
        <f>IF(AA390=0,"",Calculator!$B$5)</f>
        <v/>
      </c>
      <c r="AH390" s="127" t="e">
        <f>(AF390/Calculator!$B$10)*Calculator!$B$9</f>
        <v>#DIV/0!</v>
      </c>
      <c r="AI390" s="126" t="str">
        <f t="shared" si="11"/>
        <v/>
      </c>
    </row>
    <row r="391" spans="32:35" ht="15.75" customHeight="1">
      <c r="AF391" s="127">
        <f t="shared" si="10"/>
        <v>0</v>
      </c>
      <c r="AG391" s="127" t="str">
        <f>IF(AA391=0,"",Calculator!$B$5)</f>
        <v/>
      </c>
      <c r="AH391" s="127" t="e">
        <f>(AF391/Calculator!$B$10)*Calculator!$B$9</f>
        <v>#DIV/0!</v>
      </c>
      <c r="AI391" s="126" t="str">
        <f t="shared" si="11"/>
        <v/>
      </c>
    </row>
    <row r="392" spans="32:35" ht="15.75" customHeight="1">
      <c r="AF392" s="127">
        <f t="shared" si="10"/>
        <v>0</v>
      </c>
      <c r="AG392" s="127" t="str">
        <f>IF(AA392=0,"",Calculator!$B$5)</f>
        <v/>
      </c>
      <c r="AH392" s="127" t="e">
        <f>(AF392/Calculator!$B$10)*Calculator!$B$9</f>
        <v>#DIV/0!</v>
      </c>
      <c r="AI392" s="126" t="str">
        <f t="shared" si="11"/>
        <v/>
      </c>
    </row>
    <row r="393" spans="32:35" ht="15.75" customHeight="1">
      <c r="AF393" s="127">
        <f t="shared" si="10"/>
        <v>0</v>
      </c>
      <c r="AG393" s="127" t="str">
        <f>IF(AA393=0,"",Calculator!$B$5)</f>
        <v/>
      </c>
      <c r="AH393" s="127" t="e">
        <f>(AF393/Calculator!$B$10)*Calculator!$B$9</f>
        <v>#DIV/0!</v>
      </c>
      <c r="AI393" s="126" t="str">
        <f t="shared" si="11"/>
        <v/>
      </c>
    </row>
    <row r="394" spans="32:35" ht="15.75" customHeight="1">
      <c r="AF394" s="127">
        <f t="shared" ref="AF394:AF457" si="12">IFERROR(AA394*AG394,0)</f>
        <v>0</v>
      </c>
      <c r="AG394" s="127" t="str">
        <f>IF(AA394=0,"",Calculator!$B$5)</f>
        <v/>
      </c>
      <c r="AH394" s="127" t="e">
        <f>(AF394/Calculator!$B$10)*Calculator!$B$9</f>
        <v>#DIV/0!</v>
      </c>
      <c r="AI394" s="126" t="str">
        <f t="shared" ref="AI394:AI457" si="13">IF(ISBLANK(AA394),"","RS Means")</f>
        <v/>
      </c>
    </row>
    <row r="395" spans="32:35" ht="15.75" customHeight="1">
      <c r="AF395" s="127">
        <f t="shared" si="12"/>
        <v>0</v>
      </c>
      <c r="AG395" s="127" t="str">
        <f>IF(AA395=0,"",Calculator!$B$5)</f>
        <v/>
      </c>
      <c r="AH395" s="127" t="e">
        <f>(AF395/Calculator!$B$10)*Calculator!$B$9</f>
        <v>#DIV/0!</v>
      </c>
      <c r="AI395" s="126" t="str">
        <f t="shared" si="13"/>
        <v/>
      </c>
    </row>
    <row r="396" spans="32:35" ht="15.75" customHeight="1">
      <c r="AF396" s="127">
        <f t="shared" si="12"/>
        <v>0</v>
      </c>
      <c r="AG396" s="127" t="str">
        <f>IF(AA396=0,"",Calculator!$B$5)</f>
        <v/>
      </c>
      <c r="AH396" s="127" t="e">
        <f>(AF396/Calculator!$B$10)*Calculator!$B$9</f>
        <v>#DIV/0!</v>
      </c>
      <c r="AI396" s="126" t="str">
        <f t="shared" si="13"/>
        <v/>
      </c>
    </row>
    <row r="397" spans="32:35" ht="15.75" customHeight="1">
      <c r="AF397" s="127">
        <f t="shared" si="12"/>
        <v>0</v>
      </c>
      <c r="AG397" s="127" t="str">
        <f>IF(AA397=0,"",Calculator!$B$5)</f>
        <v/>
      </c>
      <c r="AH397" s="127" t="e">
        <f>(AF397/Calculator!$B$10)*Calculator!$B$9</f>
        <v>#DIV/0!</v>
      </c>
      <c r="AI397" s="126" t="str">
        <f t="shared" si="13"/>
        <v/>
      </c>
    </row>
    <row r="398" spans="32:35" ht="15.75" customHeight="1">
      <c r="AF398" s="127">
        <f t="shared" si="12"/>
        <v>0</v>
      </c>
      <c r="AG398" s="127" t="str">
        <f>IF(AA398=0,"",Calculator!$B$5)</f>
        <v/>
      </c>
      <c r="AH398" s="127" t="e">
        <f>(AF398/Calculator!$B$10)*Calculator!$B$9</f>
        <v>#DIV/0!</v>
      </c>
      <c r="AI398" s="126" t="str">
        <f t="shared" si="13"/>
        <v/>
      </c>
    </row>
    <row r="399" spans="32:35" ht="15.75" customHeight="1">
      <c r="AF399" s="127">
        <f t="shared" si="12"/>
        <v>0</v>
      </c>
      <c r="AG399" s="127" t="str">
        <f>IF(AA399=0,"",Calculator!$B$5)</f>
        <v/>
      </c>
      <c r="AH399" s="127" t="e">
        <f>(AF399/Calculator!$B$10)*Calculator!$B$9</f>
        <v>#DIV/0!</v>
      </c>
      <c r="AI399" s="126" t="str">
        <f t="shared" si="13"/>
        <v/>
      </c>
    </row>
    <row r="400" spans="32:35" ht="15.75" customHeight="1">
      <c r="AF400" s="127">
        <f t="shared" si="12"/>
        <v>0</v>
      </c>
      <c r="AG400" s="127" t="str">
        <f>IF(AA400=0,"",Calculator!$B$5)</f>
        <v/>
      </c>
      <c r="AH400" s="127" t="e">
        <f>(AF400/Calculator!$B$10)*Calculator!$B$9</f>
        <v>#DIV/0!</v>
      </c>
      <c r="AI400" s="126" t="str">
        <f t="shared" si="13"/>
        <v/>
      </c>
    </row>
    <row r="401" spans="32:35" ht="15.75" customHeight="1">
      <c r="AF401" s="127">
        <f t="shared" si="12"/>
        <v>0</v>
      </c>
      <c r="AG401" s="127" t="str">
        <f>IF(AA401=0,"",Calculator!$B$5)</f>
        <v/>
      </c>
      <c r="AH401" s="127" t="e">
        <f>(AF401/Calculator!$B$10)*Calculator!$B$9</f>
        <v>#DIV/0!</v>
      </c>
      <c r="AI401" s="126" t="str">
        <f t="shared" si="13"/>
        <v/>
      </c>
    </row>
    <row r="402" spans="32:35" ht="15.75" customHeight="1">
      <c r="AF402" s="127">
        <f t="shared" si="12"/>
        <v>0</v>
      </c>
      <c r="AG402" s="127" t="str">
        <f>IF(AA402=0,"",Calculator!$B$5)</f>
        <v/>
      </c>
      <c r="AH402" s="127" t="e">
        <f>(AF402/Calculator!$B$10)*Calculator!$B$9</f>
        <v>#DIV/0!</v>
      </c>
      <c r="AI402" s="126" t="str">
        <f t="shared" si="13"/>
        <v/>
      </c>
    </row>
    <row r="403" spans="32:35" ht="15.75" customHeight="1">
      <c r="AF403" s="127">
        <f t="shared" si="12"/>
        <v>0</v>
      </c>
      <c r="AG403" s="127" t="str">
        <f>IF(AA403=0,"",Calculator!$B$5)</f>
        <v/>
      </c>
      <c r="AH403" s="127" t="e">
        <f>(AF403/Calculator!$B$10)*Calculator!$B$9</f>
        <v>#DIV/0!</v>
      </c>
      <c r="AI403" s="126" t="str">
        <f t="shared" si="13"/>
        <v/>
      </c>
    </row>
    <row r="404" spans="32:35" ht="15.75" customHeight="1">
      <c r="AF404" s="127">
        <f t="shared" si="12"/>
        <v>0</v>
      </c>
      <c r="AG404" s="127" t="str">
        <f>IF(AA404=0,"",Calculator!$B$5)</f>
        <v/>
      </c>
      <c r="AH404" s="127" t="e">
        <f>(AF404/Calculator!$B$10)*Calculator!$B$9</f>
        <v>#DIV/0!</v>
      </c>
      <c r="AI404" s="126" t="str">
        <f t="shared" si="13"/>
        <v/>
      </c>
    </row>
    <row r="405" spans="32:35" ht="15.75" customHeight="1">
      <c r="AF405" s="127">
        <f t="shared" si="12"/>
        <v>0</v>
      </c>
      <c r="AG405" s="127" t="str">
        <f>IF(AA405=0,"",Calculator!$B$5)</f>
        <v/>
      </c>
      <c r="AH405" s="127" t="e">
        <f>(AF405/Calculator!$B$10)*Calculator!$B$9</f>
        <v>#DIV/0!</v>
      </c>
      <c r="AI405" s="126" t="str">
        <f t="shared" si="13"/>
        <v/>
      </c>
    </row>
    <row r="406" spans="32:35" ht="15.75" customHeight="1">
      <c r="AF406" s="127">
        <f t="shared" si="12"/>
        <v>0</v>
      </c>
      <c r="AG406" s="127" t="str">
        <f>IF(AA406=0,"",Calculator!$B$5)</f>
        <v/>
      </c>
      <c r="AH406" s="127" t="e">
        <f>(AF406/Calculator!$B$10)*Calculator!$B$9</f>
        <v>#DIV/0!</v>
      </c>
      <c r="AI406" s="126" t="str">
        <f t="shared" si="13"/>
        <v/>
      </c>
    </row>
    <row r="407" spans="32:35" ht="15.75" customHeight="1">
      <c r="AF407" s="127">
        <f t="shared" si="12"/>
        <v>0</v>
      </c>
      <c r="AG407" s="127" t="str">
        <f>IF(AA407=0,"",Calculator!$B$5)</f>
        <v/>
      </c>
      <c r="AH407" s="127" t="e">
        <f>(AF407/Calculator!$B$10)*Calculator!$B$9</f>
        <v>#DIV/0!</v>
      </c>
      <c r="AI407" s="126" t="str">
        <f t="shared" si="13"/>
        <v/>
      </c>
    </row>
    <row r="408" spans="32:35" ht="15.75" customHeight="1">
      <c r="AF408" s="127">
        <f t="shared" si="12"/>
        <v>0</v>
      </c>
      <c r="AG408" s="127" t="str">
        <f>IF(AA408=0,"",Calculator!$B$5)</f>
        <v/>
      </c>
      <c r="AH408" s="127" t="e">
        <f>(AF408/Calculator!$B$10)*Calculator!$B$9</f>
        <v>#DIV/0!</v>
      </c>
      <c r="AI408" s="126" t="str">
        <f t="shared" si="13"/>
        <v/>
      </c>
    </row>
    <row r="409" spans="32:35" ht="15.75" customHeight="1">
      <c r="AF409" s="127">
        <f t="shared" si="12"/>
        <v>0</v>
      </c>
      <c r="AG409" s="127" t="str">
        <f>IF(AA409=0,"",Calculator!$B$5)</f>
        <v/>
      </c>
      <c r="AH409" s="127" t="e">
        <f>(AF409/Calculator!$B$10)*Calculator!$B$9</f>
        <v>#DIV/0!</v>
      </c>
      <c r="AI409" s="126" t="str">
        <f t="shared" si="13"/>
        <v/>
      </c>
    </row>
    <row r="410" spans="32:35" ht="15.75" customHeight="1">
      <c r="AF410" s="127">
        <f t="shared" si="12"/>
        <v>0</v>
      </c>
      <c r="AG410" s="127" t="str">
        <f>IF(AA410=0,"",Calculator!$B$5)</f>
        <v/>
      </c>
      <c r="AH410" s="127" t="e">
        <f>(AF410/Calculator!$B$10)*Calculator!$B$9</f>
        <v>#DIV/0!</v>
      </c>
      <c r="AI410" s="126" t="str">
        <f t="shared" si="13"/>
        <v/>
      </c>
    </row>
    <row r="411" spans="32:35" ht="15.75" customHeight="1">
      <c r="AF411" s="127">
        <f t="shared" si="12"/>
        <v>0</v>
      </c>
      <c r="AG411" s="127" t="str">
        <f>IF(AA411=0,"",Calculator!$B$5)</f>
        <v/>
      </c>
      <c r="AH411" s="127" t="e">
        <f>(AF411/Calculator!$B$10)*Calculator!$B$9</f>
        <v>#DIV/0!</v>
      </c>
      <c r="AI411" s="126" t="str">
        <f t="shared" si="13"/>
        <v/>
      </c>
    </row>
    <row r="412" spans="32:35" ht="15.75" customHeight="1">
      <c r="AF412" s="127">
        <f t="shared" si="12"/>
        <v>0</v>
      </c>
      <c r="AG412" s="127" t="str">
        <f>IF(AA412=0,"",Calculator!$B$5)</f>
        <v/>
      </c>
      <c r="AH412" s="127" t="e">
        <f>(AF412/Calculator!$B$10)*Calculator!$B$9</f>
        <v>#DIV/0!</v>
      </c>
      <c r="AI412" s="126" t="str">
        <f t="shared" si="13"/>
        <v/>
      </c>
    </row>
    <row r="413" spans="32:35" ht="15.75" customHeight="1">
      <c r="AF413" s="127">
        <f t="shared" si="12"/>
        <v>0</v>
      </c>
      <c r="AG413" s="127" t="str">
        <f>IF(AA413=0,"",Calculator!$B$5)</f>
        <v/>
      </c>
      <c r="AH413" s="127" t="e">
        <f>(AF413/Calculator!$B$10)*Calculator!$B$9</f>
        <v>#DIV/0!</v>
      </c>
      <c r="AI413" s="126" t="str">
        <f t="shared" si="13"/>
        <v/>
      </c>
    </row>
    <row r="414" spans="32:35" ht="15.75" customHeight="1">
      <c r="AF414" s="127">
        <f t="shared" si="12"/>
        <v>0</v>
      </c>
      <c r="AG414" s="127" t="str">
        <f>IF(AA414=0,"",Calculator!$B$5)</f>
        <v/>
      </c>
      <c r="AH414" s="127" t="e">
        <f>(AF414/Calculator!$B$10)*Calculator!$B$9</f>
        <v>#DIV/0!</v>
      </c>
      <c r="AI414" s="126" t="str">
        <f t="shared" si="13"/>
        <v/>
      </c>
    </row>
    <row r="415" spans="32:35" ht="15.75" customHeight="1">
      <c r="AF415" s="127">
        <f t="shared" si="12"/>
        <v>0</v>
      </c>
      <c r="AG415" s="127" t="str">
        <f>IF(AA415=0,"",Calculator!$B$5)</f>
        <v/>
      </c>
      <c r="AH415" s="127" t="e">
        <f>(AF415/Calculator!$B$10)*Calculator!$B$9</f>
        <v>#DIV/0!</v>
      </c>
      <c r="AI415" s="126" t="str">
        <f t="shared" si="13"/>
        <v/>
      </c>
    </row>
    <row r="416" spans="32:35" ht="15.75" customHeight="1">
      <c r="AF416" s="127">
        <f t="shared" si="12"/>
        <v>0</v>
      </c>
      <c r="AG416" s="127" t="str">
        <f>IF(AA416=0,"",Calculator!$B$5)</f>
        <v/>
      </c>
      <c r="AH416" s="127" t="e">
        <f>(AF416/Calculator!$B$10)*Calculator!$B$9</f>
        <v>#DIV/0!</v>
      </c>
      <c r="AI416" s="126" t="str">
        <f t="shared" si="13"/>
        <v/>
      </c>
    </row>
    <row r="417" spans="32:35" ht="15.75" customHeight="1">
      <c r="AF417" s="127">
        <f t="shared" si="12"/>
        <v>0</v>
      </c>
      <c r="AG417" s="127" t="str">
        <f>IF(AA417=0,"",Calculator!$B$5)</f>
        <v/>
      </c>
      <c r="AH417" s="127" t="e">
        <f>(AF417/Calculator!$B$10)*Calculator!$B$9</f>
        <v>#DIV/0!</v>
      </c>
      <c r="AI417" s="126" t="str">
        <f t="shared" si="13"/>
        <v/>
      </c>
    </row>
    <row r="418" spans="32:35" ht="15.75" customHeight="1">
      <c r="AF418" s="127">
        <f t="shared" si="12"/>
        <v>0</v>
      </c>
      <c r="AG418" s="127" t="str">
        <f>IF(AA418=0,"",Calculator!$B$5)</f>
        <v/>
      </c>
      <c r="AH418" s="127" t="e">
        <f>(AF418/Calculator!$B$10)*Calculator!$B$9</f>
        <v>#DIV/0!</v>
      </c>
      <c r="AI418" s="126" t="str">
        <f t="shared" si="13"/>
        <v/>
      </c>
    </row>
    <row r="419" spans="32:35" ht="15.75" customHeight="1">
      <c r="AF419" s="127">
        <f t="shared" si="12"/>
        <v>0</v>
      </c>
      <c r="AG419" s="127" t="str">
        <f>IF(AA419=0,"",Calculator!$B$5)</f>
        <v/>
      </c>
      <c r="AH419" s="127" t="e">
        <f>(AF419/Calculator!$B$10)*Calculator!$B$9</f>
        <v>#DIV/0!</v>
      </c>
      <c r="AI419" s="126" t="str">
        <f t="shared" si="13"/>
        <v/>
      </c>
    </row>
    <row r="420" spans="32:35" ht="15.75" customHeight="1">
      <c r="AF420" s="127">
        <f t="shared" si="12"/>
        <v>0</v>
      </c>
      <c r="AG420" s="127" t="str">
        <f>IF(AA420=0,"",Calculator!$B$5)</f>
        <v/>
      </c>
      <c r="AH420" s="127" t="e">
        <f>(AF420/Calculator!$B$10)*Calculator!$B$9</f>
        <v>#DIV/0!</v>
      </c>
      <c r="AI420" s="126" t="str">
        <f t="shared" si="13"/>
        <v/>
      </c>
    </row>
    <row r="421" spans="32:35" ht="15.75" customHeight="1">
      <c r="AF421" s="127">
        <f t="shared" si="12"/>
        <v>0</v>
      </c>
      <c r="AG421" s="127" t="str">
        <f>IF(AA421=0,"",Calculator!$B$5)</f>
        <v/>
      </c>
      <c r="AH421" s="127" t="e">
        <f>(AF421/Calculator!$B$10)*Calculator!$B$9</f>
        <v>#DIV/0!</v>
      </c>
      <c r="AI421" s="126" t="str">
        <f t="shared" si="13"/>
        <v/>
      </c>
    </row>
    <row r="422" spans="32:35" ht="15.75" customHeight="1">
      <c r="AF422" s="127">
        <f t="shared" si="12"/>
        <v>0</v>
      </c>
      <c r="AG422" s="127" t="str">
        <f>IF(AA422=0,"",Calculator!$B$5)</f>
        <v/>
      </c>
      <c r="AH422" s="127" t="e">
        <f>(AF422/Calculator!$B$10)*Calculator!$B$9</f>
        <v>#DIV/0!</v>
      </c>
      <c r="AI422" s="126" t="str">
        <f t="shared" si="13"/>
        <v/>
      </c>
    </row>
    <row r="423" spans="32:35" ht="15.75" customHeight="1">
      <c r="AF423" s="127">
        <f t="shared" si="12"/>
        <v>0</v>
      </c>
      <c r="AG423" s="127" t="str">
        <f>IF(AA423=0,"",Calculator!$B$5)</f>
        <v/>
      </c>
      <c r="AH423" s="127" t="e">
        <f>(AF423/Calculator!$B$10)*Calculator!$B$9</f>
        <v>#DIV/0!</v>
      </c>
      <c r="AI423" s="126" t="str">
        <f t="shared" si="13"/>
        <v/>
      </c>
    </row>
    <row r="424" spans="32:35" ht="15.75" customHeight="1">
      <c r="AF424" s="127">
        <f t="shared" si="12"/>
        <v>0</v>
      </c>
      <c r="AG424" s="127" t="str">
        <f>IF(AA424=0,"",Calculator!$B$5)</f>
        <v/>
      </c>
      <c r="AH424" s="127" t="e">
        <f>(AF424/Calculator!$B$10)*Calculator!$B$9</f>
        <v>#DIV/0!</v>
      </c>
      <c r="AI424" s="126" t="str">
        <f t="shared" si="13"/>
        <v/>
      </c>
    </row>
    <row r="425" spans="32:35" ht="15.75" customHeight="1">
      <c r="AF425" s="127">
        <f t="shared" si="12"/>
        <v>0</v>
      </c>
      <c r="AG425" s="127" t="str">
        <f>IF(AA425=0,"",Calculator!$B$5)</f>
        <v/>
      </c>
      <c r="AH425" s="127" t="e">
        <f>(AF425/Calculator!$B$10)*Calculator!$B$9</f>
        <v>#DIV/0!</v>
      </c>
      <c r="AI425" s="126" t="str">
        <f t="shared" si="13"/>
        <v/>
      </c>
    </row>
    <row r="426" spans="32:35" ht="15.75" customHeight="1">
      <c r="AF426" s="127">
        <f t="shared" si="12"/>
        <v>0</v>
      </c>
      <c r="AG426" s="127" t="str">
        <f>IF(AA426=0,"",Calculator!$B$5)</f>
        <v/>
      </c>
      <c r="AH426" s="127" t="e">
        <f>(AF426/Calculator!$B$10)*Calculator!$B$9</f>
        <v>#DIV/0!</v>
      </c>
      <c r="AI426" s="126" t="str">
        <f t="shared" si="13"/>
        <v/>
      </c>
    </row>
    <row r="427" spans="32:35" ht="15.75" customHeight="1">
      <c r="AF427" s="127">
        <f t="shared" si="12"/>
        <v>0</v>
      </c>
      <c r="AG427" s="127" t="str">
        <f>IF(AA427=0,"",Calculator!$B$5)</f>
        <v/>
      </c>
      <c r="AH427" s="127" t="e">
        <f>(AF427/Calculator!$B$10)*Calculator!$B$9</f>
        <v>#DIV/0!</v>
      </c>
      <c r="AI427" s="126" t="str">
        <f t="shared" si="13"/>
        <v/>
      </c>
    </row>
    <row r="428" spans="32:35" ht="15.75" customHeight="1">
      <c r="AF428" s="127">
        <f t="shared" si="12"/>
        <v>0</v>
      </c>
      <c r="AG428" s="127" t="str">
        <f>IF(AA428=0,"",Calculator!$B$5)</f>
        <v/>
      </c>
      <c r="AH428" s="127" t="e">
        <f>(AF428/Calculator!$B$10)*Calculator!$B$9</f>
        <v>#DIV/0!</v>
      </c>
      <c r="AI428" s="126" t="str">
        <f t="shared" si="13"/>
        <v/>
      </c>
    </row>
    <row r="429" spans="32:35" ht="15.75" customHeight="1">
      <c r="AF429" s="127">
        <f t="shared" si="12"/>
        <v>0</v>
      </c>
      <c r="AG429" s="127" t="str">
        <f>IF(AA429=0,"",Calculator!$B$5)</f>
        <v/>
      </c>
      <c r="AH429" s="127" t="e">
        <f>(AF429/Calculator!$B$10)*Calculator!$B$9</f>
        <v>#DIV/0!</v>
      </c>
      <c r="AI429" s="126" t="str">
        <f t="shared" si="13"/>
        <v/>
      </c>
    </row>
    <row r="430" spans="32:35" ht="15.75" customHeight="1">
      <c r="AF430" s="127">
        <f t="shared" si="12"/>
        <v>0</v>
      </c>
      <c r="AG430" s="127" t="str">
        <f>IF(AA430=0,"",Calculator!$B$5)</f>
        <v/>
      </c>
      <c r="AH430" s="127" t="e">
        <f>(AF430/Calculator!$B$10)*Calculator!$B$9</f>
        <v>#DIV/0!</v>
      </c>
      <c r="AI430" s="126" t="str">
        <f t="shared" si="13"/>
        <v/>
      </c>
    </row>
    <row r="431" spans="32:35" ht="15.75" customHeight="1">
      <c r="AF431" s="127">
        <f t="shared" si="12"/>
        <v>0</v>
      </c>
      <c r="AG431" s="127" t="str">
        <f>IF(AA431=0,"",Calculator!$B$5)</f>
        <v/>
      </c>
      <c r="AH431" s="127" t="e">
        <f>(AF431/Calculator!$B$10)*Calculator!$B$9</f>
        <v>#DIV/0!</v>
      </c>
      <c r="AI431" s="126" t="str">
        <f t="shared" si="13"/>
        <v/>
      </c>
    </row>
    <row r="432" spans="32:35" ht="15.75" customHeight="1">
      <c r="AF432" s="127">
        <f t="shared" si="12"/>
        <v>0</v>
      </c>
      <c r="AG432" s="127" t="str">
        <f>IF(AA432=0,"",Calculator!$B$5)</f>
        <v/>
      </c>
      <c r="AH432" s="127" t="e">
        <f>(AF432/Calculator!$B$10)*Calculator!$B$9</f>
        <v>#DIV/0!</v>
      </c>
      <c r="AI432" s="126" t="str">
        <f t="shared" si="13"/>
        <v/>
      </c>
    </row>
    <row r="433" spans="32:35" ht="15.75" customHeight="1">
      <c r="AF433" s="127">
        <f t="shared" si="12"/>
        <v>0</v>
      </c>
      <c r="AG433" s="127" t="str">
        <f>IF(AA433=0,"",Calculator!$B$5)</f>
        <v/>
      </c>
      <c r="AH433" s="127" t="e">
        <f>(AF433/Calculator!$B$10)*Calculator!$B$9</f>
        <v>#DIV/0!</v>
      </c>
      <c r="AI433" s="126" t="str">
        <f t="shared" si="13"/>
        <v/>
      </c>
    </row>
    <row r="434" spans="32:35" ht="15.75" customHeight="1">
      <c r="AF434" s="127">
        <f t="shared" si="12"/>
        <v>0</v>
      </c>
      <c r="AG434" s="127" t="str">
        <f>IF(AA434=0,"",Calculator!$B$5)</f>
        <v/>
      </c>
      <c r="AH434" s="127" t="e">
        <f>(AF434/Calculator!$B$10)*Calculator!$B$9</f>
        <v>#DIV/0!</v>
      </c>
      <c r="AI434" s="126" t="str">
        <f t="shared" si="13"/>
        <v/>
      </c>
    </row>
    <row r="435" spans="32:35" ht="15.75" customHeight="1">
      <c r="AF435" s="127">
        <f t="shared" si="12"/>
        <v>0</v>
      </c>
      <c r="AG435" s="127" t="str">
        <f>IF(AA435=0,"",Calculator!$B$5)</f>
        <v/>
      </c>
      <c r="AH435" s="127" t="e">
        <f>(AF435/Calculator!$B$10)*Calculator!$B$9</f>
        <v>#DIV/0!</v>
      </c>
      <c r="AI435" s="126" t="str">
        <f t="shared" si="13"/>
        <v/>
      </c>
    </row>
    <row r="436" spans="32:35" ht="15.75" customHeight="1">
      <c r="AF436" s="127">
        <f t="shared" si="12"/>
        <v>0</v>
      </c>
      <c r="AG436" s="127" t="str">
        <f>IF(AA436=0,"",Calculator!$B$5)</f>
        <v/>
      </c>
      <c r="AH436" s="127" t="e">
        <f>(AF436/Calculator!$B$10)*Calculator!$B$9</f>
        <v>#DIV/0!</v>
      </c>
      <c r="AI436" s="126" t="str">
        <f t="shared" si="13"/>
        <v/>
      </c>
    </row>
    <row r="437" spans="32:35" ht="15.75" customHeight="1">
      <c r="AF437" s="127">
        <f t="shared" si="12"/>
        <v>0</v>
      </c>
      <c r="AG437" s="127" t="str">
        <f>IF(AA437=0,"",Calculator!$B$5)</f>
        <v/>
      </c>
      <c r="AH437" s="127" t="e">
        <f>(AF437/Calculator!$B$10)*Calculator!$B$9</f>
        <v>#DIV/0!</v>
      </c>
      <c r="AI437" s="126" t="str">
        <f t="shared" si="13"/>
        <v/>
      </c>
    </row>
    <row r="438" spans="32:35" ht="15.75" customHeight="1">
      <c r="AF438" s="127">
        <f t="shared" si="12"/>
        <v>0</v>
      </c>
      <c r="AG438" s="127" t="str">
        <f>IF(AA438=0,"",Calculator!$B$5)</f>
        <v/>
      </c>
      <c r="AH438" s="127" t="e">
        <f>(AF438/Calculator!$B$10)*Calculator!$B$9</f>
        <v>#DIV/0!</v>
      </c>
      <c r="AI438" s="126" t="str">
        <f t="shared" si="13"/>
        <v/>
      </c>
    </row>
    <row r="439" spans="32:35" ht="15.75" customHeight="1">
      <c r="AF439" s="127">
        <f t="shared" si="12"/>
        <v>0</v>
      </c>
      <c r="AG439" s="127" t="str">
        <f>IF(AA439=0,"",Calculator!$B$5)</f>
        <v/>
      </c>
      <c r="AH439" s="127" t="e">
        <f>(AF439/Calculator!$B$10)*Calculator!$B$9</f>
        <v>#DIV/0!</v>
      </c>
      <c r="AI439" s="126" t="str">
        <f t="shared" si="13"/>
        <v/>
      </c>
    </row>
    <row r="440" spans="32:35" ht="15.75" customHeight="1">
      <c r="AF440" s="127">
        <f t="shared" si="12"/>
        <v>0</v>
      </c>
      <c r="AG440" s="127" t="str">
        <f>IF(AA440=0,"",Calculator!$B$5)</f>
        <v/>
      </c>
      <c r="AH440" s="127" t="e">
        <f>(AF440/Calculator!$B$10)*Calculator!$B$9</f>
        <v>#DIV/0!</v>
      </c>
      <c r="AI440" s="126" t="str">
        <f t="shared" si="13"/>
        <v/>
      </c>
    </row>
    <row r="441" spans="32:35" ht="15.75" customHeight="1">
      <c r="AF441" s="127">
        <f t="shared" si="12"/>
        <v>0</v>
      </c>
      <c r="AG441" s="127" t="str">
        <f>IF(AA441=0,"",Calculator!$B$5)</f>
        <v/>
      </c>
      <c r="AH441" s="127" t="e">
        <f>(AF441/Calculator!$B$10)*Calculator!$B$9</f>
        <v>#DIV/0!</v>
      </c>
      <c r="AI441" s="126" t="str">
        <f t="shared" si="13"/>
        <v/>
      </c>
    </row>
    <row r="442" spans="32:35" ht="15.75" customHeight="1">
      <c r="AF442" s="127">
        <f t="shared" si="12"/>
        <v>0</v>
      </c>
      <c r="AG442" s="127" t="str">
        <f>IF(AA442=0,"",Calculator!$B$5)</f>
        <v/>
      </c>
      <c r="AH442" s="127" t="e">
        <f>(AF442/Calculator!$B$10)*Calculator!$B$9</f>
        <v>#DIV/0!</v>
      </c>
      <c r="AI442" s="126" t="str">
        <f t="shared" si="13"/>
        <v/>
      </c>
    </row>
    <row r="443" spans="32:35" ht="15.75" customHeight="1">
      <c r="AF443" s="127">
        <f t="shared" si="12"/>
        <v>0</v>
      </c>
      <c r="AG443" s="127" t="str">
        <f>IF(AA443=0,"",Calculator!$B$5)</f>
        <v/>
      </c>
      <c r="AH443" s="127" t="e">
        <f>(AF443/Calculator!$B$10)*Calculator!$B$9</f>
        <v>#DIV/0!</v>
      </c>
      <c r="AI443" s="126" t="str">
        <f t="shared" si="13"/>
        <v/>
      </c>
    </row>
    <row r="444" spans="32:35" ht="15.75" customHeight="1">
      <c r="AF444" s="127">
        <f t="shared" si="12"/>
        <v>0</v>
      </c>
      <c r="AG444" s="127" t="str">
        <f>IF(AA444=0,"",Calculator!$B$5)</f>
        <v/>
      </c>
      <c r="AH444" s="127" t="e">
        <f>(AF444/Calculator!$B$10)*Calculator!$B$9</f>
        <v>#DIV/0!</v>
      </c>
      <c r="AI444" s="126" t="str">
        <f t="shared" si="13"/>
        <v/>
      </c>
    </row>
    <row r="445" spans="32:35" ht="15.75" customHeight="1">
      <c r="AF445" s="127">
        <f t="shared" si="12"/>
        <v>0</v>
      </c>
      <c r="AG445" s="127" t="str">
        <f>IF(AA445=0,"",Calculator!$B$5)</f>
        <v/>
      </c>
      <c r="AH445" s="127" t="e">
        <f>(AF445/Calculator!$B$10)*Calculator!$B$9</f>
        <v>#DIV/0!</v>
      </c>
      <c r="AI445" s="126" t="str">
        <f t="shared" si="13"/>
        <v/>
      </c>
    </row>
    <row r="446" spans="32:35" ht="15.75" customHeight="1">
      <c r="AF446" s="127">
        <f t="shared" si="12"/>
        <v>0</v>
      </c>
      <c r="AG446" s="127" t="str">
        <f>IF(AA446=0,"",Calculator!$B$5)</f>
        <v/>
      </c>
      <c r="AH446" s="127" t="e">
        <f>(AF446/Calculator!$B$10)*Calculator!$B$9</f>
        <v>#DIV/0!</v>
      </c>
      <c r="AI446" s="126" t="str">
        <f t="shared" si="13"/>
        <v/>
      </c>
    </row>
    <row r="447" spans="32:35" ht="15.75" customHeight="1">
      <c r="AF447" s="127">
        <f t="shared" si="12"/>
        <v>0</v>
      </c>
      <c r="AG447" s="127" t="str">
        <f>IF(AA447=0,"",Calculator!$B$5)</f>
        <v/>
      </c>
      <c r="AH447" s="127" t="e">
        <f>(AF447/Calculator!$B$10)*Calculator!$B$9</f>
        <v>#DIV/0!</v>
      </c>
      <c r="AI447" s="126" t="str">
        <f t="shared" si="13"/>
        <v/>
      </c>
    </row>
    <row r="448" spans="32:35" ht="15.75" customHeight="1">
      <c r="AF448" s="127">
        <f t="shared" si="12"/>
        <v>0</v>
      </c>
      <c r="AG448" s="127" t="str">
        <f>IF(AA448=0,"",Calculator!$B$5)</f>
        <v/>
      </c>
      <c r="AH448" s="127" t="e">
        <f>(AF448/Calculator!$B$10)*Calculator!$B$9</f>
        <v>#DIV/0!</v>
      </c>
      <c r="AI448" s="126" t="str">
        <f t="shared" si="13"/>
        <v/>
      </c>
    </row>
    <row r="449" spans="32:35" ht="15.75" customHeight="1">
      <c r="AF449" s="127">
        <f t="shared" si="12"/>
        <v>0</v>
      </c>
      <c r="AG449" s="127" t="str">
        <f>IF(AA449=0,"",Calculator!$B$5)</f>
        <v/>
      </c>
      <c r="AH449" s="127" t="e">
        <f>(AF449/Calculator!$B$10)*Calculator!$B$9</f>
        <v>#DIV/0!</v>
      </c>
      <c r="AI449" s="126" t="str">
        <f t="shared" si="13"/>
        <v/>
      </c>
    </row>
    <row r="450" spans="32:35" ht="15.75" customHeight="1">
      <c r="AF450" s="127">
        <f t="shared" si="12"/>
        <v>0</v>
      </c>
      <c r="AG450" s="127" t="str">
        <f>IF(AA450=0,"",Calculator!$B$5)</f>
        <v/>
      </c>
      <c r="AH450" s="127" t="e">
        <f>(AF450/Calculator!$B$10)*Calculator!$B$9</f>
        <v>#DIV/0!</v>
      </c>
      <c r="AI450" s="126" t="str">
        <f t="shared" si="13"/>
        <v/>
      </c>
    </row>
    <row r="451" spans="32:35" ht="15.75" customHeight="1">
      <c r="AF451" s="127">
        <f t="shared" si="12"/>
        <v>0</v>
      </c>
      <c r="AG451" s="127" t="str">
        <f>IF(AA451=0,"",Calculator!$B$5)</f>
        <v/>
      </c>
      <c r="AH451" s="127" t="e">
        <f>(AF451/Calculator!$B$10)*Calculator!$B$9</f>
        <v>#DIV/0!</v>
      </c>
      <c r="AI451" s="126" t="str">
        <f t="shared" si="13"/>
        <v/>
      </c>
    </row>
    <row r="452" spans="32:35" ht="15.75" customHeight="1">
      <c r="AF452" s="127">
        <f t="shared" si="12"/>
        <v>0</v>
      </c>
      <c r="AG452" s="127" t="str">
        <f>IF(AA452=0,"",Calculator!$B$5)</f>
        <v/>
      </c>
      <c r="AH452" s="127" t="e">
        <f>(AF452/Calculator!$B$10)*Calculator!$B$9</f>
        <v>#DIV/0!</v>
      </c>
      <c r="AI452" s="126" t="str">
        <f t="shared" si="13"/>
        <v/>
      </c>
    </row>
    <row r="453" spans="32:35" ht="15.75" customHeight="1">
      <c r="AF453" s="127">
        <f t="shared" si="12"/>
        <v>0</v>
      </c>
      <c r="AG453" s="127" t="str">
        <f>IF(AA453=0,"",Calculator!$B$5)</f>
        <v/>
      </c>
      <c r="AH453" s="127" t="e">
        <f>(AF453/Calculator!$B$10)*Calculator!$B$9</f>
        <v>#DIV/0!</v>
      </c>
      <c r="AI453" s="126" t="str">
        <f t="shared" si="13"/>
        <v/>
      </c>
    </row>
    <row r="454" spans="32:35" ht="15.75" customHeight="1">
      <c r="AF454" s="127">
        <f t="shared" si="12"/>
        <v>0</v>
      </c>
      <c r="AG454" s="127" t="str">
        <f>IF(AA454=0,"",Calculator!$B$5)</f>
        <v/>
      </c>
      <c r="AH454" s="127" t="e">
        <f>(AF454/Calculator!$B$10)*Calculator!$B$9</f>
        <v>#DIV/0!</v>
      </c>
      <c r="AI454" s="126" t="str">
        <f t="shared" si="13"/>
        <v/>
      </c>
    </row>
    <row r="455" spans="32:35" ht="15.75" customHeight="1">
      <c r="AF455" s="127">
        <f t="shared" si="12"/>
        <v>0</v>
      </c>
      <c r="AG455" s="127" t="str">
        <f>IF(AA455=0,"",Calculator!$B$5)</f>
        <v/>
      </c>
      <c r="AH455" s="127" t="e">
        <f>(AF455/Calculator!$B$10)*Calculator!$B$9</f>
        <v>#DIV/0!</v>
      </c>
      <c r="AI455" s="126" t="str">
        <f t="shared" si="13"/>
        <v/>
      </c>
    </row>
    <row r="456" spans="32:35" ht="15.75" customHeight="1">
      <c r="AF456" s="127">
        <f t="shared" si="12"/>
        <v>0</v>
      </c>
      <c r="AG456" s="127" t="str">
        <f>IF(AA456=0,"",Calculator!$B$5)</f>
        <v/>
      </c>
      <c r="AH456" s="127" t="e">
        <f>(AF456/Calculator!$B$10)*Calculator!$B$9</f>
        <v>#DIV/0!</v>
      </c>
      <c r="AI456" s="126" t="str">
        <f t="shared" si="13"/>
        <v/>
      </c>
    </row>
    <row r="457" spans="32:35" ht="15.75" customHeight="1">
      <c r="AF457" s="127">
        <f t="shared" si="12"/>
        <v>0</v>
      </c>
      <c r="AG457" s="127" t="str">
        <f>IF(AA457=0,"",Calculator!$B$5)</f>
        <v/>
      </c>
      <c r="AH457" s="127" t="e">
        <f>(AF457/Calculator!$B$10)*Calculator!$B$9</f>
        <v>#DIV/0!</v>
      </c>
      <c r="AI457" s="126" t="str">
        <f t="shared" si="13"/>
        <v/>
      </c>
    </row>
    <row r="458" spans="32:35" ht="15.75" customHeight="1">
      <c r="AF458" s="127">
        <f t="shared" ref="AF458:AF500" si="14">IFERROR(AA458*AG458,0)</f>
        <v>0</v>
      </c>
      <c r="AG458" s="127" t="str">
        <f>IF(AA458=0,"",Calculator!$B$5)</f>
        <v/>
      </c>
      <c r="AH458" s="127" t="e">
        <f>(AF458/Calculator!$B$10)*Calculator!$B$9</f>
        <v>#DIV/0!</v>
      </c>
      <c r="AI458" s="126" t="str">
        <f t="shared" ref="AI458:AI500" si="15">IF(ISBLANK(AA458),"","RS Means")</f>
        <v/>
      </c>
    </row>
    <row r="459" spans="32:35" ht="15.75" customHeight="1">
      <c r="AF459" s="127">
        <f t="shared" si="14"/>
        <v>0</v>
      </c>
      <c r="AG459" s="127" t="str">
        <f>IF(AA459=0,"",Calculator!$B$5)</f>
        <v/>
      </c>
      <c r="AH459" s="127" t="e">
        <f>(AF459/Calculator!$B$10)*Calculator!$B$9</f>
        <v>#DIV/0!</v>
      </c>
      <c r="AI459" s="126" t="str">
        <f t="shared" si="15"/>
        <v/>
      </c>
    </row>
    <row r="460" spans="32:35" ht="15.75" customHeight="1">
      <c r="AF460" s="127">
        <f t="shared" si="14"/>
        <v>0</v>
      </c>
      <c r="AG460" s="127" t="str">
        <f>IF(AA460=0,"",Calculator!$B$5)</f>
        <v/>
      </c>
      <c r="AH460" s="127" t="e">
        <f>(AF460/Calculator!$B$10)*Calculator!$B$9</f>
        <v>#DIV/0!</v>
      </c>
      <c r="AI460" s="126" t="str">
        <f t="shared" si="15"/>
        <v/>
      </c>
    </row>
    <row r="461" spans="32:35" ht="15.75" customHeight="1">
      <c r="AF461" s="127">
        <f t="shared" si="14"/>
        <v>0</v>
      </c>
      <c r="AG461" s="127" t="str">
        <f>IF(AA461=0,"",Calculator!$B$5)</f>
        <v/>
      </c>
      <c r="AH461" s="127" t="e">
        <f>(AF461/Calculator!$B$10)*Calculator!$B$9</f>
        <v>#DIV/0!</v>
      </c>
      <c r="AI461" s="126" t="str">
        <f t="shared" si="15"/>
        <v/>
      </c>
    </row>
    <row r="462" spans="32:35" ht="15.75" customHeight="1">
      <c r="AF462" s="127">
        <f t="shared" si="14"/>
        <v>0</v>
      </c>
      <c r="AG462" s="127" t="str">
        <f>IF(AA462=0,"",Calculator!$B$5)</f>
        <v/>
      </c>
      <c r="AH462" s="127" t="e">
        <f>(AF462/Calculator!$B$10)*Calculator!$B$9</f>
        <v>#DIV/0!</v>
      </c>
      <c r="AI462" s="126" t="str">
        <f t="shared" si="15"/>
        <v/>
      </c>
    </row>
    <row r="463" spans="32:35" ht="15.75" customHeight="1">
      <c r="AF463" s="127">
        <f t="shared" si="14"/>
        <v>0</v>
      </c>
      <c r="AG463" s="127" t="str">
        <f>IF(AA463=0,"",Calculator!$B$5)</f>
        <v/>
      </c>
      <c r="AH463" s="127" t="e">
        <f>(AF463/Calculator!$B$10)*Calculator!$B$9</f>
        <v>#DIV/0!</v>
      </c>
      <c r="AI463" s="126" t="str">
        <f t="shared" si="15"/>
        <v/>
      </c>
    </row>
    <row r="464" spans="32:35" ht="15.75" customHeight="1">
      <c r="AF464" s="127">
        <f t="shared" si="14"/>
        <v>0</v>
      </c>
      <c r="AG464" s="127" t="str">
        <f>IF(AA464=0,"",Calculator!$B$5)</f>
        <v/>
      </c>
      <c r="AH464" s="127" t="e">
        <f>(AF464/Calculator!$B$10)*Calculator!$B$9</f>
        <v>#DIV/0!</v>
      </c>
      <c r="AI464" s="126" t="str">
        <f t="shared" si="15"/>
        <v/>
      </c>
    </row>
    <row r="465" spans="32:35" ht="15.75" customHeight="1">
      <c r="AF465" s="127">
        <f t="shared" si="14"/>
        <v>0</v>
      </c>
      <c r="AG465" s="127" t="str">
        <f>IF(AA465=0,"",Calculator!$B$5)</f>
        <v/>
      </c>
      <c r="AH465" s="127" t="e">
        <f>(AF465/Calculator!$B$10)*Calculator!$B$9</f>
        <v>#DIV/0!</v>
      </c>
      <c r="AI465" s="126" t="str">
        <f t="shared" si="15"/>
        <v/>
      </c>
    </row>
    <row r="466" spans="32:35" ht="15.75" customHeight="1">
      <c r="AF466" s="127">
        <f t="shared" si="14"/>
        <v>0</v>
      </c>
      <c r="AG466" s="127" t="str">
        <f>IF(AA466=0,"",Calculator!$B$5)</f>
        <v/>
      </c>
      <c r="AH466" s="127" t="e">
        <f>(AF466/Calculator!$B$10)*Calculator!$B$9</f>
        <v>#DIV/0!</v>
      </c>
      <c r="AI466" s="126" t="str">
        <f t="shared" si="15"/>
        <v/>
      </c>
    </row>
    <row r="467" spans="32:35" ht="15.75" customHeight="1">
      <c r="AF467" s="127">
        <f t="shared" si="14"/>
        <v>0</v>
      </c>
      <c r="AG467" s="127" t="str">
        <f>IF(AA467=0,"",Calculator!$B$5)</f>
        <v/>
      </c>
      <c r="AH467" s="127" t="e">
        <f>(AF467/Calculator!$B$10)*Calculator!$B$9</f>
        <v>#DIV/0!</v>
      </c>
      <c r="AI467" s="126" t="str">
        <f t="shared" si="15"/>
        <v/>
      </c>
    </row>
    <row r="468" spans="32:35" ht="15.75" customHeight="1">
      <c r="AF468" s="127">
        <f t="shared" si="14"/>
        <v>0</v>
      </c>
      <c r="AG468" s="127" t="str">
        <f>IF(AA468=0,"",Calculator!$B$5)</f>
        <v/>
      </c>
      <c r="AH468" s="127" t="e">
        <f>(AF468/Calculator!$B$10)*Calculator!$B$9</f>
        <v>#DIV/0!</v>
      </c>
      <c r="AI468" s="126" t="str">
        <f t="shared" si="15"/>
        <v/>
      </c>
    </row>
    <row r="469" spans="32:35" ht="15.75" customHeight="1">
      <c r="AF469" s="127">
        <f t="shared" si="14"/>
        <v>0</v>
      </c>
      <c r="AG469" s="127" t="str">
        <f>IF(AA469=0,"",Calculator!$B$5)</f>
        <v/>
      </c>
      <c r="AH469" s="127" t="e">
        <f>(AF469/Calculator!$B$10)*Calculator!$B$9</f>
        <v>#DIV/0!</v>
      </c>
      <c r="AI469" s="126" t="str">
        <f t="shared" si="15"/>
        <v/>
      </c>
    </row>
    <row r="470" spans="32:35" ht="15.75" customHeight="1">
      <c r="AF470" s="127">
        <f t="shared" si="14"/>
        <v>0</v>
      </c>
      <c r="AG470" s="127" t="str">
        <f>IF(AA470=0,"",Calculator!$B$5)</f>
        <v/>
      </c>
      <c r="AH470" s="127" t="e">
        <f>(AF470/Calculator!$B$10)*Calculator!$B$9</f>
        <v>#DIV/0!</v>
      </c>
      <c r="AI470" s="126" t="str">
        <f t="shared" si="15"/>
        <v/>
      </c>
    </row>
    <row r="471" spans="32:35" ht="15.75" customHeight="1">
      <c r="AF471" s="127">
        <f t="shared" si="14"/>
        <v>0</v>
      </c>
      <c r="AG471" s="127" t="str">
        <f>IF(AA471=0,"",Calculator!$B$5)</f>
        <v/>
      </c>
      <c r="AH471" s="127" t="e">
        <f>(AF471/Calculator!$B$10)*Calculator!$B$9</f>
        <v>#DIV/0!</v>
      </c>
      <c r="AI471" s="126" t="str">
        <f t="shared" si="15"/>
        <v/>
      </c>
    </row>
    <row r="472" spans="32:35" ht="15.75" customHeight="1">
      <c r="AF472" s="127">
        <f t="shared" si="14"/>
        <v>0</v>
      </c>
      <c r="AG472" s="127" t="str">
        <f>IF(AA472=0,"",Calculator!$B$5)</f>
        <v/>
      </c>
      <c r="AH472" s="127" t="e">
        <f>(AF472/Calculator!$B$10)*Calculator!$B$9</f>
        <v>#DIV/0!</v>
      </c>
      <c r="AI472" s="126" t="str">
        <f t="shared" si="15"/>
        <v/>
      </c>
    </row>
    <row r="473" spans="32:35" ht="15.75" customHeight="1">
      <c r="AF473" s="127">
        <f t="shared" si="14"/>
        <v>0</v>
      </c>
      <c r="AG473" s="127" t="str">
        <f>IF(AA473=0,"",Calculator!$B$5)</f>
        <v/>
      </c>
      <c r="AH473" s="127" t="e">
        <f>(AF473/Calculator!$B$10)*Calculator!$B$9</f>
        <v>#DIV/0!</v>
      </c>
      <c r="AI473" s="126" t="str">
        <f t="shared" si="15"/>
        <v/>
      </c>
    </row>
    <row r="474" spans="32:35" ht="15.75" customHeight="1">
      <c r="AF474" s="127">
        <f t="shared" si="14"/>
        <v>0</v>
      </c>
      <c r="AG474" s="127" t="str">
        <f>IF(AA474=0,"",Calculator!$B$5)</f>
        <v/>
      </c>
      <c r="AH474" s="127" t="e">
        <f>(AF474/Calculator!$B$10)*Calculator!$B$9</f>
        <v>#DIV/0!</v>
      </c>
      <c r="AI474" s="126" t="str">
        <f t="shared" si="15"/>
        <v/>
      </c>
    </row>
    <row r="475" spans="32:35" ht="15.75" customHeight="1">
      <c r="AF475" s="127">
        <f t="shared" si="14"/>
        <v>0</v>
      </c>
      <c r="AG475" s="127" t="str">
        <f>IF(AA475=0,"",Calculator!$B$5)</f>
        <v/>
      </c>
      <c r="AH475" s="127" t="e">
        <f>(AF475/Calculator!$B$10)*Calculator!$B$9</f>
        <v>#DIV/0!</v>
      </c>
      <c r="AI475" s="126" t="str">
        <f t="shared" si="15"/>
        <v/>
      </c>
    </row>
    <row r="476" spans="32:35" ht="15.75" customHeight="1">
      <c r="AF476" s="127">
        <f t="shared" si="14"/>
        <v>0</v>
      </c>
      <c r="AG476" s="127" t="str">
        <f>IF(AA476=0,"",Calculator!$B$5)</f>
        <v/>
      </c>
      <c r="AH476" s="127" t="e">
        <f>(AF476/Calculator!$B$10)*Calculator!$B$9</f>
        <v>#DIV/0!</v>
      </c>
      <c r="AI476" s="126" t="str">
        <f t="shared" si="15"/>
        <v/>
      </c>
    </row>
    <row r="477" spans="32:35" ht="15.75" customHeight="1">
      <c r="AF477" s="127">
        <f t="shared" si="14"/>
        <v>0</v>
      </c>
      <c r="AG477" s="127" t="str">
        <f>IF(AA477=0,"",Calculator!$B$5)</f>
        <v/>
      </c>
      <c r="AH477" s="127" t="e">
        <f>(AF477/Calculator!$B$10)*Calculator!$B$9</f>
        <v>#DIV/0!</v>
      </c>
      <c r="AI477" s="126" t="str">
        <f t="shared" si="15"/>
        <v/>
      </c>
    </row>
    <row r="478" spans="32:35" ht="15.75" customHeight="1">
      <c r="AF478" s="127">
        <f t="shared" si="14"/>
        <v>0</v>
      </c>
      <c r="AG478" s="127" t="str">
        <f>IF(AA478=0,"",Calculator!$B$5)</f>
        <v/>
      </c>
      <c r="AH478" s="127" t="e">
        <f>(AF478/Calculator!$B$10)*Calculator!$B$9</f>
        <v>#DIV/0!</v>
      </c>
      <c r="AI478" s="126" t="str">
        <f t="shared" si="15"/>
        <v/>
      </c>
    </row>
    <row r="479" spans="32:35" ht="15.75" customHeight="1">
      <c r="AF479" s="127">
        <f t="shared" si="14"/>
        <v>0</v>
      </c>
      <c r="AG479" s="127" t="str">
        <f>IF(AA479=0,"",Calculator!$B$5)</f>
        <v/>
      </c>
      <c r="AH479" s="127" t="e">
        <f>(AF479/Calculator!$B$10)*Calculator!$B$9</f>
        <v>#DIV/0!</v>
      </c>
      <c r="AI479" s="126" t="str">
        <f t="shared" si="15"/>
        <v/>
      </c>
    </row>
    <row r="480" spans="32:35" ht="15.75" customHeight="1">
      <c r="AF480" s="127">
        <f t="shared" si="14"/>
        <v>0</v>
      </c>
      <c r="AG480" s="127" t="str">
        <f>IF(AA480=0,"",Calculator!$B$5)</f>
        <v/>
      </c>
      <c r="AH480" s="127" t="e">
        <f>(AF480/Calculator!$B$10)*Calculator!$B$9</f>
        <v>#DIV/0!</v>
      </c>
      <c r="AI480" s="126" t="str">
        <f t="shared" si="15"/>
        <v/>
      </c>
    </row>
    <row r="481" spans="32:35" ht="15.75" customHeight="1">
      <c r="AF481" s="127">
        <f t="shared" si="14"/>
        <v>0</v>
      </c>
      <c r="AG481" s="127" t="str">
        <f>IF(AA481=0,"",Calculator!$B$5)</f>
        <v/>
      </c>
      <c r="AH481" s="127" t="e">
        <f>(AF481/Calculator!$B$10)*Calculator!$B$9</f>
        <v>#DIV/0!</v>
      </c>
      <c r="AI481" s="126" t="str">
        <f t="shared" si="15"/>
        <v/>
      </c>
    </row>
    <row r="482" spans="32:35" ht="15.75" customHeight="1">
      <c r="AF482" s="127">
        <f t="shared" si="14"/>
        <v>0</v>
      </c>
      <c r="AG482" s="127" t="str">
        <f>IF(AA482=0,"",Calculator!$B$5)</f>
        <v/>
      </c>
      <c r="AH482" s="127" t="e">
        <f>(AF482/Calculator!$B$10)*Calculator!$B$9</f>
        <v>#DIV/0!</v>
      </c>
      <c r="AI482" s="126" t="str">
        <f t="shared" si="15"/>
        <v/>
      </c>
    </row>
    <row r="483" spans="32:35" ht="15.75" customHeight="1">
      <c r="AF483" s="127">
        <f t="shared" si="14"/>
        <v>0</v>
      </c>
      <c r="AG483" s="127" t="str">
        <f>IF(AA483=0,"",Calculator!$B$5)</f>
        <v/>
      </c>
      <c r="AH483" s="127" t="e">
        <f>(AF483/Calculator!$B$10)*Calculator!$B$9</f>
        <v>#DIV/0!</v>
      </c>
      <c r="AI483" s="126" t="str">
        <f t="shared" si="15"/>
        <v/>
      </c>
    </row>
    <row r="484" spans="32:35" ht="15.75" customHeight="1">
      <c r="AF484" s="127">
        <f t="shared" si="14"/>
        <v>0</v>
      </c>
      <c r="AG484" s="127" t="str">
        <f>IF(AA484=0,"",Calculator!$B$5)</f>
        <v/>
      </c>
      <c r="AH484" s="127" t="e">
        <f>(AF484/Calculator!$B$10)*Calculator!$B$9</f>
        <v>#DIV/0!</v>
      </c>
      <c r="AI484" s="126" t="str">
        <f t="shared" si="15"/>
        <v/>
      </c>
    </row>
    <row r="485" spans="32:35" ht="15.75" customHeight="1">
      <c r="AF485" s="127">
        <f t="shared" si="14"/>
        <v>0</v>
      </c>
      <c r="AG485" s="127" t="str">
        <f>IF(AA485=0,"",Calculator!$B$5)</f>
        <v/>
      </c>
      <c r="AH485" s="127" t="e">
        <f>(AF485/Calculator!$B$10)*Calculator!$B$9</f>
        <v>#DIV/0!</v>
      </c>
      <c r="AI485" s="126" t="str">
        <f t="shared" si="15"/>
        <v/>
      </c>
    </row>
    <row r="486" spans="32:35" ht="15.75" customHeight="1">
      <c r="AF486" s="127">
        <f t="shared" si="14"/>
        <v>0</v>
      </c>
      <c r="AG486" s="127" t="str">
        <f>IF(AA486=0,"",Calculator!$B$5)</f>
        <v/>
      </c>
      <c r="AH486" s="127" t="e">
        <f>(AF486/Calculator!$B$10)*Calculator!$B$9</f>
        <v>#DIV/0!</v>
      </c>
      <c r="AI486" s="126" t="str">
        <f t="shared" si="15"/>
        <v/>
      </c>
    </row>
    <row r="487" spans="32:35" ht="15.75" customHeight="1">
      <c r="AF487" s="127">
        <f t="shared" si="14"/>
        <v>0</v>
      </c>
      <c r="AG487" s="127" t="str">
        <f>IF(AA487=0,"",Calculator!$B$5)</f>
        <v/>
      </c>
      <c r="AH487" s="127" t="e">
        <f>(AF487/Calculator!$B$10)*Calculator!$B$9</f>
        <v>#DIV/0!</v>
      </c>
      <c r="AI487" s="126" t="str">
        <f t="shared" si="15"/>
        <v/>
      </c>
    </row>
    <row r="488" spans="32:35" ht="15.75" customHeight="1">
      <c r="AF488" s="127">
        <f t="shared" si="14"/>
        <v>0</v>
      </c>
      <c r="AG488" s="127" t="str">
        <f>IF(AA488=0,"",Calculator!$B$5)</f>
        <v/>
      </c>
      <c r="AH488" s="127" t="e">
        <f>(AF488/Calculator!$B$10)*Calculator!$B$9</f>
        <v>#DIV/0!</v>
      </c>
      <c r="AI488" s="126" t="str">
        <f t="shared" si="15"/>
        <v/>
      </c>
    </row>
    <row r="489" spans="32:35" ht="15.75" customHeight="1">
      <c r="AF489" s="127">
        <f t="shared" si="14"/>
        <v>0</v>
      </c>
      <c r="AG489" s="127" t="str">
        <f>IF(AA489=0,"",Calculator!$B$5)</f>
        <v/>
      </c>
      <c r="AH489" s="127" t="e">
        <f>(AF489/Calculator!$B$10)*Calculator!$B$9</f>
        <v>#DIV/0!</v>
      </c>
      <c r="AI489" s="126" t="str">
        <f t="shared" si="15"/>
        <v/>
      </c>
    </row>
    <row r="490" spans="32:35" ht="15.75" customHeight="1">
      <c r="AF490" s="127">
        <f t="shared" si="14"/>
        <v>0</v>
      </c>
      <c r="AG490" s="127" t="str">
        <f>IF(AA490=0,"",Calculator!$B$5)</f>
        <v/>
      </c>
      <c r="AH490" s="127" t="e">
        <f>(AF490/Calculator!$B$10)*Calculator!$B$9</f>
        <v>#DIV/0!</v>
      </c>
      <c r="AI490" s="126" t="str">
        <f t="shared" si="15"/>
        <v/>
      </c>
    </row>
    <row r="491" spans="32:35" ht="15.75" customHeight="1">
      <c r="AF491" s="127">
        <f t="shared" si="14"/>
        <v>0</v>
      </c>
      <c r="AG491" s="127" t="str">
        <f>IF(AA491=0,"",Calculator!$B$5)</f>
        <v/>
      </c>
      <c r="AH491" s="127" t="e">
        <f>(AF491/Calculator!$B$10)*Calculator!$B$9</f>
        <v>#DIV/0!</v>
      </c>
      <c r="AI491" s="126" t="str">
        <f t="shared" si="15"/>
        <v/>
      </c>
    </row>
    <row r="492" spans="32:35" ht="15.75" customHeight="1">
      <c r="AF492" s="127">
        <f t="shared" si="14"/>
        <v>0</v>
      </c>
      <c r="AG492" s="127" t="str">
        <f>IF(AA492=0,"",Calculator!$B$5)</f>
        <v/>
      </c>
      <c r="AH492" s="127" t="e">
        <f>(AF492/Calculator!$B$10)*Calculator!$B$9</f>
        <v>#DIV/0!</v>
      </c>
      <c r="AI492" s="126" t="str">
        <f t="shared" si="15"/>
        <v/>
      </c>
    </row>
    <row r="493" spans="32:35" ht="15.75" customHeight="1">
      <c r="AF493" s="127">
        <f t="shared" si="14"/>
        <v>0</v>
      </c>
      <c r="AG493" s="127" t="str">
        <f>IF(AA493=0,"",Calculator!$B$5)</f>
        <v/>
      </c>
      <c r="AH493" s="127" t="e">
        <f>(AF493/Calculator!$B$10)*Calculator!$B$9</f>
        <v>#DIV/0!</v>
      </c>
      <c r="AI493" s="126" t="str">
        <f t="shared" si="15"/>
        <v/>
      </c>
    </row>
    <row r="494" spans="32:35" ht="15.75" customHeight="1">
      <c r="AF494" s="127">
        <f t="shared" si="14"/>
        <v>0</v>
      </c>
      <c r="AG494" s="127" t="str">
        <f>IF(AA494=0,"",Calculator!$B$5)</f>
        <v/>
      </c>
      <c r="AH494" s="127" t="e">
        <f>(AF494/Calculator!$B$10)*Calculator!$B$9</f>
        <v>#DIV/0!</v>
      </c>
      <c r="AI494" s="126" t="str">
        <f t="shared" si="15"/>
        <v/>
      </c>
    </row>
    <row r="495" spans="32:35" ht="15.75" customHeight="1">
      <c r="AF495" s="127">
        <f t="shared" si="14"/>
        <v>0</v>
      </c>
      <c r="AG495" s="127" t="str">
        <f>IF(AA495=0,"",Calculator!$B$5)</f>
        <v/>
      </c>
      <c r="AH495" s="127" t="e">
        <f>(AF495/Calculator!$B$10)*Calculator!$B$9</f>
        <v>#DIV/0!</v>
      </c>
      <c r="AI495" s="126" t="str">
        <f t="shared" si="15"/>
        <v/>
      </c>
    </row>
    <row r="496" spans="32:35" ht="15.75" customHeight="1">
      <c r="AF496" s="127">
        <f t="shared" si="14"/>
        <v>0</v>
      </c>
      <c r="AG496" s="127" t="str">
        <f>IF(AA496=0,"",Calculator!$B$5)</f>
        <v/>
      </c>
      <c r="AH496" s="127" t="e">
        <f>(AF496/Calculator!$B$10)*Calculator!$B$9</f>
        <v>#DIV/0!</v>
      </c>
      <c r="AI496" s="126" t="str">
        <f t="shared" si="15"/>
        <v/>
      </c>
    </row>
    <row r="497" spans="32:35" ht="15.75" customHeight="1">
      <c r="AF497" s="127">
        <f t="shared" si="14"/>
        <v>0</v>
      </c>
      <c r="AG497" s="127" t="str">
        <f>IF(AA497=0,"",Calculator!$B$5)</f>
        <v/>
      </c>
      <c r="AH497" s="127" t="e">
        <f>(AF497/Calculator!$B$10)*Calculator!$B$9</f>
        <v>#DIV/0!</v>
      </c>
      <c r="AI497" s="126" t="str">
        <f t="shared" si="15"/>
        <v/>
      </c>
    </row>
    <row r="498" spans="32:35" ht="15.75" customHeight="1">
      <c r="AF498" s="127">
        <f t="shared" si="14"/>
        <v>0</v>
      </c>
      <c r="AG498" s="127" t="str">
        <f>IF(AA498=0,"",Calculator!$B$5)</f>
        <v/>
      </c>
      <c r="AH498" s="127" t="e">
        <f>(AF498/Calculator!$B$10)*Calculator!$B$9</f>
        <v>#DIV/0!</v>
      </c>
      <c r="AI498" s="126" t="str">
        <f t="shared" si="15"/>
        <v/>
      </c>
    </row>
    <row r="499" spans="32:35" ht="15.75" customHeight="1">
      <c r="AF499" s="127">
        <f t="shared" si="14"/>
        <v>0</v>
      </c>
      <c r="AG499" s="127" t="str">
        <f>IF(AA499=0,"",Calculator!$B$5)</f>
        <v/>
      </c>
      <c r="AH499" s="127" t="e">
        <f>(AF499/Calculator!$B$10)*Calculator!$B$9</f>
        <v>#DIV/0!</v>
      </c>
      <c r="AI499" s="126" t="str">
        <f t="shared" si="15"/>
        <v/>
      </c>
    </row>
    <row r="500" spans="32:35" ht="15.75" customHeight="1">
      <c r="AF500" s="127">
        <f t="shared" si="14"/>
        <v>0</v>
      </c>
      <c r="AG500" s="127" t="str">
        <f>IF(AA500=0,"",Calculator!$B$5)</f>
        <v/>
      </c>
      <c r="AH500" s="127" t="e">
        <f>(AF500/Calculator!$B$10)*Calculator!$B$9</f>
        <v>#DIV/0!</v>
      </c>
      <c r="AI500" s="126" t="str">
        <f t="shared" si="15"/>
        <v/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87F00A-7CD5-564B-B392-EC58557CB7FF}">
  <sheetPr codeName="Sheet10">
    <tabColor rgb="FFFFFF00"/>
    <outlinePr summaryBelow="0" summaryRight="0"/>
  </sheetPr>
  <dimension ref="A1:AI500"/>
  <sheetViews>
    <sheetView zoomScaleNormal="100" workbookViewId="0">
      <selection activeCell="E48" sqref="E48"/>
    </sheetView>
  </sheetViews>
  <sheetFormatPr defaultColWidth="12.69921875" defaultRowHeight="15.75" customHeight="1"/>
  <cols>
    <col min="1" max="1" width="19" style="128" customWidth="1"/>
    <col min="2" max="2" width="13.5" style="128" customWidth="1"/>
    <col min="3" max="3" width="7.796875" style="128" customWidth="1"/>
    <col min="4" max="4" width="15.796875" style="128" customWidth="1"/>
    <col min="5" max="5" width="31.69921875" style="128" customWidth="1"/>
    <col min="6" max="6" width="7.69921875" style="128" customWidth="1"/>
    <col min="7" max="8" width="12.69921875" style="128"/>
    <col min="9" max="11" width="7.69921875" style="128" customWidth="1"/>
    <col min="12" max="12" width="12.69921875" style="128"/>
    <col min="13" max="23" width="13.5" style="128" customWidth="1"/>
    <col min="24" max="24" width="19" style="128" customWidth="1"/>
    <col min="25" max="27" width="13.5" style="128" customWidth="1"/>
    <col min="28" max="28" width="9.5" style="128" customWidth="1"/>
    <col min="29" max="31" width="15.796875" style="128" customWidth="1"/>
    <col min="32" max="32" width="15.19921875" style="145" customWidth="1"/>
    <col min="33" max="33" width="17.19921875" style="145" bestFit="1" customWidth="1"/>
    <col min="34" max="34" width="15.19921875" style="145" customWidth="1"/>
    <col min="35" max="16384" width="12.69921875" style="126"/>
  </cols>
  <sheetData>
    <row r="1" spans="1:35" ht="15.75" customHeight="1">
      <c r="A1" s="124"/>
      <c r="B1" s="124"/>
      <c r="C1" s="124"/>
      <c r="D1" s="124"/>
      <c r="E1" s="124"/>
      <c r="F1" s="124"/>
      <c r="G1" s="124"/>
      <c r="H1" s="124"/>
      <c r="I1" s="124"/>
      <c r="J1" s="124"/>
      <c r="K1" s="124"/>
      <c r="L1" s="124"/>
      <c r="M1" s="124"/>
      <c r="N1" s="124"/>
      <c r="O1" s="124"/>
      <c r="P1" s="124"/>
      <c r="Q1" s="124"/>
      <c r="R1" s="124"/>
      <c r="S1" s="124"/>
      <c r="T1" s="124"/>
      <c r="U1" s="124"/>
      <c r="V1" s="124"/>
      <c r="W1" s="124"/>
      <c r="X1" s="124"/>
      <c r="Y1" s="124"/>
      <c r="Z1" s="124"/>
      <c r="AA1" s="124"/>
      <c r="AB1" s="124"/>
      <c r="AC1" s="124"/>
      <c r="AD1" s="124"/>
      <c r="AE1" s="124"/>
      <c r="AF1" s="125"/>
      <c r="AG1" s="125"/>
      <c r="AH1" s="125"/>
      <c r="AI1" s="141"/>
    </row>
    <row r="2" spans="1:35" ht="13.8">
      <c r="A2" s="124"/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P2" s="124"/>
      <c r="Q2" s="124"/>
      <c r="R2" s="124"/>
      <c r="S2" s="124"/>
      <c r="T2" s="124"/>
      <c r="U2" s="124"/>
      <c r="V2" s="124"/>
      <c r="W2" s="124"/>
      <c r="X2" s="124"/>
      <c r="Y2" s="124"/>
      <c r="Z2" s="124"/>
      <c r="AA2" s="124"/>
      <c r="AB2" s="124"/>
      <c r="AC2" s="124"/>
      <c r="AD2" s="124"/>
      <c r="AE2" s="124"/>
      <c r="AF2" s="127"/>
      <c r="AG2" s="127"/>
      <c r="AH2" s="127"/>
      <c r="AI2" s="141"/>
    </row>
    <row r="3" spans="1:35" ht="13.8">
      <c r="A3" s="124"/>
      <c r="B3" s="124"/>
      <c r="C3" s="124"/>
      <c r="D3" s="124"/>
      <c r="E3" s="124"/>
      <c r="F3" s="124"/>
      <c r="G3" s="124"/>
      <c r="H3" s="124"/>
      <c r="I3" s="124"/>
      <c r="J3" s="124"/>
      <c r="K3" s="124"/>
      <c r="L3" s="124"/>
      <c r="M3" s="124"/>
      <c r="N3" s="124"/>
      <c r="O3" s="124"/>
      <c r="P3" s="124"/>
      <c r="Q3" s="124"/>
      <c r="R3" s="124"/>
      <c r="S3" s="124"/>
      <c r="T3" s="124"/>
      <c r="U3" s="124"/>
      <c r="V3" s="124"/>
      <c r="W3" s="124"/>
      <c r="X3" s="124"/>
      <c r="Y3" s="124"/>
      <c r="Z3" s="124"/>
      <c r="AA3" s="124"/>
      <c r="AB3" s="124"/>
      <c r="AC3" s="124"/>
      <c r="AD3" s="124"/>
      <c r="AE3" s="124"/>
      <c r="AF3" s="142"/>
      <c r="AG3" s="142"/>
      <c r="AH3" s="142"/>
      <c r="AI3" s="141"/>
    </row>
    <row r="4" spans="1:35" ht="13.8">
      <c r="A4" s="124"/>
      <c r="B4" s="124"/>
      <c r="C4" s="124"/>
      <c r="D4" s="124"/>
      <c r="E4" s="124"/>
      <c r="F4" s="124"/>
      <c r="G4" s="124"/>
      <c r="H4" s="124"/>
      <c r="I4" s="124"/>
      <c r="J4" s="124"/>
      <c r="K4" s="124"/>
      <c r="L4" s="124"/>
      <c r="M4" s="124"/>
      <c r="N4" s="124"/>
      <c r="O4" s="124"/>
      <c r="P4" s="124"/>
      <c r="Q4" s="124"/>
      <c r="R4" s="124"/>
      <c r="S4" s="124"/>
      <c r="T4" s="124"/>
      <c r="U4" s="124"/>
      <c r="V4" s="124"/>
      <c r="W4" s="124"/>
      <c r="X4" s="124"/>
      <c r="Y4" s="124"/>
      <c r="Z4" s="124"/>
      <c r="AA4" s="124"/>
      <c r="AB4" s="124"/>
      <c r="AC4" s="124"/>
      <c r="AD4" s="124"/>
      <c r="AE4" s="124"/>
      <c r="AF4" s="125"/>
      <c r="AG4" s="125"/>
      <c r="AH4" s="125"/>
      <c r="AI4" s="141"/>
    </row>
    <row r="5" spans="1:35" ht="15.75" customHeight="1">
      <c r="AF5" s="142"/>
      <c r="AG5" s="142"/>
      <c r="AH5" s="142"/>
      <c r="AI5" s="143"/>
    </row>
    <row r="6" spans="1:35" ht="15.75" customHeight="1">
      <c r="A6" s="130"/>
      <c r="B6" s="130"/>
      <c r="C6" s="130"/>
      <c r="D6" s="130"/>
      <c r="E6" s="131"/>
      <c r="F6" s="130"/>
      <c r="G6" s="130"/>
      <c r="H6" s="130"/>
      <c r="I6" s="130"/>
      <c r="J6" s="130"/>
      <c r="K6" s="130"/>
      <c r="L6" s="130"/>
      <c r="M6" s="130"/>
      <c r="N6" s="130"/>
      <c r="O6" s="130"/>
      <c r="P6" s="130"/>
      <c r="Q6" s="130"/>
      <c r="R6" s="130"/>
      <c r="S6" s="130"/>
      <c r="T6" s="130"/>
      <c r="U6" s="130"/>
      <c r="V6" s="130"/>
      <c r="W6" s="130"/>
      <c r="X6" s="130"/>
      <c r="Y6" s="130"/>
      <c r="Z6" s="130"/>
      <c r="AA6" s="130"/>
      <c r="AB6" s="130"/>
      <c r="AC6" s="130"/>
      <c r="AD6" s="130"/>
      <c r="AE6" s="130"/>
      <c r="AF6" s="125"/>
      <c r="AG6" s="125"/>
      <c r="AH6" s="125"/>
      <c r="AI6" s="144"/>
    </row>
    <row r="7" spans="1:35" ht="15.75" customHeight="1">
      <c r="AF7" s="142"/>
      <c r="AG7" s="142"/>
      <c r="AH7" s="142"/>
      <c r="AI7" s="143"/>
    </row>
    <row r="8" spans="1:35" ht="13.8">
      <c r="A8" s="132"/>
      <c r="B8" s="132"/>
      <c r="C8" s="132"/>
      <c r="D8" s="124"/>
      <c r="E8" s="132"/>
      <c r="F8" s="132"/>
      <c r="G8" s="132"/>
      <c r="H8" s="132"/>
      <c r="I8" s="132"/>
      <c r="J8" s="132"/>
      <c r="K8" s="132"/>
      <c r="L8" s="132"/>
      <c r="M8" s="132"/>
      <c r="N8" s="132"/>
      <c r="O8" s="132"/>
      <c r="P8" s="132"/>
      <c r="Q8" s="132"/>
      <c r="R8" s="132"/>
      <c r="S8" s="132"/>
      <c r="T8" s="132"/>
      <c r="U8" s="132"/>
      <c r="V8" s="132"/>
      <c r="W8" s="132"/>
      <c r="X8" s="132"/>
      <c r="Y8" s="132"/>
      <c r="Z8" s="132"/>
      <c r="AA8" s="132"/>
      <c r="AB8" s="132"/>
      <c r="AC8" s="132"/>
      <c r="AD8" s="132"/>
      <c r="AE8" s="132"/>
      <c r="AF8" s="125" t="s">
        <v>265</v>
      </c>
      <c r="AG8" s="125" t="s">
        <v>295</v>
      </c>
      <c r="AH8" s="125" t="s">
        <v>266</v>
      </c>
      <c r="AI8" s="125" t="s">
        <v>267</v>
      </c>
    </row>
    <row r="9" spans="1:35" ht="13.8">
      <c r="A9" s="134"/>
      <c r="B9" s="135"/>
      <c r="C9" s="136"/>
      <c r="D9" s="136"/>
      <c r="E9" s="136"/>
      <c r="F9" s="134"/>
      <c r="G9" s="136"/>
      <c r="H9" s="136"/>
      <c r="I9" s="136"/>
      <c r="J9" s="137"/>
      <c r="K9" s="137"/>
      <c r="L9" s="137"/>
      <c r="M9" s="137"/>
      <c r="N9" s="137"/>
      <c r="O9" s="137"/>
      <c r="P9" s="137"/>
      <c r="Q9" s="137"/>
      <c r="R9" s="137"/>
      <c r="S9" s="137"/>
      <c r="T9" s="137"/>
      <c r="U9" s="137"/>
      <c r="V9" s="137"/>
      <c r="W9" s="137"/>
      <c r="X9" s="137"/>
      <c r="Y9" s="137"/>
      <c r="Z9" s="137"/>
      <c r="AA9" s="137"/>
      <c r="AB9" s="136"/>
      <c r="AC9" s="136"/>
      <c r="AD9" s="136"/>
      <c r="AE9" s="136"/>
      <c r="AF9" s="127">
        <f>IFERROR(AA9*AG9,0)</f>
        <v>0</v>
      </c>
      <c r="AG9" s="127" t="str">
        <f>IF(AA9=0,"",Calculator!$B$6)</f>
        <v/>
      </c>
      <c r="AH9" s="127" t="e">
        <f>(AF9/Calculator!$B$10)*Calculator!$B$9</f>
        <v>#DIV/0!</v>
      </c>
      <c r="AI9" s="144" t="str">
        <f>IF(ISBLANK(AA9),"","RS Means")</f>
        <v/>
      </c>
    </row>
    <row r="10" spans="1:35" ht="13.8">
      <c r="A10" s="134"/>
      <c r="B10" s="135"/>
      <c r="C10" s="136"/>
      <c r="D10" s="136"/>
      <c r="E10" s="136"/>
      <c r="F10" s="134"/>
      <c r="G10" s="136"/>
      <c r="H10" s="136"/>
      <c r="I10" s="136"/>
      <c r="J10" s="137"/>
      <c r="K10" s="137"/>
      <c r="L10" s="137"/>
      <c r="M10" s="137"/>
      <c r="N10" s="137"/>
      <c r="O10" s="137"/>
      <c r="P10" s="137"/>
      <c r="Q10" s="137"/>
      <c r="R10" s="137"/>
      <c r="S10" s="137"/>
      <c r="T10" s="137"/>
      <c r="U10" s="137"/>
      <c r="V10" s="137"/>
      <c r="W10" s="137"/>
      <c r="X10" s="137"/>
      <c r="Y10" s="137"/>
      <c r="Z10" s="137"/>
      <c r="AA10" s="137"/>
      <c r="AB10" s="136"/>
      <c r="AC10" s="136"/>
      <c r="AD10" s="136"/>
      <c r="AE10" s="136"/>
      <c r="AF10" s="127">
        <f t="shared" ref="AF10:AF73" si="0">IFERROR(AA10*AG10,0)</f>
        <v>0</v>
      </c>
      <c r="AG10" s="127" t="str">
        <f>IF(AA10=0,"",Calculator!$B$6)</f>
        <v/>
      </c>
      <c r="AH10" s="127" t="e">
        <f>(AF10/Calculator!$B$10)*Calculator!$B$9</f>
        <v>#DIV/0!</v>
      </c>
      <c r="AI10" s="144" t="str">
        <f t="shared" ref="AI10:AI73" si="1">IF(ISBLANK(AA10),"","RS Means")</f>
        <v/>
      </c>
    </row>
    <row r="11" spans="1:35" ht="13.8">
      <c r="A11" s="134"/>
      <c r="B11" s="135"/>
      <c r="C11" s="136"/>
      <c r="D11" s="136"/>
      <c r="E11" s="136"/>
      <c r="F11" s="134"/>
      <c r="G11" s="136"/>
      <c r="H11" s="136"/>
      <c r="I11" s="136"/>
      <c r="J11" s="137"/>
      <c r="K11" s="137"/>
      <c r="L11" s="137"/>
      <c r="M11" s="137"/>
      <c r="N11" s="137"/>
      <c r="O11" s="137"/>
      <c r="P11" s="137"/>
      <c r="Q11" s="137"/>
      <c r="R11" s="137"/>
      <c r="S11" s="137"/>
      <c r="T11" s="137"/>
      <c r="U11" s="137"/>
      <c r="V11" s="137"/>
      <c r="W11" s="137"/>
      <c r="X11" s="137"/>
      <c r="Y11" s="137"/>
      <c r="Z11" s="137"/>
      <c r="AA11" s="137"/>
      <c r="AB11" s="136"/>
      <c r="AC11" s="136"/>
      <c r="AD11" s="136"/>
      <c r="AE11" s="136"/>
      <c r="AF11" s="127">
        <f t="shared" si="0"/>
        <v>0</v>
      </c>
      <c r="AG11" s="127" t="str">
        <f>IF(AA11=0,"",Calculator!$B$6)</f>
        <v/>
      </c>
      <c r="AH11" s="127" t="e">
        <f>(AF11/Calculator!$B$10)*Calculator!$B$9</f>
        <v>#DIV/0!</v>
      </c>
      <c r="AI11" s="144" t="str">
        <f t="shared" si="1"/>
        <v/>
      </c>
    </row>
    <row r="12" spans="1:35" ht="13.8">
      <c r="AF12" s="127">
        <f t="shared" si="0"/>
        <v>0</v>
      </c>
      <c r="AG12" s="127" t="str">
        <f>IF(AA12=0,"",Calculator!$B$6)</f>
        <v/>
      </c>
      <c r="AH12" s="127" t="e">
        <f>(AF12/Calculator!$B$10)*Calculator!$B$9</f>
        <v>#DIV/0!</v>
      </c>
      <c r="AI12" s="144" t="str">
        <f t="shared" si="1"/>
        <v/>
      </c>
    </row>
    <row r="13" spans="1:35" ht="13.8">
      <c r="A13" s="138"/>
      <c r="M13" s="139"/>
      <c r="N13" s="139"/>
      <c r="O13" s="139"/>
      <c r="P13" s="139"/>
      <c r="Q13" s="139"/>
      <c r="R13" s="139"/>
      <c r="S13" s="139"/>
      <c r="T13" s="139"/>
      <c r="U13" s="139"/>
      <c r="V13" s="139"/>
      <c r="W13" s="139"/>
      <c r="X13" s="139"/>
      <c r="Y13" s="139"/>
      <c r="Z13" s="139"/>
      <c r="AA13" s="139"/>
      <c r="AF13" s="127">
        <f t="shared" si="0"/>
        <v>0</v>
      </c>
      <c r="AG13" s="127" t="str">
        <f>IF(AA13=0,"",Calculator!$B$6)</f>
        <v/>
      </c>
      <c r="AH13" s="127" t="e">
        <f>(AF13/Calculator!$B$10)*Calculator!$B$9</f>
        <v>#DIV/0!</v>
      </c>
      <c r="AI13" s="144" t="str">
        <f t="shared" si="1"/>
        <v/>
      </c>
    </row>
    <row r="14" spans="1:35" ht="13.8">
      <c r="AF14" s="127">
        <f t="shared" si="0"/>
        <v>0</v>
      </c>
      <c r="AG14" s="127" t="str">
        <f>IF(AA14=0,"",Calculator!$B$6)</f>
        <v/>
      </c>
      <c r="AH14" s="127" t="e">
        <f>(AF14/Calculator!$B$10)*Calculator!$B$9</f>
        <v>#DIV/0!</v>
      </c>
      <c r="AI14" s="144" t="str">
        <f t="shared" si="1"/>
        <v/>
      </c>
    </row>
    <row r="15" spans="1:35" ht="13.8">
      <c r="AF15" s="127">
        <f t="shared" si="0"/>
        <v>0</v>
      </c>
      <c r="AG15" s="127" t="str">
        <f>IF(AA15=0,"",Calculator!$B$6)</f>
        <v/>
      </c>
      <c r="AH15" s="127" t="e">
        <f>(AF15/Calculator!$B$10)*Calculator!$B$9</f>
        <v>#DIV/0!</v>
      </c>
      <c r="AI15" s="144" t="str">
        <f t="shared" si="1"/>
        <v/>
      </c>
    </row>
    <row r="16" spans="1:35" ht="13.8">
      <c r="AF16" s="127">
        <f t="shared" si="0"/>
        <v>0</v>
      </c>
      <c r="AG16" s="127" t="str">
        <f>IF(AA16=0,"",Calculator!$B$6)</f>
        <v/>
      </c>
      <c r="AH16" s="127" t="e">
        <f>(AF16/Calculator!$B$10)*Calculator!$B$9</f>
        <v>#DIV/0!</v>
      </c>
      <c r="AI16" s="144" t="str">
        <f t="shared" si="1"/>
        <v/>
      </c>
    </row>
    <row r="17" spans="1:35" ht="15.6">
      <c r="A17" s="130"/>
      <c r="B17" s="130"/>
      <c r="C17" s="130"/>
      <c r="D17" s="130"/>
      <c r="E17" s="131"/>
      <c r="F17" s="130"/>
      <c r="G17" s="130"/>
      <c r="H17" s="130"/>
      <c r="I17" s="130"/>
      <c r="J17" s="130"/>
      <c r="K17" s="130"/>
      <c r="L17" s="130"/>
      <c r="M17" s="130"/>
      <c r="N17" s="130"/>
      <c r="O17" s="130"/>
      <c r="P17" s="130"/>
      <c r="Q17" s="130"/>
      <c r="R17" s="130"/>
      <c r="S17" s="130"/>
      <c r="T17" s="130"/>
      <c r="U17" s="130"/>
      <c r="V17" s="130"/>
      <c r="W17" s="130"/>
      <c r="X17" s="130"/>
      <c r="Y17" s="130"/>
      <c r="Z17" s="130"/>
      <c r="AA17" s="130"/>
      <c r="AB17" s="130"/>
      <c r="AC17" s="130"/>
      <c r="AD17" s="130"/>
      <c r="AE17" s="130"/>
      <c r="AF17" s="127">
        <f t="shared" si="0"/>
        <v>0</v>
      </c>
      <c r="AG17" s="127" t="str">
        <f>IF(AA17=0,"",Calculator!$B$6)</f>
        <v/>
      </c>
      <c r="AH17" s="127" t="e">
        <f>(AF17/Calculator!$B$10)*Calculator!$B$9</f>
        <v>#DIV/0!</v>
      </c>
      <c r="AI17" s="144" t="str">
        <f t="shared" si="1"/>
        <v/>
      </c>
    </row>
    <row r="18" spans="1:35" ht="13.8">
      <c r="A18" s="132"/>
      <c r="B18" s="132"/>
      <c r="C18" s="132"/>
      <c r="D18" s="124"/>
      <c r="E18" s="132"/>
      <c r="F18" s="132"/>
      <c r="G18" s="132"/>
      <c r="H18" s="132"/>
      <c r="I18" s="132"/>
      <c r="J18" s="132"/>
      <c r="K18" s="132"/>
      <c r="L18" s="132"/>
      <c r="M18" s="132"/>
      <c r="N18" s="132"/>
      <c r="O18" s="132"/>
      <c r="P18" s="132"/>
      <c r="Q18" s="132"/>
      <c r="R18" s="132"/>
      <c r="S18" s="132"/>
      <c r="T18" s="132"/>
      <c r="U18" s="132"/>
      <c r="V18" s="132"/>
      <c r="W18" s="132"/>
      <c r="X18" s="132"/>
      <c r="Y18" s="132"/>
      <c r="Z18" s="132"/>
      <c r="AA18" s="132"/>
      <c r="AB18" s="132"/>
      <c r="AC18" s="132"/>
      <c r="AD18" s="132"/>
      <c r="AE18" s="132"/>
      <c r="AF18" s="127">
        <f t="shared" si="0"/>
        <v>0</v>
      </c>
      <c r="AG18" s="127" t="str">
        <f>IF(AA18=0,"",Calculator!$B$6)</f>
        <v/>
      </c>
      <c r="AH18" s="127" t="e">
        <f>(AF18/Calculator!$B$10)*Calculator!$B$9</f>
        <v>#DIV/0!</v>
      </c>
      <c r="AI18" s="144" t="str">
        <f t="shared" si="1"/>
        <v/>
      </c>
    </row>
    <row r="19" spans="1:35" ht="13.8">
      <c r="A19" s="134"/>
      <c r="B19" s="135"/>
      <c r="C19" s="136"/>
      <c r="D19" s="136"/>
      <c r="E19" s="136"/>
      <c r="F19" s="134"/>
      <c r="G19" s="136"/>
      <c r="H19" s="136"/>
      <c r="I19" s="134"/>
      <c r="J19" s="137"/>
      <c r="K19" s="137"/>
      <c r="L19" s="137"/>
      <c r="M19" s="137"/>
      <c r="N19" s="137"/>
      <c r="O19" s="137"/>
      <c r="P19" s="137"/>
      <c r="Q19" s="137"/>
      <c r="R19" s="137"/>
      <c r="S19" s="137"/>
      <c r="T19" s="137"/>
      <c r="U19" s="137"/>
      <c r="V19" s="137"/>
      <c r="W19" s="137"/>
      <c r="X19" s="137"/>
      <c r="Y19" s="137"/>
      <c r="Z19" s="137"/>
      <c r="AA19" s="137"/>
      <c r="AB19" s="136"/>
      <c r="AC19" s="136"/>
      <c r="AD19" s="136"/>
      <c r="AE19" s="136"/>
      <c r="AF19" s="127">
        <f t="shared" si="0"/>
        <v>0</v>
      </c>
      <c r="AG19" s="127" t="str">
        <f>IF(AA19=0,"",Calculator!$B$6)</f>
        <v/>
      </c>
      <c r="AH19" s="127" t="e">
        <f>(AF19/Calculator!$B$10)*Calculator!$B$9</f>
        <v>#DIV/0!</v>
      </c>
      <c r="AI19" s="144" t="str">
        <f t="shared" si="1"/>
        <v/>
      </c>
    </row>
    <row r="20" spans="1:35" ht="13.8">
      <c r="A20" s="134"/>
      <c r="B20" s="135"/>
      <c r="C20" s="136"/>
      <c r="D20" s="136"/>
      <c r="E20" s="136"/>
      <c r="F20" s="134"/>
      <c r="G20" s="136"/>
      <c r="H20" s="136"/>
      <c r="I20" s="134"/>
      <c r="J20" s="137"/>
      <c r="K20" s="137"/>
      <c r="L20" s="137"/>
      <c r="M20" s="137"/>
      <c r="N20" s="137"/>
      <c r="O20" s="137"/>
      <c r="P20" s="137"/>
      <c r="Q20" s="137"/>
      <c r="R20" s="137"/>
      <c r="S20" s="137"/>
      <c r="T20" s="137"/>
      <c r="U20" s="137"/>
      <c r="V20" s="137"/>
      <c r="W20" s="137"/>
      <c r="X20" s="137"/>
      <c r="Y20" s="137"/>
      <c r="Z20" s="137"/>
      <c r="AA20" s="137"/>
      <c r="AB20" s="136"/>
      <c r="AC20" s="136"/>
      <c r="AD20" s="136"/>
      <c r="AE20" s="136"/>
      <c r="AF20" s="127">
        <f t="shared" si="0"/>
        <v>0</v>
      </c>
      <c r="AG20" s="127" t="str">
        <f>IF(AA20=0,"",Calculator!$B$6)</f>
        <v/>
      </c>
      <c r="AH20" s="127" t="e">
        <f>(AF20/Calculator!$B$10)*Calculator!$B$9</f>
        <v>#DIV/0!</v>
      </c>
      <c r="AI20" s="144" t="str">
        <f t="shared" si="1"/>
        <v/>
      </c>
    </row>
    <row r="21" spans="1:35" ht="13.8">
      <c r="A21" s="134"/>
      <c r="B21" s="136"/>
      <c r="C21" s="136"/>
      <c r="D21" s="136"/>
      <c r="E21" s="136"/>
      <c r="F21" s="134"/>
      <c r="G21" s="136"/>
      <c r="H21" s="136"/>
      <c r="I21" s="134"/>
      <c r="J21" s="137"/>
      <c r="K21" s="137"/>
      <c r="L21" s="137"/>
      <c r="M21" s="137"/>
      <c r="N21" s="137"/>
      <c r="O21" s="137"/>
      <c r="P21" s="137"/>
      <c r="Q21" s="137"/>
      <c r="R21" s="137"/>
      <c r="S21" s="137"/>
      <c r="T21" s="137"/>
      <c r="U21" s="137"/>
      <c r="V21" s="137"/>
      <c r="W21" s="137"/>
      <c r="X21" s="137"/>
      <c r="Y21" s="137"/>
      <c r="Z21" s="137"/>
      <c r="AA21" s="137"/>
      <c r="AB21" s="136"/>
      <c r="AC21" s="136"/>
      <c r="AD21" s="136"/>
      <c r="AE21" s="136"/>
      <c r="AF21" s="127">
        <f t="shared" si="0"/>
        <v>0</v>
      </c>
      <c r="AG21" s="127" t="str">
        <f>IF(AA21=0,"",Calculator!$B$6)</f>
        <v/>
      </c>
      <c r="AH21" s="127" t="e">
        <f>(AF21/Calculator!$B$10)*Calculator!$B$9</f>
        <v>#DIV/0!</v>
      </c>
      <c r="AI21" s="144" t="str">
        <f t="shared" si="1"/>
        <v/>
      </c>
    </row>
    <row r="22" spans="1:35" ht="13.8">
      <c r="A22" s="134"/>
      <c r="B22" s="136"/>
      <c r="C22" s="136"/>
      <c r="D22" s="136"/>
      <c r="E22" s="136"/>
      <c r="F22" s="134"/>
      <c r="G22" s="136"/>
      <c r="H22" s="136"/>
      <c r="I22" s="134"/>
      <c r="J22" s="137"/>
      <c r="K22" s="137"/>
      <c r="L22" s="137"/>
      <c r="M22" s="137"/>
      <c r="N22" s="137"/>
      <c r="O22" s="137"/>
      <c r="P22" s="137"/>
      <c r="Q22" s="137"/>
      <c r="R22" s="137"/>
      <c r="S22" s="137"/>
      <c r="T22" s="137"/>
      <c r="U22" s="137"/>
      <c r="V22" s="137"/>
      <c r="W22" s="137"/>
      <c r="X22" s="137"/>
      <c r="Y22" s="137"/>
      <c r="Z22" s="137"/>
      <c r="AA22" s="137"/>
      <c r="AB22" s="136"/>
      <c r="AC22" s="136"/>
      <c r="AD22" s="136"/>
      <c r="AE22" s="136"/>
      <c r="AF22" s="127">
        <f t="shared" si="0"/>
        <v>0</v>
      </c>
      <c r="AG22" s="127" t="str">
        <f>IF(AA22=0,"",Calculator!$B$6)</f>
        <v/>
      </c>
      <c r="AH22" s="127" t="e">
        <f>(AF22/Calculator!$B$10)*Calculator!$B$9</f>
        <v>#DIV/0!</v>
      </c>
      <c r="AI22" s="144" t="str">
        <f t="shared" si="1"/>
        <v/>
      </c>
    </row>
    <row r="23" spans="1:35" ht="13.8">
      <c r="A23" s="134"/>
      <c r="B23" s="135"/>
      <c r="C23" s="136"/>
      <c r="D23" s="136"/>
      <c r="E23" s="136"/>
      <c r="F23" s="134"/>
      <c r="G23" s="136"/>
      <c r="H23" s="136"/>
      <c r="I23" s="134"/>
      <c r="J23" s="137"/>
      <c r="K23" s="137"/>
      <c r="L23" s="137"/>
      <c r="M23" s="137"/>
      <c r="N23" s="137"/>
      <c r="O23" s="137"/>
      <c r="P23" s="137"/>
      <c r="Q23" s="137"/>
      <c r="R23" s="137"/>
      <c r="S23" s="137"/>
      <c r="T23" s="137"/>
      <c r="U23" s="137"/>
      <c r="V23" s="137"/>
      <c r="W23" s="137"/>
      <c r="X23" s="137"/>
      <c r="Y23" s="137"/>
      <c r="Z23" s="137"/>
      <c r="AA23" s="137"/>
      <c r="AB23" s="136"/>
      <c r="AC23" s="136"/>
      <c r="AD23" s="136"/>
      <c r="AE23" s="136"/>
      <c r="AF23" s="127">
        <f t="shared" si="0"/>
        <v>0</v>
      </c>
      <c r="AG23" s="127" t="str">
        <f>IF(AA23=0,"",Calculator!$B$6)</f>
        <v/>
      </c>
      <c r="AH23" s="127" t="e">
        <f>(AF23/Calculator!$B$10)*Calculator!$B$9</f>
        <v>#DIV/0!</v>
      </c>
      <c r="AI23" s="144" t="str">
        <f t="shared" si="1"/>
        <v/>
      </c>
    </row>
    <row r="24" spans="1:35" ht="13.8">
      <c r="AF24" s="127">
        <f t="shared" si="0"/>
        <v>0</v>
      </c>
      <c r="AG24" s="127" t="str">
        <f>IF(AA24=0,"",Calculator!$B$6)</f>
        <v/>
      </c>
      <c r="AH24" s="127" t="e">
        <f>(AF24/Calculator!$B$10)*Calculator!$B$9</f>
        <v>#DIV/0!</v>
      </c>
      <c r="AI24" s="144" t="str">
        <f t="shared" si="1"/>
        <v/>
      </c>
    </row>
    <row r="25" spans="1:35" ht="13.8">
      <c r="A25" s="138"/>
      <c r="M25" s="139"/>
      <c r="N25" s="139"/>
      <c r="O25" s="139"/>
      <c r="P25" s="139"/>
      <c r="Q25" s="139"/>
      <c r="R25" s="139"/>
      <c r="S25" s="139"/>
      <c r="T25" s="139"/>
      <c r="U25" s="139"/>
      <c r="V25" s="139"/>
      <c r="W25" s="139"/>
      <c r="X25" s="139"/>
      <c r="Y25" s="139"/>
      <c r="Z25" s="139"/>
      <c r="AA25" s="139"/>
      <c r="AF25" s="127">
        <f t="shared" si="0"/>
        <v>0</v>
      </c>
      <c r="AG25" s="127" t="str">
        <f>IF(AA25=0,"",Calculator!$B$6)</f>
        <v/>
      </c>
      <c r="AH25" s="127" t="e">
        <f>(AF25/Calculator!$B$10)*Calculator!$B$9</f>
        <v>#DIV/0!</v>
      </c>
      <c r="AI25" s="144" t="str">
        <f t="shared" si="1"/>
        <v/>
      </c>
    </row>
    <row r="26" spans="1:35" ht="13.8">
      <c r="AF26" s="127">
        <f t="shared" si="0"/>
        <v>0</v>
      </c>
      <c r="AG26" s="127" t="str">
        <f>IF(AA26=0,"",Calculator!$B$6)</f>
        <v/>
      </c>
      <c r="AH26" s="127" t="e">
        <f>(AF26/Calculator!$B$10)*Calculator!$B$9</f>
        <v>#DIV/0!</v>
      </c>
      <c r="AI26" s="144" t="str">
        <f t="shared" si="1"/>
        <v/>
      </c>
    </row>
    <row r="27" spans="1:35" ht="15.75" customHeight="1">
      <c r="A27" s="138"/>
      <c r="M27" s="139"/>
      <c r="N27" s="139"/>
      <c r="O27" s="139"/>
      <c r="P27" s="139"/>
      <c r="Q27" s="139"/>
      <c r="R27" s="139"/>
      <c r="S27" s="139"/>
      <c r="T27" s="139"/>
      <c r="U27" s="139"/>
      <c r="V27" s="139"/>
      <c r="W27" s="139"/>
      <c r="X27" s="139"/>
      <c r="Y27" s="139"/>
      <c r="Z27" s="139"/>
      <c r="AA27" s="139"/>
      <c r="AF27" s="127">
        <f t="shared" si="0"/>
        <v>0</v>
      </c>
      <c r="AG27" s="127" t="str">
        <f>IF(AA27=0,"",Calculator!$B$6)</f>
        <v/>
      </c>
      <c r="AH27" s="127" t="e">
        <f>(AF27/Calculator!$B$10)*Calculator!$B$9</f>
        <v>#DIV/0!</v>
      </c>
      <c r="AI27" s="144" t="str">
        <f t="shared" si="1"/>
        <v/>
      </c>
    </row>
    <row r="28" spans="1:35" ht="15.75" customHeight="1">
      <c r="AF28" s="127">
        <f t="shared" si="0"/>
        <v>0</v>
      </c>
      <c r="AG28" s="127" t="str">
        <f>IF(AA28=0,"",Calculator!$B$6)</f>
        <v/>
      </c>
      <c r="AH28" s="127" t="e">
        <f>(AF28/Calculator!$B$10)*Calculator!$B$9</f>
        <v>#DIV/0!</v>
      </c>
      <c r="AI28" s="144" t="str">
        <f t="shared" si="1"/>
        <v/>
      </c>
    </row>
    <row r="29" spans="1:35" ht="15.75" customHeight="1">
      <c r="AF29" s="127">
        <f t="shared" si="0"/>
        <v>0</v>
      </c>
      <c r="AG29" s="127" t="str">
        <f>IF(AA29=0,"",Calculator!$B$6)</f>
        <v/>
      </c>
      <c r="AH29" s="127" t="e">
        <f>(AF29/Calculator!$B$10)*Calculator!$B$9</f>
        <v>#DIV/0!</v>
      </c>
      <c r="AI29" s="144" t="str">
        <f t="shared" si="1"/>
        <v/>
      </c>
    </row>
    <row r="30" spans="1:35" ht="15.75" customHeight="1">
      <c r="AF30" s="127">
        <f t="shared" si="0"/>
        <v>0</v>
      </c>
      <c r="AG30" s="127" t="str">
        <f>IF(AA30=0,"",Calculator!$B$6)</f>
        <v/>
      </c>
      <c r="AH30" s="127" t="e">
        <f>(AF30/Calculator!$B$10)*Calculator!$B$9</f>
        <v>#DIV/0!</v>
      </c>
      <c r="AI30" s="144" t="str">
        <f t="shared" si="1"/>
        <v/>
      </c>
    </row>
    <row r="31" spans="1:35" ht="15.75" customHeight="1">
      <c r="AF31" s="127">
        <f t="shared" si="0"/>
        <v>0</v>
      </c>
      <c r="AG31" s="127" t="str">
        <f>IF(AA31=0,"",Calculator!$B$6)</f>
        <v/>
      </c>
      <c r="AH31" s="127" t="e">
        <f>(AF31/Calculator!$B$10)*Calculator!$B$9</f>
        <v>#DIV/0!</v>
      </c>
      <c r="AI31" s="144" t="str">
        <f t="shared" si="1"/>
        <v/>
      </c>
    </row>
    <row r="32" spans="1:35" ht="15.75" customHeight="1">
      <c r="AF32" s="127">
        <f t="shared" si="0"/>
        <v>0</v>
      </c>
      <c r="AG32" s="127" t="str">
        <f>IF(AA32=0,"",Calculator!$B$6)</f>
        <v/>
      </c>
      <c r="AH32" s="127" t="e">
        <f>(AF32/Calculator!$B$10)*Calculator!$B$9</f>
        <v>#DIV/0!</v>
      </c>
      <c r="AI32" s="144" t="str">
        <f t="shared" si="1"/>
        <v/>
      </c>
    </row>
    <row r="33" spans="32:35" ht="15.75" customHeight="1">
      <c r="AF33" s="127">
        <f t="shared" si="0"/>
        <v>0</v>
      </c>
      <c r="AG33" s="127" t="str">
        <f>IF(AA33=0,"",Calculator!$B$6)</f>
        <v/>
      </c>
      <c r="AH33" s="127" t="e">
        <f>(AF33/Calculator!$B$10)*Calculator!$B$9</f>
        <v>#DIV/0!</v>
      </c>
      <c r="AI33" s="144" t="str">
        <f t="shared" si="1"/>
        <v/>
      </c>
    </row>
    <row r="34" spans="32:35" ht="15.75" customHeight="1">
      <c r="AF34" s="127">
        <f t="shared" si="0"/>
        <v>0</v>
      </c>
      <c r="AG34" s="127" t="str">
        <f>IF(AA34=0,"",Calculator!$B$6)</f>
        <v/>
      </c>
      <c r="AH34" s="127" t="e">
        <f>(AF34/Calculator!$B$10)*Calculator!$B$9</f>
        <v>#DIV/0!</v>
      </c>
      <c r="AI34" s="144" t="str">
        <f t="shared" si="1"/>
        <v/>
      </c>
    </row>
    <row r="35" spans="32:35" ht="15.75" customHeight="1">
      <c r="AF35" s="127">
        <f t="shared" si="0"/>
        <v>0</v>
      </c>
      <c r="AG35" s="127" t="str">
        <f>IF(AA35=0,"",Calculator!$B$6)</f>
        <v/>
      </c>
      <c r="AH35" s="127" t="e">
        <f>(AF35/Calculator!$B$10)*Calculator!$B$9</f>
        <v>#DIV/0!</v>
      </c>
      <c r="AI35" s="144" t="str">
        <f t="shared" si="1"/>
        <v/>
      </c>
    </row>
    <row r="36" spans="32:35" ht="15.75" customHeight="1">
      <c r="AF36" s="127">
        <f t="shared" si="0"/>
        <v>0</v>
      </c>
      <c r="AG36" s="127" t="str">
        <f>IF(AA36=0,"",Calculator!$B$6)</f>
        <v/>
      </c>
      <c r="AH36" s="127" t="e">
        <f>(AF36/Calculator!$B$10)*Calculator!$B$9</f>
        <v>#DIV/0!</v>
      </c>
      <c r="AI36" s="144" t="str">
        <f t="shared" si="1"/>
        <v/>
      </c>
    </row>
    <row r="37" spans="32:35" ht="15.75" customHeight="1">
      <c r="AF37" s="127">
        <f t="shared" si="0"/>
        <v>0</v>
      </c>
      <c r="AG37" s="127" t="str">
        <f>IF(AA37=0,"",Calculator!$B$6)</f>
        <v/>
      </c>
      <c r="AH37" s="127" t="e">
        <f>(AF37/Calculator!$B$10)*Calculator!$B$9</f>
        <v>#DIV/0!</v>
      </c>
      <c r="AI37" s="144" t="str">
        <f t="shared" si="1"/>
        <v/>
      </c>
    </row>
    <row r="38" spans="32:35" ht="15.75" customHeight="1">
      <c r="AF38" s="127">
        <f t="shared" si="0"/>
        <v>0</v>
      </c>
      <c r="AG38" s="127" t="str">
        <f>IF(AA38=0,"",Calculator!$B$6)</f>
        <v/>
      </c>
      <c r="AH38" s="127" t="e">
        <f>(AF38/Calculator!$B$10)*Calculator!$B$9</f>
        <v>#DIV/0!</v>
      </c>
      <c r="AI38" s="144" t="str">
        <f t="shared" si="1"/>
        <v/>
      </c>
    </row>
    <row r="39" spans="32:35" ht="15.75" customHeight="1">
      <c r="AF39" s="127">
        <f t="shared" si="0"/>
        <v>0</v>
      </c>
      <c r="AG39" s="127" t="str">
        <f>IF(AA39=0,"",Calculator!$B$6)</f>
        <v/>
      </c>
      <c r="AH39" s="127" t="e">
        <f>(AF39/Calculator!$B$10)*Calculator!$B$9</f>
        <v>#DIV/0!</v>
      </c>
      <c r="AI39" s="144" t="str">
        <f t="shared" si="1"/>
        <v/>
      </c>
    </row>
    <row r="40" spans="32:35" ht="15.75" customHeight="1">
      <c r="AF40" s="127">
        <f t="shared" si="0"/>
        <v>0</v>
      </c>
      <c r="AG40" s="127" t="str">
        <f>IF(AA40=0,"",Calculator!$B$6)</f>
        <v/>
      </c>
      <c r="AH40" s="127" t="e">
        <f>(AF40/Calculator!$B$10)*Calculator!$B$9</f>
        <v>#DIV/0!</v>
      </c>
      <c r="AI40" s="144" t="str">
        <f t="shared" si="1"/>
        <v/>
      </c>
    </row>
    <row r="41" spans="32:35" ht="15.75" customHeight="1">
      <c r="AF41" s="127">
        <f t="shared" si="0"/>
        <v>0</v>
      </c>
      <c r="AG41" s="127" t="str">
        <f>IF(AA41=0,"",Calculator!$B$6)</f>
        <v/>
      </c>
      <c r="AH41" s="127" t="e">
        <f>(AF41/Calculator!$B$10)*Calculator!$B$9</f>
        <v>#DIV/0!</v>
      </c>
      <c r="AI41" s="144" t="str">
        <f t="shared" si="1"/>
        <v/>
      </c>
    </row>
    <row r="42" spans="32:35" ht="15.75" customHeight="1">
      <c r="AF42" s="127">
        <f t="shared" si="0"/>
        <v>0</v>
      </c>
      <c r="AG42" s="127" t="str">
        <f>IF(AA42=0,"",Calculator!$B$6)</f>
        <v/>
      </c>
      <c r="AH42" s="127" t="e">
        <f>(AF42/Calculator!$B$10)*Calculator!$B$9</f>
        <v>#DIV/0!</v>
      </c>
      <c r="AI42" s="144" t="str">
        <f t="shared" si="1"/>
        <v/>
      </c>
    </row>
    <row r="43" spans="32:35" ht="15.75" customHeight="1">
      <c r="AF43" s="127">
        <f t="shared" si="0"/>
        <v>0</v>
      </c>
      <c r="AG43" s="127" t="str">
        <f>IF(AA43=0,"",Calculator!$B$6)</f>
        <v/>
      </c>
      <c r="AH43" s="127" t="e">
        <f>(AF43/Calculator!$B$10)*Calculator!$B$9</f>
        <v>#DIV/0!</v>
      </c>
      <c r="AI43" s="144" t="str">
        <f t="shared" si="1"/>
        <v/>
      </c>
    </row>
    <row r="44" spans="32:35" ht="15.75" customHeight="1">
      <c r="AF44" s="127">
        <f t="shared" si="0"/>
        <v>0</v>
      </c>
      <c r="AG44" s="127" t="str">
        <f>IF(AA44=0,"",Calculator!$B$6)</f>
        <v/>
      </c>
      <c r="AH44" s="127" t="e">
        <f>(AF44/Calculator!$B$10)*Calculator!$B$9</f>
        <v>#DIV/0!</v>
      </c>
      <c r="AI44" s="144" t="str">
        <f t="shared" si="1"/>
        <v/>
      </c>
    </row>
    <row r="45" spans="32:35" ht="15.75" customHeight="1">
      <c r="AF45" s="127">
        <f t="shared" si="0"/>
        <v>0</v>
      </c>
      <c r="AG45" s="127" t="str">
        <f>IF(AA45=0,"",Calculator!$B$6)</f>
        <v/>
      </c>
      <c r="AH45" s="127" t="e">
        <f>(AF45/Calculator!$B$10)*Calculator!$B$9</f>
        <v>#DIV/0!</v>
      </c>
      <c r="AI45" s="144" t="str">
        <f t="shared" si="1"/>
        <v/>
      </c>
    </row>
    <row r="46" spans="32:35" ht="15.75" customHeight="1">
      <c r="AF46" s="127">
        <f t="shared" si="0"/>
        <v>0</v>
      </c>
      <c r="AG46" s="127" t="str">
        <f>IF(AA46=0,"",Calculator!$B$6)</f>
        <v/>
      </c>
      <c r="AH46" s="127" t="e">
        <f>(AF46/Calculator!$B$10)*Calculator!$B$9</f>
        <v>#DIV/0!</v>
      </c>
      <c r="AI46" s="144" t="str">
        <f t="shared" si="1"/>
        <v/>
      </c>
    </row>
    <row r="47" spans="32:35" ht="15.75" customHeight="1">
      <c r="AF47" s="127">
        <f t="shared" si="0"/>
        <v>0</v>
      </c>
      <c r="AG47" s="127" t="str">
        <f>IF(AA47=0,"",Calculator!$B$6)</f>
        <v/>
      </c>
      <c r="AH47" s="127" t="e">
        <f>(AF47/Calculator!$B$10)*Calculator!$B$9</f>
        <v>#DIV/0!</v>
      </c>
      <c r="AI47" s="144" t="str">
        <f t="shared" si="1"/>
        <v/>
      </c>
    </row>
    <row r="48" spans="32:35" ht="15.75" customHeight="1">
      <c r="AF48" s="127">
        <f t="shared" si="0"/>
        <v>0</v>
      </c>
      <c r="AG48" s="127" t="str">
        <f>IF(AA48=0,"",Calculator!$B$6)</f>
        <v/>
      </c>
      <c r="AH48" s="127" t="e">
        <f>(AF48/Calculator!$B$10)*Calculator!$B$9</f>
        <v>#DIV/0!</v>
      </c>
      <c r="AI48" s="144" t="str">
        <f t="shared" si="1"/>
        <v/>
      </c>
    </row>
    <row r="49" spans="32:35" ht="15.75" customHeight="1">
      <c r="AF49" s="127">
        <f t="shared" si="0"/>
        <v>0</v>
      </c>
      <c r="AG49" s="127" t="str">
        <f>IF(AA49=0,"",Calculator!$B$6)</f>
        <v/>
      </c>
      <c r="AH49" s="127" t="e">
        <f>(AF49/Calculator!$B$10)*Calculator!$B$9</f>
        <v>#DIV/0!</v>
      </c>
      <c r="AI49" s="144" t="str">
        <f t="shared" si="1"/>
        <v/>
      </c>
    </row>
    <row r="50" spans="32:35" ht="15.75" customHeight="1">
      <c r="AF50" s="127">
        <f t="shared" si="0"/>
        <v>0</v>
      </c>
      <c r="AG50" s="127" t="str">
        <f>IF(AA50=0,"",Calculator!$B$6)</f>
        <v/>
      </c>
      <c r="AH50" s="127" t="e">
        <f>(AF50/Calculator!$B$10)*Calculator!$B$9</f>
        <v>#DIV/0!</v>
      </c>
      <c r="AI50" s="144" t="str">
        <f t="shared" si="1"/>
        <v/>
      </c>
    </row>
    <row r="51" spans="32:35" ht="15.75" customHeight="1">
      <c r="AF51" s="127">
        <f t="shared" si="0"/>
        <v>0</v>
      </c>
      <c r="AG51" s="127" t="str">
        <f>IF(AA51=0,"",Calculator!$B$6)</f>
        <v/>
      </c>
      <c r="AH51" s="127" t="e">
        <f>(AF51/Calculator!$B$10)*Calculator!$B$9</f>
        <v>#DIV/0!</v>
      </c>
      <c r="AI51" s="144" t="str">
        <f t="shared" si="1"/>
        <v/>
      </c>
    </row>
    <row r="52" spans="32:35" ht="15.75" customHeight="1">
      <c r="AF52" s="127">
        <f t="shared" si="0"/>
        <v>0</v>
      </c>
      <c r="AG52" s="127" t="str">
        <f>IF(AA52=0,"",Calculator!$B$6)</f>
        <v/>
      </c>
      <c r="AH52" s="127" t="e">
        <f>(AF52/Calculator!$B$10)*Calculator!$B$9</f>
        <v>#DIV/0!</v>
      </c>
      <c r="AI52" s="144" t="str">
        <f t="shared" si="1"/>
        <v/>
      </c>
    </row>
    <row r="53" spans="32:35" ht="15.75" customHeight="1">
      <c r="AF53" s="127">
        <f t="shared" si="0"/>
        <v>0</v>
      </c>
      <c r="AG53" s="127" t="str">
        <f>IF(AA53=0,"",Calculator!$B$6)</f>
        <v/>
      </c>
      <c r="AH53" s="127" t="e">
        <f>(AF53/Calculator!$B$10)*Calculator!$B$9</f>
        <v>#DIV/0!</v>
      </c>
      <c r="AI53" s="144" t="str">
        <f t="shared" si="1"/>
        <v/>
      </c>
    </row>
    <row r="54" spans="32:35" ht="15.75" customHeight="1">
      <c r="AF54" s="127">
        <f t="shared" si="0"/>
        <v>0</v>
      </c>
      <c r="AG54" s="127" t="str">
        <f>IF(AA54=0,"",Calculator!$B$6)</f>
        <v/>
      </c>
      <c r="AH54" s="127" t="e">
        <f>(AF54/Calculator!$B$10)*Calculator!$B$9</f>
        <v>#DIV/0!</v>
      </c>
      <c r="AI54" s="144" t="str">
        <f t="shared" si="1"/>
        <v/>
      </c>
    </row>
    <row r="55" spans="32:35" ht="15.75" customHeight="1">
      <c r="AF55" s="127">
        <f t="shared" si="0"/>
        <v>0</v>
      </c>
      <c r="AG55" s="127" t="str">
        <f>IF(AA55=0,"",Calculator!$B$6)</f>
        <v/>
      </c>
      <c r="AH55" s="127" t="e">
        <f>(AF55/Calculator!$B$10)*Calculator!$B$9</f>
        <v>#DIV/0!</v>
      </c>
      <c r="AI55" s="144" t="str">
        <f t="shared" si="1"/>
        <v/>
      </c>
    </row>
    <row r="56" spans="32:35" ht="15.75" customHeight="1">
      <c r="AF56" s="127">
        <f t="shared" si="0"/>
        <v>0</v>
      </c>
      <c r="AG56" s="127" t="str">
        <f>IF(AA56=0,"",Calculator!$B$6)</f>
        <v/>
      </c>
      <c r="AH56" s="127" t="e">
        <f>(AF56/Calculator!$B$10)*Calculator!$B$9</f>
        <v>#DIV/0!</v>
      </c>
      <c r="AI56" s="144" t="str">
        <f t="shared" si="1"/>
        <v/>
      </c>
    </row>
    <row r="57" spans="32:35" ht="15.75" customHeight="1">
      <c r="AF57" s="127">
        <f t="shared" si="0"/>
        <v>0</v>
      </c>
      <c r="AG57" s="127" t="str">
        <f>IF(AA57=0,"",Calculator!$B$6)</f>
        <v/>
      </c>
      <c r="AH57" s="127" t="e">
        <f>(AF57/Calculator!$B$10)*Calculator!$B$9</f>
        <v>#DIV/0!</v>
      </c>
      <c r="AI57" s="144" t="str">
        <f t="shared" si="1"/>
        <v/>
      </c>
    </row>
    <row r="58" spans="32:35" ht="15.75" customHeight="1">
      <c r="AF58" s="127">
        <f t="shared" si="0"/>
        <v>0</v>
      </c>
      <c r="AG58" s="127" t="str">
        <f>IF(AA58=0,"",Calculator!$B$6)</f>
        <v/>
      </c>
      <c r="AH58" s="127" t="e">
        <f>(AF58/Calculator!$B$10)*Calculator!$B$9</f>
        <v>#DIV/0!</v>
      </c>
      <c r="AI58" s="144" t="str">
        <f t="shared" si="1"/>
        <v/>
      </c>
    </row>
    <row r="59" spans="32:35" ht="15.75" customHeight="1">
      <c r="AF59" s="127">
        <f t="shared" si="0"/>
        <v>0</v>
      </c>
      <c r="AG59" s="127" t="str">
        <f>IF(AA59=0,"",Calculator!$B$6)</f>
        <v/>
      </c>
      <c r="AH59" s="127" t="e">
        <f>(AF59/Calculator!$B$10)*Calculator!$B$9</f>
        <v>#DIV/0!</v>
      </c>
      <c r="AI59" s="144" t="str">
        <f t="shared" si="1"/>
        <v/>
      </c>
    </row>
    <row r="60" spans="32:35" ht="15.75" customHeight="1">
      <c r="AF60" s="127">
        <f t="shared" si="0"/>
        <v>0</v>
      </c>
      <c r="AG60" s="127" t="str">
        <f>IF(AA60=0,"",Calculator!$B$6)</f>
        <v/>
      </c>
      <c r="AH60" s="127" t="e">
        <f>(AF60/Calculator!$B$10)*Calculator!$B$9</f>
        <v>#DIV/0!</v>
      </c>
      <c r="AI60" s="144" t="str">
        <f t="shared" si="1"/>
        <v/>
      </c>
    </row>
    <row r="61" spans="32:35" ht="15.75" customHeight="1">
      <c r="AF61" s="127">
        <f t="shared" si="0"/>
        <v>0</v>
      </c>
      <c r="AG61" s="127" t="str">
        <f>IF(AA61=0,"",Calculator!$B$6)</f>
        <v/>
      </c>
      <c r="AH61" s="127" t="e">
        <f>(AF61/Calculator!$B$10)*Calculator!$B$9</f>
        <v>#DIV/0!</v>
      </c>
      <c r="AI61" s="144" t="str">
        <f t="shared" si="1"/>
        <v/>
      </c>
    </row>
    <row r="62" spans="32:35" ht="15.75" customHeight="1">
      <c r="AF62" s="127">
        <f t="shared" si="0"/>
        <v>0</v>
      </c>
      <c r="AG62" s="127" t="str">
        <f>IF(AA62=0,"",Calculator!$B$6)</f>
        <v/>
      </c>
      <c r="AH62" s="127" t="e">
        <f>(AF62/Calculator!$B$10)*Calculator!$B$9</f>
        <v>#DIV/0!</v>
      </c>
      <c r="AI62" s="144" t="str">
        <f t="shared" si="1"/>
        <v/>
      </c>
    </row>
    <row r="63" spans="32:35" ht="15.75" customHeight="1">
      <c r="AF63" s="127">
        <f t="shared" si="0"/>
        <v>0</v>
      </c>
      <c r="AG63" s="127" t="str">
        <f>IF(AA63=0,"",Calculator!$B$6)</f>
        <v/>
      </c>
      <c r="AH63" s="127" t="e">
        <f>(AF63/Calculator!$B$10)*Calculator!$B$9</f>
        <v>#DIV/0!</v>
      </c>
      <c r="AI63" s="144" t="str">
        <f t="shared" si="1"/>
        <v/>
      </c>
    </row>
    <row r="64" spans="32:35" ht="15.75" customHeight="1">
      <c r="AF64" s="127">
        <f t="shared" si="0"/>
        <v>0</v>
      </c>
      <c r="AG64" s="127" t="str">
        <f>IF(AA64=0,"",Calculator!$B$6)</f>
        <v/>
      </c>
      <c r="AH64" s="127" t="e">
        <f>(AF64/Calculator!$B$10)*Calculator!$B$9</f>
        <v>#DIV/0!</v>
      </c>
      <c r="AI64" s="144" t="str">
        <f t="shared" si="1"/>
        <v/>
      </c>
    </row>
    <row r="65" spans="32:35" ht="15.75" customHeight="1">
      <c r="AF65" s="127">
        <f t="shared" si="0"/>
        <v>0</v>
      </c>
      <c r="AG65" s="127" t="str">
        <f>IF(AA65=0,"",Calculator!$B$6)</f>
        <v/>
      </c>
      <c r="AH65" s="127" t="e">
        <f>(AF65/Calculator!$B$10)*Calculator!$B$9</f>
        <v>#DIV/0!</v>
      </c>
      <c r="AI65" s="144" t="str">
        <f t="shared" si="1"/>
        <v/>
      </c>
    </row>
    <row r="66" spans="32:35" ht="15.75" customHeight="1">
      <c r="AF66" s="127">
        <f t="shared" si="0"/>
        <v>0</v>
      </c>
      <c r="AG66" s="127" t="str">
        <f>IF(AA66=0,"",Calculator!$B$6)</f>
        <v/>
      </c>
      <c r="AH66" s="127" t="e">
        <f>(AF66/Calculator!$B$10)*Calculator!$B$9</f>
        <v>#DIV/0!</v>
      </c>
      <c r="AI66" s="144" t="str">
        <f t="shared" si="1"/>
        <v/>
      </c>
    </row>
    <row r="67" spans="32:35" ht="15.75" customHeight="1">
      <c r="AF67" s="127">
        <f t="shared" si="0"/>
        <v>0</v>
      </c>
      <c r="AG67" s="127" t="str">
        <f>IF(AA67=0,"",Calculator!$B$6)</f>
        <v/>
      </c>
      <c r="AH67" s="127" t="e">
        <f>(AF67/Calculator!$B$10)*Calculator!$B$9</f>
        <v>#DIV/0!</v>
      </c>
      <c r="AI67" s="144" t="str">
        <f t="shared" si="1"/>
        <v/>
      </c>
    </row>
    <row r="68" spans="32:35" ht="15.75" customHeight="1">
      <c r="AF68" s="127">
        <f t="shared" si="0"/>
        <v>0</v>
      </c>
      <c r="AG68" s="127" t="str">
        <f>IF(AA68=0,"",Calculator!$B$6)</f>
        <v/>
      </c>
      <c r="AH68" s="127" t="e">
        <f>(AF68/Calculator!$B$10)*Calculator!$B$9</f>
        <v>#DIV/0!</v>
      </c>
      <c r="AI68" s="144" t="str">
        <f t="shared" si="1"/>
        <v/>
      </c>
    </row>
    <row r="69" spans="32:35" ht="15.75" customHeight="1">
      <c r="AF69" s="127">
        <f t="shared" si="0"/>
        <v>0</v>
      </c>
      <c r="AG69" s="127" t="str">
        <f>IF(AA69=0,"",Calculator!$B$6)</f>
        <v/>
      </c>
      <c r="AH69" s="127" t="e">
        <f>(AF69/Calculator!$B$10)*Calculator!$B$9</f>
        <v>#DIV/0!</v>
      </c>
      <c r="AI69" s="144" t="str">
        <f t="shared" si="1"/>
        <v/>
      </c>
    </row>
    <row r="70" spans="32:35" ht="15.75" customHeight="1">
      <c r="AF70" s="127">
        <f t="shared" si="0"/>
        <v>0</v>
      </c>
      <c r="AG70" s="127" t="str">
        <f>IF(AA70=0,"",Calculator!$B$6)</f>
        <v/>
      </c>
      <c r="AH70" s="127" t="e">
        <f>(AF70/Calculator!$B$10)*Calculator!$B$9</f>
        <v>#DIV/0!</v>
      </c>
      <c r="AI70" s="144" t="str">
        <f t="shared" si="1"/>
        <v/>
      </c>
    </row>
    <row r="71" spans="32:35" ht="15.75" customHeight="1">
      <c r="AF71" s="127">
        <f t="shared" si="0"/>
        <v>0</v>
      </c>
      <c r="AG71" s="127" t="str">
        <f>IF(AA71=0,"",Calculator!$B$6)</f>
        <v/>
      </c>
      <c r="AH71" s="127" t="e">
        <f>(AF71/Calculator!$B$10)*Calculator!$B$9</f>
        <v>#DIV/0!</v>
      </c>
      <c r="AI71" s="144" t="str">
        <f t="shared" si="1"/>
        <v/>
      </c>
    </row>
    <row r="72" spans="32:35" ht="15.75" customHeight="1">
      <c r="AF72" s="127">
        <f t="shared" si="0"/>
        <v>0</v>
      </c>
      <c r="AG72" s="127" t="str">
        <f>IF(AA72=0,"",Calculator!$B$6)</f>
        <v/>
      </c>
      <c r="AH72" s="127" t="e">
        <f>(AF72/Calculator!$B$10)*Calculator!$B$9</f>
        <v>#DIV/0!</v>
      </c>
      <c r="AI72" s="144" t="str">
        <f t="shared" si="1"/>
        <v/>
      </c>
    </row>
    <row r="73" spans="32:35" ht="15.75" customHeight="1">
      <c r="AF73" s="127">
        <f t="shared" si="0"/>
        <v>0</v>
      </c>
      <c r="AG73" s="127" t="str">
        <f>IF(AA73=0,"",Calculator!$B$6)</f>
        <v/>
      </c>
      <c r="AH73" s="127" t="e">
        <f>(AF73/Calculator!$B$10)*Calculator!$B$9</f>
        <v>#DIV/0!</v>
      </c>
      <c r="AI73" s="144" t="str">
        <f t="shared" si="1"/>
        <v/>
      </c>
    </row>
    <row r="74" spans="32:35" ht="15.75" customHeight="1">
      <c r="AF74" s="127">
        <f t="shared" ref="AF74:AF137" si="2">IFERROR(AA74*AG74,0)</f>
        <v>0</v>
      </c>
      <c r="AG74" s="127" t="str">
        <f>IF(AA74=0,"",Calculator!$B$6)</f>
        <v/>
      </c>
      <c r="AH74" s="127" t="e">
        <f>(AF74/Calculator!$B$10)*Calculator!$B$9</f>
        <v>#DIV/0!</v>
      </c>
      <c r="AI74" s="144" t="str">
        <f t="shared" ref="AI74:AI137" si="3">IF(ISBLANK(AA74),"","RS Means")</f>
        <v/>
      </c>
    </row>
    <row r="75" spans="32:35" ht="15.75" customHeight="1">
      <c r="AF75" s="127">
        <f t="shared" si="2"/>
        <v>0</v>
      </c>
      <c r="AG75" s="127" t="str">
        <f>IF(AA75=0,"",Calculator!$B$6)</f>
        <v/>
      </c>
      <c r="AH75" s="127" t="e">
        <f>(AF75/Calculator!$B$10)*Calculator!$B$9</f>
        <v>#DIV/0!</v>
      </c>
      <c r="AI75" s="144" t="str">
        <f t="shared" si="3"/>
        <v/>
      </c>
    </row>
    <row r="76" spans="32:35" ht="15.75" customHeight="1">
      <c r="AF76" s="127">
        <f t="shared" si="2"/>
        <v>0</v>
      </c>
      <c r="AG76" s="127" t="str">
        <f>IF(AA76=0,"",Calculator!$B$6)</f>
        <v/>
      </c>
      <c r="AH76" s="127" t="e">
        <f>(AF76/Calculator!$B$10)*Calculator!$B$9</f>
        <v>#DIV/0!</v>
      </c>
      <c r="AI76" s="144" t="str">
        <f t="shared" si="3"/>
        <v/>
      </c>
    </row>
    <row r="77" spans="32:35" ht="15.75" customHeight="1">
      <c r="AF77" s="127">
        <f t="shared" si="2"/>
        <v>0</v>
      </c>
      <c r="AG77" s="127" t="str">
        <f>IF(AA77=0,"",Calculator!$B$6)</f>
        <v/>
      </c>
      <c r="AH77" s="127" t="e">
        <f>(AF77/Calculator!$B$10)*Calculator!$B$9</f>
        <v>#DIV/0!</v>
      </c>
      <c r="AI77" s="144" t="str">
        <f t="shared" si="3"/>
        <v/>
      </c>
    </row>
    <row r="78" spans="32:35" ht="15.75" customHeight="1">
      <c r="AF78" s="127">
        <f t="shared" si="2"/>
        <v>0</v>
      </c>
      <c r="AG78" s="127" t="str">
        <f>IF(AA78=0,"",Calculator!$B$6)</f>
        <v/>
      </c>
      <c r="AH78" s="127" t="e">
        <f>(AF78/Calculator!$B$10)*Calculator!$B$9</f>
        <v>#DIV/0!</v>
      </c>
      <c r="AI78" s="144" t="str">
        <f t="shared" si="3"/>
        <v/>
      </c>
    </row>
    <row r="79" spans="32:35" ht="15.75" customHeight="1">
      <c r="AF79" s="127">
        <f t="shared" si="2"/>
        <v>0</v>
      </c>
      <c r="AG79" s="127" t="str">
        <f>IF(AA79=0,"",Calculator!$B$6)</f>
        <v/>
      </c>
      <c r="AH79" s="127" t="e">
        <f>(AF79/Calculator!$B$10)*Calculator!$B$9</f>
        <v>#DIV/0!</v>
      </c>
      <c r="AI79" s="144" t="str">
        <f t="shared" si="3"/>
        <v/>
      </c>
    </row>
    <row r="80" spans="32:35" ht="15.75" customHeight="1">
      <c r="AF80" s="127">
        <f t="shared" si="2"/>
        <v>0</v>
      </c>
      <c r="AG80" s="127" t="str">
        <f>IF(AA80=0,"",Calculator!$B$6)</f>
        <v/>
      </c>
      <c r="AH80" s="127" t="e">
        <f>(AF80/Calculator!$B$10)*Calculator!$B$9</f>
        <v>#DIV/0!</v>
      </c>
      <c r="AI80" s="144" t="str">
        <f t="shared" si="3"/>
        <v/>
      </c>
    </row>
    <row r="81" spans="32:35" ht="15.75" customHeight="1">
      <c r="AF81" s="127">
        <f t="shared" si="2"/>
        <v>0</v>
      </c>
      <c r="AG81" s="127" t="str">
        <f>IF(AA81=0,"",Calculator!$B$6)</f>
        <v/>
      </c>
      <c r="AH81" s="127" t="e">
        <f>(AF81/Calculator!$B$10)*Calculator!$B$9</f>
        <v>#DIV/0!</v>
      </c>
      <c r="AI81" s="144" t="str">
        <f t="shared" si="3"/>
        <v/>
      </c>
    </row>
    <row r="82" spans="32:35" ht="15.75" customHeight="1">
      <c r="AF82" s="127">
        <f t="shared" si="2"/>
        <v>0</v>
      </c>
      <c r="AG82" s="127" t="str">
        <f>IF(AA82=0,"",Calculator!$B$6)</f>
        <v/>
      </c>
      <c r="AH82" s="127" t="e">
        <f>(AF82/Calculator!$B$10)*Calculator!$B$9</f>
        <v>#DIV/0!</v>
      </c>
      <c r="AI82" s="144" t="str">
        <f t="shared" si="3"/>
        <v/>
      </c>
    </row>
    <row r="83" spans="32:35" ht="15.75" customHeight="1">
      <c r="AF83" s="127">
        <f t="shared" si="2"/>
        <v>0</v>
      </c>
      <c r="AG83" s="127" t="str">
        <f>IF(AA83=0,"",Calculator!$B$6)</f>
        <v/>
      </c>
      <c r="AH83" s="127" t="e">
        <f>(AF83/Calculator!$B$10)*Calculator!$B$9</f>
        <v>#DIV/0!</v>
      </c>
      <c r="AI83" s="144" t="str">
        <f t="shared" si="3"/>
        <v/>
      </c>
    </row>
    <row r="84" spans="32:35" ht="15.75" customHeight="1">
      <c r="AF84" s="127">
        <f t="shared" si="2"/>
        <v>0</v>
      </c>
      <c r="AG84" s="127" t="str">
        <f>IF(AA84=0,"",Calculator!$B$6)</f>
        <v/>
      </c>
      <c r="AH84" s="127" t="e">
        <f>(AF84/Calculator!$B$10)*Calculator!$B$9</f>
        <v>#DIV/0!</v>
      </c>
      <c r="AI84" s="144" t="str">
        <f t="shared" si="3"/>
        <v/>
      </c>
    </row>
    <row r="85" spans="32:35" ht="15.75" customHeight="1">
      <c r="AF85" s="127">
        <f t="shared" si="2"/>
        <v>0</v>
      </c>
      <c r="AG85" s="127" t="str">
        <f>IF(AA85=0,"",Calculator!$B$6)</f>
        <v/>
      </c>
      <c r="AH85" s="127" t="e">
        <f>(AF85/Calculator!$B$10)*Calculator!$B$9</f>
        <v>#DIV/0!</v>
      </c>
      <c r="AI85" s="144" t="str">
        <f t="shared" si="3"/>
        <v/>
      </c>
    </row>
    <row r="86" spans="32:35" ht="15.75" customHeight="1">
      <c r="AF86" s="127">
        <f t="shared" si="2"/>
        <v>0</v>
      </c>
      <c r="AG86" s="127" t="str">
        <f>IF(AA86=0,"",Calculator!$B$6)</f>
        <v/>
      </c>
      <c r="AH86" s="127" t="e">
        <f>(AF86/Calculator!$B$10)*Calculator!$B$9</f>
        <v>#DIV/0!</v>
      </c>
      <c r="AI86" s="144" t="str">
        <f t="shared" si="3"/>
        <v/>
      </c>
    </row>
    <row r="87" spans="32:35" ht="15.75" customHeight="1">
      <c r="AF87" s="127">
        <f t="shared" si="2"/>
        <v>0</v>
      </c>
      <c r="AG87" s="127" t="str">
        <f>IF(AA87=0,"",Calculator!$B$6)</f>
        <v/>
      </c>
      <c r="AH87" s="127" t="e">
        <f>(AF87/Calculator!$B$10)*Calculator!$B$9</f>
        <v>#DIV/0!</v>
      </c>
      <c r="AI87" s="144" t="str">
        <f t="shared" si="3"/>
        <v/>
      </c>
    </row>
    <row r="88" spans="32:35" ht="15.75" customHeight="1">
      <c r="AF88" s="127">
        <f t="shared" si="2"/>
        <v>0</v>
      </c>
      <c r="AG88" s="127" t="str">
        <f>IF(AA88=0,"",Calculator!$B$6)</f>
        <v/>
      </c>
      <c r="AH88" s="127" t="e">
        <f>(AF88/Calculator!$B$10)*Calculator!$B$9</f>
        <v>#DIV/0!</v>
      </c>
      <c r="AI88" s="144" t="str">
        <f t="shared" si="3"/>
        <v/>
      </c>
    </row>
    <row r="89" spans="32:35" ht="15.75" customHeight="1">
      <c r="AF89" s="127">
        <f t="shared" si="2"/>
        <v>0</v>
      </c>
      <c r="AG89" s="127" t="str">
        <f>IF(AA89=0,"",Calculator!$B$6)</f>
        <v/>
      </c>
      <c r="AH89" s="127" t="e">
        <f>(AF89/Calculator!$B$10)*Calculator!$B$9</f>
        <v>#DIV/0!</v>
      </c>
      <c r="AI89" s="144" t="str">
        <f t="shared" si="3"/>
        <v/>
      </c>
    </row>
    <row r="90" spans="32:35" ht="15.75" customHeight="1">
      <c r="AF90" s="127">
        <f t="shared" si="2"/>
        <v>0</v>
      </c>
      <c r="AG90" s="127" t="str">
        <f>IF(AA90=0,"",Calculator!$B$6)</f>
        <v/>
      </c>
      <c r="AH90" s="127" t="e">
        <f>(AF90/Calculator!$B$10)*Calculator!$B$9</f>
        <v>#DIV/0!</v>
      </c>
      <c r="AI90" s="144" t="str">
        <f t="shared" si="3"/>
        <v/>
      </c>
    </row>
    <row r="91" spans="32:35" ht="15.75" customHeight="1">
      <c r="AF91" s="127">
        <f t="shared" si="2"/>
        <v>0</v>
      </c>
      <c r="AG91" s="127" t="str">
        <f>IF(AA91=0,"",Calculator!$B$6)</f>
        <v/>
      </c>
      <c r="AH91" s="127" t="e">
        <f>(AF91/Calculator!$B$10)*Calculator!$B$9</f>
        <v>#DIV/0!</v>
      </c>
      <c r="AI91" s="144" t="str">
        <f t="shared" si="3"/>
        <v/>
      </c>
    </row>
    <row r="92" spans="32:35" ht="15.75" customHeight="1">
      <c r="AF92" s="127">
        <f t="shared" si="2"/>
        <v>0</v>
      </c>
      <c r="AG92" s="127" t="str">
        <f>IF(AA92=0,"",Calculator!$B$6)</f>
        <v/>
      </c>
      <c r="AH92" s="127" t="e">
        <f>(AF92/Calculator!$B$10)*Calculator!$B$9</f>
        <v>#DIV/0!</v>
      </c>
      <c r="AI92" s="144" t="str">
        <f t="shared" si="3"/>
        <v/>
      </c>
    </row>
    <row r="93" spans="32:35" ht="15.75" customHeight="1">
      <c r="AF93" s="127">
        <f t="shared" si="2"/>
        <v>0</v>
      </c>
      <c r="AG93" s="127" t="str">
        <f>IF(AA93=0,"",Calculator!$B$6)</f>
        <v/>
      </c>
      <c r="AH93" s="127" t="e">
        <f>(AF93/Calculator!$B$10)*Calculator!$B$9</f>
        <v>#DIV/0!</v>
      </c>
      <c r="AI93" s="144" t="str">
        <f t="shared" si="3"/>
        <v/>
      </c>
    </row>
    <row r="94" spans="32:35" ht="15.75" customHeight="1">
      <c r="AF94" s="127">
        <f t="shared" si="2"/>
        <v>0</v>
      </c>
      <c r="AG94" s="127" t="str">
        <f>IF(AA94=0,"",Calculator!$B$6)</f>
        <v/>
      </c>
      <c r="AH94" s="127" t="e">
        <f>(AF94/Calculator!$B$10)*Calculator!$B$9</f>
        <v>#DIV/0!</v>
      </c>
      <c r="AI94" s="144" t="str">
        <f t="shared" si="3"/>
        <v/>
      </c>
    </row>
    <row r="95" spans="32:35" ht="15.75" customHeight="1">
      <c r="AF95" s="127">
        <f t="shared" si="2"/>
        <v>0</v>
      </c>
      <c r="AG95" s="127" t="str">
        <f>IF(AA95=0,"",Calculator!$B$6)</f>
        <v/>
      </c>
      <c r="AH95" s="127" t="e">
        <f>(AF95/Calculator!$B$10)*Calculator!$B$9</f>
        <v>#DIV/0!</v>
      </c>
      <c r="AI95" s="144" t="str">
        <f t="shared" si="3"/>
        <v/>
      </c>
    </row>
    <row r="96" spans="32:35" ht="15.75" customHeight="1">
      <c r="AF96" s="127">
        <f t="shared" si="2"/>
        <v>0</v>
      </c>
      <c r="AG96" s="127" t="str">
        <f>IF(AA96=0,"",Calculator!$B$6)</f>
        <v/>
      </c>
      <c r="AH96" s="127" t="e">
        <f>(AF96/Calculator!$B$10)*Calculator!$B$9</f>
        <v>#DIV/0!</v>
      </c>
      <c r="AI96" s="144" t="str">
        <f t="shared" si="3"/>
        <v/>
      </c>
    </row>
    <row r="97" spans="32:35" ht="15.75" customHeight="1">
      <c r="AF97" s="127">
        <f t="shared" si="2"/>
        <v>0</v>
      </c>
      <c r="AG97" s="127" t="str">
        <f>IF(AA97=0,"",Calculator!$B$6)</f>
        <v/>
      </c>
      <c r="AH97" s="127" t="e">
        <f>(AF97/Calculator!$B$10)*Calculator!$B$9</f>
        <v>#DIV/0!</v>
      </c>
      <c r="AI97" s="144" t="str">
        <f t="shared" si="3"/>
        <v/>
      </c>
    </row>
    <row r="98" spans="32:35" ht="15.75" customHeight="1">
      <c r="AF98" s="127">
        <f t="shared" si="2"/>
        <v>0</v>
      </c>
      <c r="AG98" s="127" t="str">
        <f>IF(AA98=0,"",Calculator!$B$6)</f>
        <v/>
      </c>
      <c r="AH98" s="127" t="e">
        <f>(AF98/Calculator!$B$10)*Calculator!$B$9</f>
        <v>#DIV/0!</v>
      </c>
      <c r="AI98" s="144" t="str">
        <f t="shared" si="3"/>
        <v/>
      </c>
    </row>
    <row r="99" spans="32:35" ht="15.75" customHeight="1">
      <c r="AF99" s="127">
        <f t="shared" si="2"/>
        <v>0</v>
      </c>
      <c r="AG99" s="127" t="str">
        <f>IF(AA99=0,"",Calculator!$B$6)</f>
        <v/>
      </c>
      <c r="AH99" s="127" t="e">
        <f>(AF99/Calculator!$B$10)*Calculator!$B$9</f>
        <v>#DIV/0!</v>
      </c>
      <c r="AI99" s="144" t="str">
        <f t="shared" si="3"/>
        <v/>
      </c>
    </row>
    <row r="100" spans="32:35" ht="15.75" customHeight="1">
      <c r="AF100" s="127">
        <f t="shared" si="2"/>
        <v>0</v>
      </c>
      <c r="AG100" s="127" t="str">
        <f>IF(AA100=0,"",Calculator!$B$6)</f>
        <v/>
      </c>
      <c r="AH100" s="127" t="e">
        <f>(AF100/Calculator!$B$10)*Calculator!$B$9</f>
        <v>#DIV/0!</v>
      </c>
      <c r="AI100" s="144" t="str">
        <f t="shared" si="3"/>
        <v/>
      </c>
    </row>
    <row r="101" spans="32:35" ht="15.75" customHeight="1">
      <c r="AF101" s="127">
        <f t="shared" si="2"/>
        <v>0</v>
      </c>
      <c r="AG101" s="127" t="str">
        <f>IF(AA101=0,"",Calculator!$B$6)</f>
        <v/>
      </c>
      <c r="AH101" s="127" t="e">
        <f>(AF101/Calculator!$B$10)*Calculator!$B$9</f>
        <v>#DIV/0!</v>
      </c>
      <c r="AI101" s="144" t="str">
        <f t="shared" si="3"/>
        <v/>
      </c>
    </row>
    <row r="102" spans="32:35" ht="15.75" customHeight="1">
      <c r="AF102" s="127">
        <f t="shared" si="2"/>
        <v>0</v>
      </c>
      <c r="AG102" s="127" t="str">
        <f>IF(AA102=0,"",Calculator!$B$6)</f>
        <v/>
      </c>
      <c r="AH102" s="127" t="e">
        <f>(AF102/Calculator!$B$10)*Calculator!$B$9</f>
        <v>#DIV/0!</v>
      </c>
      <c r="AI102" s="144" t="str">
        <f t="shared" si="3"/>
        <v/>
      </c>
    </row>
    <row r="103" spans="32:35" ht="15.75" customHeight="1">
      <c r="AF103" s="127">
        <f t="shared" si="2"/>
        <v>0</v>
      </c>
      <c r="AG103" s="127" t="str">
        <f>IF(AA103=0,"",Calculator!$B$6)</f>
        <v/>
      </c>
      <c r="AH103" s="127" t="e">
        <f>(AF103/Calculator!$B$10)*Calculator!$B$9</f>
        <v>#DIV/0!</v>
      </c>
      <c r="AI103" s="144" t="str">
        <f t="shared" si="3"/>
        <v/>
      </c>
    </row>
    <row r="104" spans="32:35" ht="15.75" customHeight="1">
      <c r="AF104" s="127">
        <f t="shared" si="2"/>
        <v>0</v>
      </c>
      <c r="AG104" s="127" t="str">
        <f>IF(AA104=0,"",Calculator!$B$6)</f>
        <v/>
      </c>
      <c r="AH104" s="127" t="e">
        <f>(AF104/Calculator!$B$10)*Calculator!$B$9</f>
        <v>#DIV/0!</v>
      </c>
      <c r="AI104" s="144" t="str">
        <f t="shared" si="3"/>
        <v/>
      </c>
    </row>
    <row r="105" spans="32:35" ht="15.75" customHeight="1">
      <c r="AF105" s="127">
        <f t="shared" si="2"/>
        <v>0</v>
      </c>
      <c r="AG105" s="127" t="str">
        <f>IF(AA105=0,"",Calculator!$B$6)</f>
        <v/>
      </c>
      <c r="AH105" s="127" t="e">
        <f>(AF105/Calculator!$B$10)*Calculator!$B$9</f>
        <v>#DIV/0!</v>
      </c>
      <c r="AI105" s="144" t="str">
        <f t="shared" si="3"/>
        <v/>
      </c>
    </row>
    <row r="106" spans="32:35" ht="15.75" customHeight="1">
      <c r="AF106" s="127">
        <f t="shared" si="2"/>
        <v>0</v>
      </c>
      <c r="AG106" s="127" t="str">
        <f>IF(AA106=0,"",Calculator!$B$6)</f>
        <v/>
      </c>
      <c r="AH106" s="127" t="e">
        <f>(AF106/Calculator!$B$10)*Calculator!$B$9</f>
        <v>#DIV/0!</v>
      </c>
      <c r="AI106" s="144" t="str">
        <f t="shared" si="3"/>
        <v/>
      </c>
    </row>
    <row r="107" spans="32:35" ht="15.75" customHeight="1">
      <c r="AF107" s="127">
        <f t="shared" si="2"/>
        <v>0</v>
      </c>
      <c r="AG107" s="127" t="str">
        <f>IF(AA107=0,"",Calculator!$B$6)</f>
        <v/>
      </c>
      <c r="AH107" s="127" t="e">
        <f>(AF107/Calculator!$B$10)*Calculator!$B$9</f>
        <v>#DIV/0!</v>
      </c>
      <c r="AI107" s="144" t="str">
        <f t="shared" si="3"/>
        <v/>
      </c>
    </row>
    <row r="108" spans="32:35" ht="15.75" customHeight="1">
      <c r="AF108" s="127">
        <f t="shared" si="2"/>
        <v>0</v>
      </c>
      <c r="AG108" s="127" t="str">
        <f>IF(AA108=0,"",Calculator!$B$6)</f>
        <v/>
      </c>
      <c r="AH108" s="127" t="e">
        <f>(AF108/Calculator!$B$10)*Calculator!$B$9</f>
        <v>#DIV/0!</v>
      </c>
      <c r="AI108" s="144" t="str">
        <f t="shared" si="3"/>
        <v/>
      </c>
    </row>
    <row r="109" spans="32:35" ht="15.75" customHeight="1">
      <c r="AF109" s="127">
        <f t="shared" si="2"/>
        <v>0</v>
      </c>
      <c r="AG109" s="127" t="str">
        <f>IF(AA109=0,"",Calculator!$B$6)</f>
        <v/>
      </c>
      <c r="AH109" s="127" t="e">
        <f>(AF109/Calculator!$B$10)*Calculator!$B$9</f>
        <v>#DIV/0!</v>
      </c>
      <c r="AI109" s="144" t="str">
        <f t="shared" si="3"/>
        <v/>
      </c>
    </row>
    <row r="110" spans="32:35" ht="15.75" customHeight="1">
      <c r="AF110" s="127">
        <f t="shared" si="2"/>
        <v>0</v>
      </c>
      <c r="AG110" s="127" t="str">
        <f>IF(AA110=0,"",Calculator!$B$6)</f>
        <v/>
      </c>
      <c r="AH110" s="127" t="e">
        <f>(AF110/Calculator!$B$10)*Calculator!$B$9</f>
        <v>#DIV/0!</v>
      </c>
      <c r="AI110" s="144" t="str">
        <f t="shared" si="3"/>
        <v/>
      </c>
    </row>
    <row r="111" spans="32:35" ht="15.75" customHeight="1">
      <c r="AF111" s="127">
        <f t="shared" si="2"/>
        <v>0</v>
      </c>
      <c r="AG111" s="127" t="str">
        <f>IF(AA111=0,"",Calculator!$B$6)</f>
        <v/>
      </c>
      <c r="AH111" s="127" t="e">
        <f>(AF111/Calculator!$B$10)*Calculator!$B$9</f>
        <v>#DIV/0!</v>
      </c>
      <c r="AI111" s="144" t="str">
        <f t="shared" si="3"/>
        <v/>
      </c>
    </row>
    <row r="112" spans="32:35" ht="15.75" customHeight="1">
      <c r="AF112" s="127">
        <f t="shared" si="2"/>
        <v>0</v>
      </c>
      <c r="AG112" s="127" t="str">
        <f>IF(AA112=0,"",Calculator!$B$6)</f>
        <v/>
      </c>
      <c r="AH112" s="127" t="e">
        <f>(AF112/Calculator!$B$10)*Calculator!$B$9</f>
        <v>#DIV/0!</v>
      </c>
      <c r="AI112" s="144" t="str">
        <f t="shared" si="3"/>
        <v/>
      </c>
    </row>
    <row r="113" spans="32:35" ht="15.75" customHeight="1">
      <c r="AF113" s="127">
        <f t="shared" si="2"/>
        <v>0</v>
      </c>
      <c r="AG113" s="127" t="str">
        <f>IF(AA113=0,"",Calculator!$B$6)</f>
        <v/>
      </c>
      <c r="AH113" s="127" t="e">
        <f>(AF113/Calculator!$B$10)*Calculator!$B$9</f>
        <v>#DIV/0!</v>
      </c>
      <c r="AI113" s="144" t="str">
        <f t="shared" si="3"/>
        <v/>
      </c>
    </row>
    <row r="114" spans="32:35" ht="15.75" customHeight="1">
      <c r="AF114" s="127">
        <f t="shared" si="2"/>
        <v>0</v>
      </c>
      <c r="AG114" s="127" t="str">
        <f>IF(AA114=0,"",Calculator!$B$6)</f>
        <v/>
      </c>
      <c r="AH114" s="127" t="e">
        <f>(AF114/Calculator!$B$10)*Calculator!$B$9</f>
        <v>#DIV/0!</v>
      </c>
      <c r="AI114" s="144" t="str">
        <f t="shared" si="3"/>
        <v/>
      </c>
    </row>
    <row r="115" spans="32:35" ht="15.75" customHeight="1">
      <c r="AF115" s="127">
        <f t="shared" si="2"/>
        <v>0</v>
      </c>
      <c r="AG115" s="127" t="str">
        <f>IF(AA115=0,"",Calculator!$B$6)</f>
        <v/>
      </c>
      <c r="AH115" s="127" t="e">
        <f>(AF115/Calculator!$B$10)*Calculator!$B$9</f>
        <v>#DIV/0!</v>
      </c>
      <c r="AI115" s="144" t="str">
        <f t="shared" si="3"/>
        <v/>
      </c>
    </row>
    <row r="116" spans="32:35" ht="15.75" customHeight="1">
      <c r="AF116" s="127">
        <f t="shared" si="2"/>
        <v>0</v>
      </c>
      <c r="AG116" s="127" t="str">
        <f>IF(AA116=0,"",Calculator!$B$6)</f>
        <v/>
      </c>
      <c r="AH116" s="127" t="e">
        <f>(AF116/Calculator!$B$10)*Calculator!$B$9</f>
        <v>#DIV/0!</v>
      </c>
      <c r="AI116" s="144" t="str">
        <f t="shared" si="3"/>
        <v/>
      </c>
    </row>
    <row r="117" spans="32:35" ht="15.75" customHeight="1">
      <c r="AF117" s="127">
        <f t="shared" si="2"/>
        <v>0</v>
      </c>
      <c r="AG117" s="127" t="str">
        <f>IF(AA117=0,"",Calculator!$B$6)</f>
        <v/>
      </c>
      <c r="AH117" s="127" t="e">
        <f>(AF117/Calculator!$B$10)*Calculator!$B$9</f>
        <v>#DIV/0!</v>
      </c>
      <c r="AI117" s="144" t="str">
        <f t="shared" si="3"/>
        <v/>
      </c>
    </row>
    <row r="118" spans="32:35" ht="15.75" customHeight="1">
      <c r="AF118" s="127">
        <f t="shared" si="2"/>
        <v>0</v>
      </c>
      <c r="AG118" s="127" t="str">
        <f>IF(AA118=0,"",Calculator!$B$6)</f>
        <v/>
      </c>
      <c r="AH118" s="127" t="e">
        <f>(AF118/Calculator!$B$10)*Calculator!$B$9</f>
        <v>#DIV/0!</v>
      </c>
      <c r="AI118" s="144" t="str">
        <f t="shared" si="3"/>
        <v/>
      </c>
    </row>
    <row r="119" spans="32:35" ht="15.75" customHeight="1">
      <c r="AF119" s="127">
        <f t="shared" si="2"/>
        <v>0</v>
      </c>
      <c r="AG119" s="127" t="str">
        <f>IF(AA119=0,"",Calculator!$B$6)</f>
        <v/>
      </c>
      <c r="AH119" s="127" t="e">
        <f>(AF119/Calculator!$B$10)*Calculator!$B$9</f>
        <v>#DIV/0!</v>
      </c>
      <c r="AI119" s="144" t="str">
        <f t="shared" si="3"/>
        <v/>
      </c>
    </row>
    <row r="120" spans="32:35" ht="15.75" customHeight="1">
      <c r="AF120" s="127">
        <f t="shared" si="2"/>
        <v>0</v>
      </c>
      <c r="AG120" s="127" t="str">
        <f>IF(AA120=0,"",Calculator!$B$6)</f>
        <v/>
      </c>
      <c r="AH120" s="127" t="e">
        <f>(AF120/Calculator!$B$10)*Calculator!$B$9</f>
        <v>#DIV/0!</v>
      </c>
      <c r="AI120" s="144" t="str">
        <f t="shared" si="3"/>
        <v/>
      </c>
    </row>
    <row r="121" spans="32:35" ht="15.75" customHeight="1">
      <c r="AF121" s="127">
        <f t="shared" si="2"/>
        <v>0</v>
      </c>
      <c r="AG121" s="127" t="str">
        <f>IF(AA121=0,"",Calculator!$B$6)</f>
        <v/>
      </c>
      <c r="AH121" s="127" t="e">
        <f>(AF121/Calculator!$B$10)*Calculator!$B$9</f>
        <v>#DIV/0!</v>
      </c>
      <c r="AI121" s="144" t="str">
        <f t="shared" si="3"/>
        <v/>
      </c>
    </row>
    <row r="122" spans="32:35" ht="15.75" customHeight="1">
      <c r="AF122" s="127">
        <f t="shared" si="2"/>
        <v>0</v>
      </c>
      <c r="AG122" s="127" t="str">
        <f>IF(AA122=0,"",Calculator!$B$6)</f>
        <v/>
      </c>
      <c r="AH122" s="127" t="e">
        <f>(AF122/Calculator!$B$10)*Calculator!$B$9</f>
        <v>#DIV/0!</v>
      </c>
      <c r="AI122" s="144" t="str">
        <f t="shared" si="3"/>
        <v/>
      </c>
    </row>
    <row r="123" spans="32:35" ht="15.75" customHeight="1">
      <c r="AF123" s="127">
        <f t="shared" si="2"/>
        <v>0</v>
      </c>
      <c r="AG123" s="127" t="str">
        <f>IF(AA123=0,"",Calculator!$B$6)</f>
        <v/>
      </c>
      <c r="AH123" s="127" t="e">
        <f>(AF123/Calculator!$B$10)*Calculator!$B$9</f>
        <v>#DIV/0!</v>
      </c>
      <c r="AI123" s="144" t="str">
        <f t="shared" si="3"/>
        <v/>
      </c>
    </row>
    <row r="124" spans="32:35" ht="15.75" customHeight="1">
      <c r="AF124" s="127">
        <f t="shared" si="2"/>
        <v>0</v>
      </c>
      <c r="AG124" s="127" t="str">
        <f>IF(AA124=0,"",Calculator!$B$6)</f>
        <v/>
      </c>
      <c r="AH124" s="127" t="e">
        <f>(AF124/Calculator!$B$10)*Calculator!$B$9</f>
        <v>#DIV/0!</v>
      </c>
      <c r="AI124" s="144" t="str">
        <f t="shared" si="3"/>
        <v/>
      </c>
    </row>
    <row r="125" spans="32:35" ht="15.75" customHeight="1">
      <c r="AF125" s="127">
        <f t="shared" si="2"/>
        <v>0</v>
      </c>
      <c r="AG125" s="127" t="str">
        <f>IF(AA125=0,"",Calculator!$B$6)</f>
        <v/>
      </c>
      <c r="AH125" s="127" t="e">
        <f>(AF125/Calculator!$B$10)*Calculator!$B$9</f>
        <v>#DIV/0!</v>
      </c>
      <c r="AI125" s="144" t="str">
        <f t="shared" si="3"/>
        <v/>
      </c>
    </row>
    <row r="126" spans="32:35" ht="15.75" customHeight="1">
      <c r="AF126" s="127">
        <f t="shared" si="2"/>
        <v>0</v>
      </c>
      <c r="AG126" s="127" t="str">
        <f>IF(AA126=0,"",Calculator!$B$6)</f>
        <v/>
      </c>
      <c r="AH126" s="127" t="e">
        <f>(AF126/Calculator!$B$10)*Calculator!$B$9</f>
        <v>#DIV/0!</v>
      </c>
      <c r="AI126" s="144" t="str">
        <f t="shared" si="3"/>
        <v/>
      </c>
    </row>
    <row r="127" spans="32:35" ht="15.75" customHeight="1">
      <c r="AF127" s="127">
        <f t="shared" si="2"/>
        <v>0</v>
      </c>
      <c r="AG127" s="127" t="str">
        <f>IF(AA127=0,"",Calculator!$B$6)</f>
        <v/>
      </c>
      <c r="AH127" s="127" t="e">
        <f>(AF127/Calculator!$B$10)*Calculator!$B$9</f>
        <v>#DIV/0!</v>
      </c>
      <c r="AI127" s="144" t="str">
        <f t="shared" si="3"/>
        <v/>
      </c>
    </row>
    <row r="128" spans="32:35" ht="15.75" customHeight="1">
      <c r="AF128" s="127">
        <f t="shared" si="2"/>
        <v>0</v>
      </c>
      <c r="AG128" s="127" t="str">
        <f>IF(AA128=0,"",Calculator!$B$6)</f>
        <v/>
      </c>
      <c r="AH128" s="127" t="e">
        <f>(AF128/Calculator!$B$10)*Calculator!$B$9</f>
        <v>#DIV/0!</v>
      </c>
      <c r="AI128" s="144" t="str">
        <f t="shared" si="3"/>
        <v/>
      </c>
    </row>
    <row r="129" spans="32:35" ht="15.75" customHeight="1">
      <c r="AF129" s="127">
        <f t="shared" si="2"/>
        <v>0</v>
      </c>
      <c r="AG129" s="127" t="str">
        <f>IF(AA129=0,"",Calculator!$B$6)</f>
        <v/>
      </c>
      <c r="AH129" s="127" t="e">
        <f>(AF129/Calculator!$B$10)*Calculator!$B$9</f>
        <v>#DIV/0!</v>
      </c>
      <c r="AI129" s="144" t="str">
        <f t="shared" si="3"/>
        <v/>
      </c>
    </row>
    <row r="130" spans="32:35" ht="15.75" customHeight="1">
      <c r="AF130" s="127">
        <f t="shared" si="2"/>
        <v>0</v>
      </c>
      <c r="AG130" s="127" t="str">
        <f>IF(AA130=0,"",Calculator!$B$6)</f>
        <v/>
      </c>
      <c r="AH130" s="127" t="e">
        <f>(AF130/Calculator!$B$10)*Calculator!$B$9</f>
        <v>#DIV/0!</v>
      </c>
      <c r="AI130" s="144" t="str">
        <f t="shared" si="3"/>
        <v/>
      </c>
    </row>
    <row r="131" spans="32:35" ht="15.75" customHeight="1">
      <c r="AF131" s="127">
        <f t="shared" si="2"/>
        <v>0</v>
      </c>
      <c r="AG131" s="127" t="str">
        <f>IF(AA131=0,"",Calculator!$B$6)</f>
        <v/>
      </c>
      <c r="AH131" s="127" t="e">
        <f>(AF131/Calculator!$B$10)*Calculator!$B$9</f>
        <v>#DIV/0!</v>
      </c>
      <c r="AI131" s="144" t="str">
        <f t="shared" si="3"/>
        <v/>
      </c>
    </row>
    <row r="132" spans="32:35" ht="15.75" customHeight="1">
      <c r="AF132" s="127">
        <f t="shared" si="2"/>
        <v>0</v>
      </c>
      <c r="AG132" s="127" t="str">
        <f>IF(AA132=0,"",Calculator!$B$6)</f>
        <v/>
      </c>
      <c r="AH132" s="127" t="e">
        <f>(AF132/Calculator!$B$10)*Calculator!$B$9</f>
        <v>#DIV/0!</v>
      </c>
      <c r="AI132" s="144" t="str">
        <f t="shared" si="3"/>
        <v/>
      </c>
    </row>
    <row r="133" spans="32:35" ht="15.75" customHeight="1">
      <c r="AF133" s="127">
        <f t="shared" si="2"/>
        <v>0</v>
      </c>
      <c r="AG133" s="127" t="str">
        <f>IF(AA133=0,"",Calculator!$B$6)</f>
        <v/>
      </c>
      <c r="AH133" s="127" t="e">
        <f>(AF133/Calculator!$B$10)*Calculator!$B$9</f>
        <v>#DIV/0!</v>
      </c>
      <c r="AI133" s="144" t="str">
        <f t="shared" si="3"/>
        <v/>
      </c>
    </row>
    <row r="134" spans="32:35" ht="15.75" customHeight="1">
      <c r="AF134" s="127">
        <f t="shared" si="2"/>
        <v>0</v>
      </c>
      <c r="AG134" s="127" t="str">
        <f>IF(AA134=0,"",Calculator!$B$6)</f>
        <v/>
      </c>
      <c r="AH134" s="127" t="e">
        <f>(AF134/Calculator!$B$10)*Calculator!$B$9</f>
        <v>#DIV/0!</v>
      </c>
      <c r="AI134" s="144" t="str">
        <f t="shared" si="3"/>
        <v/>
      </c>
    </row>
    <row r="135" spans="32:35" ht="15.75" customHeight="1">
      <c r="AF135" s="127">
        <f t="shared" si="2"/>
        <v>0</v>
      </c>
      <c r="AG135" s="127" t="str">
        <f>IF(AA135=0,"",Calculator!$B$6)</f>
        <v/>
      </c>
      <c r="AH135" s="127" t="e">
        <f>(AF135/Calculator!$B$10)*Calculator!$B$9</f>
        <v>#DIV/0!</v>
      </c>
      <c r="AI135" s="144" t="str">
        <f t="shared" si="3"/>
        <v/>
      </c>
    </row>
    <row r="136" spans="32:35" ht="15.75" customHeight="1">
      <c r="AF136" s="127">
        <f t="shared" si="2"/>
        <v>0</v>
      </c>
      <c r="AG136" s="127" t="str">
        <f>IF(AA136=0,"",Calculator!$B$6)</f>
        <v/>
      </c>
      <c r="AH136" s="127" t="e">
        <f>(AF136/Calculator!$B$10)*Calculator!$B$9</f>
        <v>#DIV/0!</v>
      </c>
      <c r="AI136" s="144" t="str">
        <f t="shared" si="3"/>
        <v/>
      </c>
    </row>
    <row r="137" spans="32:35" ht="15.75" customHeight="1">
      <c r="AF137" s="127">
        <f t="shared" si="2"/>
        <v>0</v>
      </c>
      <c r="AG137" s="127" t="str">
        <f>IF(AA137=0,"",Calculator!$B$6)</f>
        <v/>
      </c>
      <c r="AH137" s="127" t="e">
        <f>(AF137/Calculator!$B$10)*Calculator!$B$9</f>
        <v>#DIV/0!</v>
      </c>
      <c r="AI137" s="144" t="str">
        <f t="shared" si="3"/>
        <v/>
      </c>
    </row>
    <row r="138" spans="32:35" ht="15.75" customHeight="1">
      <c r="AF138" s="127">
        <f t="shared" ref="AF138:AF201" si="4">IFERROR(AA138*AG138,0)</f>
        <v>0</v>
      </c>
      <c r="AG138" s="127" t="str">
        <f>IF(AA138=0,"",Calculator!$B$6)</f>
        <v/>
      </c>
      <c r="AH138" s="127" t="e">
        <f>(AF138/Calculator!$B$10)*Calculator!$B$9</f>
        <v>#DIV/0!</v>
      </c>
      <c r="AI138" s="144" t="str">
        <f t="shared" ref="AI138:AI201" si="5">IF(ISBLANK(AA138),"","RS Means")</f>
        <v/>
      </c>
    </row>
    <row r="139" spans="32:35" ht="15.75" customHeight="1">
      <c r="AF139" s="127">
        <f t="shared" si="4"/>
        <v>0</v>
      </c>
      <c r="AG139" s="127" t="str">
        <f>IF(AA139=0,"",Calculator!$B$6)</f>
        <v/>
      </c>
      <c r="AH139" s="127" t="e">
        <f>(AF139/Calculator!$B$10)*Calculator!$B$9</f>
        <v>#DIV/0!</v>
      </c>
      <c r="AI139" s="144" t="str">
        <f t="shared" si="5"/>
        <v/>
      </c>
    </row>
    <row r="140" spans="32:35" ht="15.75" customHeight="1">
      <c r="AF140" s="127">
        <f t="shared" si="4"/>
        <v>0</v>
      </c>
      <c r="AG140" s="127" t="str">
        <f>IF(AA140=0,"",Calculator!$B$6)</f>
        <v/>
      </c>
      <c r="AH140" s="127" t="e">
        <f>(AF140/Calculator!$B$10)*Calculator!$B$9</f>
        <v>#DIV/0!</v>
      </c>
      <c r="AI140" s="144" t="str">
        <f t="shared" si="5"/>
        <v/>
      </c>
    </row>
    <row r="141" spans="32:35" ht="15.75" customHeight="1">
      <c r="AF141" s="127">
        <f t="shared" si="4"/>
        <v>0</v>
      </c>
      <c r="AG141" s="127" t="str">
        <f>IF(AA141=0,"",Calculator!$B$6)</f>
        <v/>
      </c>
      <c r="AH141" s="127" t="e">
        <f>(AF141/Calculator!$B$10)*Calculator!$B$9</f>
        <v>#DIV/0!</v>
      </c>
      <c r="AI141" s="144" t="str">
        <f t="shared" si="5"/>
        <v/>
      </c>
    </row>
    <row r="142" spans="32:35" ht="15.75" customHeight="1">
      <c r="AF142" s="127">
        <f t="shared" si="4"/>
        <v>0</v>
      </c>
      <c r="AG142" s="127" t="str">
        <f>IF(AA142=0,"",Calculator!$B$6)</f>
        <v/>
      </c>
      <c r="AH142" s="127" t="e">
        <f>(AF142/Calculator!$B$10)*Calculator!$B$9</f>
        <v>#DIV/0!</v>
      </c>
      <c r="AI142" s="144" t="str">
        <f t="shared" si="5"/>
        <v/>
      </c>
    </row>
    <row r="143" spans="32:35" ht="15.75" customHeight="1">
      <c r="AF143" s="127">
        <f t="shared" si="4"/>
        <v>0</v>
      </c>
      <c r="AG143" s="127" t="str">
        <f>IF(AA143=0,"",Calculator!$B$6)</f>
        <v/>
      </c>
      <c r="AH143" s="127" t="e">
        <f>(AF143/Calculator!$B$10)*Calculator!$B$9</f>
        <v>#DIV/0!</v>
      </c>
      <c r="AI143" s="144" t="str">
        <f t="shared" si="5"/>
        <v/>
      </c>
    </row>
    <row r="144" spans="32:35" ht="15.75" customHeight="1">
      <c r="AF144" s="127">
        <f t="shared" si="4"/>
        <v>0</v>
      </c>
      <c r="AG144" s="127" t="str">
        <f>IF(AA144=0,"",Calculator!$B$6)</f>
        <v/>
      </c>
      <c r="AH144" s="127" t="e">
        <f>(AF144/Calculator!$B$10)*Calculator!$B$9</f>
        <v>#DIV/0!</v>
      </c>
      <c r="AI144" s="144" t="str">
        <f t="shared" si="5"/>
        <v/>
      </c>
    </row>
    <row r="145" spans="32:35" ht="15.75" customHeight="1">
      <c r="AF145" s="127">
        <f t="shared" si="4"/>
        <v>0</v>
      </c>
      <c r="AG145" s="127" t="str">
        <f>IF(AA145=0,"",Calculator!$B$6)</f>
        <v/>
      </c>
      <c r="AH145" s="127" t="e">
        <f>(AF145/Calculator!$B$10)*Calculator!$B$9</f>
        <v>#DIV/0!</v>
      </c>
      <c r="AI145" s="144" t="str">
        <f t="shared" si="5"/>
        <v/>
      </c>
    </row>
    <row r="146" spans="32:35" ht="15.75" customHeight="1">
      <c r="AF146" s="127">
        <f t="shared" si="4"/>
        <v>0</v>
      </c>
      <c r="AG146" s="127" t="str">
        <f>IF(AA146=0,"",Calculator!$B$6)</f>
        <v/>
      </c>
      <c r="AH146" s="127" t="e">
        <f>(AF146/Calculator!$B$10)*Calculator!$B$9</f>
        <v>#DIV/0!</v>
      </c>
      <c r="AI146" s="144" t="str">
        <f t="shared" si="5"/>
        <v/>
      </c>
    </row>
    <row r="147" spans="32:35" ht="15.75" customHeight="1">
      <c r="AF147" s="127">
        <f t="shared" si="4"/>
        <v>0</v>
      </c>
      <c r="AG147" s="127" t="str">
        <f>IF(AA147=0,"",Calculator!$B$6)</f>
        <v/>
      </c>
      <c r="AH147" s="127" t="e">
        <f>(AF147/Calculator!$B$10)*Calculator!$B$9</f>
        <v>#DIV/0!</v>
      </c>
      <c r="AI147" s="144" t="str">
        <f t="shared" si="5"/>
        <v/>
      </c>
    </row>
    <row r="148" spans="32:35" ht="15.75" customHeight="1">
      <c r="AF148" s="127">
        <f t="shared" si="4"/>
        <v>0</v>
      </c>
      <c r="AG148" s="127" t="str">
        <f>IF(AA148=0,"",Calculator!$B$6)</f>
        <v/>
      </c>
      <c r="AH148" s="127" t="e">
        <f>(AF148/Calculator!$B$10)*Calculator!$B$9</f>
        <v>#DIV/0!</v>
      </c>
      <c r="AI148" s="144" t="str">
        <f t="shared" si="5"/>
        <v/>
      </c>
    </row>
    <row r="149" spans="32:35" ht="15.75" customHeight="1">
      <c r="AF149" s="127">
        <f t="shared" si="4"/>
        <v>0</v>
      </c>
      <c r="AG149" s="127" t="str">
        <f>IF(AA149=0,"",Calculator!$B$6)</f>
        <v/>
      </c>
      <c r="AH149" s="127" t="e">
        <f>(AF149/Calculator!$B$10)*Calculator!$B$9</f>
        <v>#DIV/0!</v>
      </c>
      <c r="AI149" s="144" t="str">
        <f t="shared" si="5"/>
        <v/>
      </c>
    </row>
    <row r="150" spans="32:35" ht="15.75" customHeight="1">
      <c r="AF150" s="127">
        <f t="shared" si="4"/>
        <v>0</v>
      </c>
      <c r="AG150" s="127" t="str">
        <f>IF(AA150=0,"",Calculator!$B$6)</f>
        <v/>
      </c>
      <c r="AH150" s="127" t="e">
        <f>(AF150/Calculator!$B$10)*Calculator!$B$9</f>
        <v>#DIV/0!</v>
      </c>
      <c r="AI150" s="144" t="str">
        <f t="shared" si="5"/>
        <v/>
      </c>
    </row>
    <row r="151" spans="32:35" ht="15.75" customHeight="1">
      <c r="AF151" s="127">
        <f t="shared" si="4"/>
        <v>0</v>
      </c>
      <c r="AG151" s="127" t="str">
        <f>IF(AA151=0,"",Calculator!$B$6)</f>
        <v/>
      </c>
      <c r="AH151" s="127" t="e">
        <f>(AF151/Calculator!$B$10)*Calculator!$B$9</f>
        <v>#DIV/0!</v>
      </c>
      <c r="AI151" s="144" t="str">
        <f t="shared" si="5"/>
        <v/>
      </c>
    </row>
    <row r="152" spans="32:35" ht="15.75" customHeight="1">
      <c r="AF152" s="127">
        <f t="shared" si="4"/>
        <v>0</v>
      </c>
      <c r="AG152" s="127" t="str">
        <f>IF(AA152=0,"",Calculator!$B$6)</f>
        <v/>
      </c>
      <c r="AH152" s="127" t="e">
        <f>(AF152/Calculator!$B$10)*Calculator!$B$9</f>
        <v>#DIV/0!</v>
      </c>
      <c r="AI152" s="144" t="str">
        <f t="shared" si="5"/>
        <v/>
      </c>
    </row>
    <row r="153" spans="32:35" ht="15.75" customHeight="1">
      <c r="AF153" s="127">
        <f t="shared" si="4"/>
        <v>0</v>
      </c>
      <c r="AG153" s="127" t="str">
        <f>IF(AA153=0,"",Calculator!$B$6)</f>
        <v/>
      </c>
      <c r="AH153" s="127" t="e">
        <f>(AF153/Calculator!$B$10)*Calculator!$B$9</f>
        <v>#DIV/0!</v>
      </c>
      <c r="AI153" s="144" t="str">
        <f t="shared" si="5"/>
        <v/>
      </c>
    </row>
    <row r="154" spans="32:35" ht="15.75" customHeight="1">
      <c r="AF154" s="127">
        <f t="shared" si="4"/>
        <v>0</v>
      </c>
      <c r="AG154" s="127" t="str">
        <f>IF(AA154=0,"",Calculator!$B$6)</f>
        <v/>
      </c>
      <c r="AH154" s="127" t="e">
        <f>(AF154/Calculator!$B$10)*Calculator!$B$9</f>
        <v>#DIV/0!</v>
      </c>
      <c r="AI154" s="144" t="str">
        <f t="shared" si="5"/>
        <v/>
      </c>
    </row>
    <row r="155" spans="32:35" ht="15.75" customHeight="1">
      <c r="AF155" s="127">
        <f t="shared" si="4"/>
        <v>0</v>
      </c>
      <c r="AG155" s="127" t="str">
        <f>IF(AA155=0,"",Calculator!$B$6)</f>
        <v/>
      </c>
      <c r="AH155" s="127" t="e">
        <f>(AF155/Calculator!$B$10)*Calculator!$B$9</f>
        <v>#DIV/0!</v>
      </c>
      <c r="AI155" s="144" t="str">
        <f t="shared" si="5"/>
        <v/>
      </c>
    </row>
    <row r="156" spans="32:35" ht="15.75" customHeight="1">
      <c r="AF156" s="127">
        <f t="shared" si="4"/>
        <v>0</v>
      </c>
      <c r="AG156" s="127" t="str">
        <f>IF(AA156=0,"",Calculator!$B$6)</f>
        <v/>
      </c>
      <c r="AH156" s="127" t="e">
        <f>(AF156/Calculator!$B$10)*Calculator!$B$9</f>
        <v>#DIV/0!</v>
      </c>
      <c r="AI156" s="144" t="str">
        <f t="shared" si="5"/>
        <v/>
      </c>
    </row>
    <row r="157" spans="32:35" ht="15.75" customHeight="1">
      <c r="AF157" s="127">
        <f t="shared" si="4"/>
        <v>0</v>
      </c>
      <c r="AG157" s="127" t="str">
        <f>IF(AA157=0,"",Calculator!$B$6)</f>
        <v/>
      </c>
      <c r="AH157" s="127" t="e">
        <f>(AF157/Calculator!$B$10)*Calculator!$B$9</f>
        <v>#DIV/0!</v>
      </c>
      <c r="AI157" s="144" t="str">
        <f t="shared" si="5"/>
        <v/>
      </c>
    </row>
    <row r="158" spans="32:35" ht="15.75" customHeight="1">
      <c r="AF158" s="127">
        <f t="shared" si="4"/>
        <v>0</v>
      </c>
      <c r="AG158" s="127" t="str">
        <f>IF(AA158=0,"",Calculator!$B$6)</f>
        <v/>
      </c>
      <c r="AH158" s="127" t="e">
        <f>(AF158/Calculator!$B$10)*Calculator!$B$9</f>
        <v>#DIV/0!</v>
      </c>
      <c r="AI158" s="144" t="str">
        <f t="shared" si="5"/>
        <v/>
      </c>
    </row>
    <row r="159" spans="32:35" ht="15.75" customHeight="1">
      <c r="AF159" s="127">
        <f t="shared" si="4"/>
        <v>0</v>
      </c>
      <c r="AG159" s="127" t="str">
        <f>IF(AA159=0,"",Calculator!$B$6)</f>
        <v/>
      </c>
      <c r="AH159" s="127" t="e">
        <f>(AF159/Calculator!$B$10)*Calculator!$B$9</f>
        <v>#DIV/0!</v>
      </c>
      <c r="AI159" s="144" t="str">
        <f t="shared" si="5"/>
        <v/>
      </c>
    </row>
    <row r="160" spans="32:35" ht="15.75" customHeight="1">
      <c r="AF160" s="127">
        <f t="shared" si="4"/>
        <v>0</v>
      </c>
      <c r="AG160" s="127" t="str">
        <f>IF(AA160=0,"",Calculator!$B$6)</f>
        <v/>
      </c>
      <c r="AH160" s="127" t="e">
        <f>(AF160/Calculator!$B$10)*Calculator!$B$9</f>
        <v>#DIV/0!</v>
      </c>
      <c r="AI160" s="144" t="str">
        <f t="shared" si="5"/>
        <v/>
      </c>
    </row>
    <row r="161" spans="32:35" ht="15.75" customHeight="1">
      <c r="AF161" s="127">
        <f t="shared" si="4"/>
        <v>0</v>
      </c>
      <c r="AG161" s="127" t="str">
        <f>IF(AA161=0,"",Calculator!$B$6)</f>
        <v/>
      </c>
      <c r="AH161" s="127" t="e">
        <f>(AF161/Calculator!$B$10)*Calculator!$B$9</f>
        <v>#DIV/0!</v>
      </c>
      <c r="AI161" s="144" t="str">
        <f t="shared" si="5"/>
        <v/>
      </c>
    </row>
    <row r="162" spans="32:35" ht="15.75" customHeight="1">
      <c r="AF162" s="127">
        <f t="shared" si="4"/>
        <v>0</v>
      </c>
      <c r="AG162" s="127" t="str">
        <f>IF(AA162=0,"",Calculator!$B$6)</f>
        <v/>
      </c>
      <c r="AH162" s="127" t="e">
        <f>(AF162/Calculator!$B$10)*Calculator!$B$9</f>
        <v>#DIV/0!</v>
      </c>
      <c r="AI162" s="144" t="str">
        <f t="shared" si="5"/>
        <v/>
      </c>
    </row>
    <row r="163" spans="32:35" ht="15.75" customHeight="1">
      <c r="AF163" s="127">
        <f t="shared" si="4"/>
        <v>0</v>
      </c>
      <c r="AG163" s="127" t="str">
        <f>IF(AA163=0,"",Calculator!$B$6)</f>
        <v/>
      </c>
      <c r="AH163" s="127" t="e">
        <f>(AF163/Calculator!$B$10)*Calculator!$B$9</f>
        <v>#DIV/0!</v>
      </c>
      <c r="AI163" s="144" t="str">
        <f t="shared" si="5"/>
        <v/>
      </c>
    </row>
    <row r="164" spans="32:35" ht="15.75" customHeight="1">
      <c r="AF164" s="127">
        <f t="shared" si="4"/>
        <v>0</v>
      </c>
      <c r="AG164" s="127" t="str">
        <f>IF(AA164=0,"",Calculator!$B$6)</f>
        <v/>
      </c>
      <c r="AH164" s="127" t="e">
        <f>(AF164/Calculator!$B$10)*Calculator!$B$9</f>
        <v>#DIV/0!</v>
      </c>
      <c r="AI164" s="144" t="str">
        <f t="shared" si="5"/>
        <v/>
      </c>
    </row>
    <row r="165" spans="32:35" ht="15.75" customHeight="1">
      <c r="AF165" s="127">
        <f t="shared" si="4"/>
        <v>0</v>
      </c>
      <c r="AG165" s="127" t="str">
        <f>IF(AA165=0,"",Calculator!$B$6)</f>
        <v/>
      </c>
      <c r="AH165" s="127" t="e">
        <f>(AF165/Calculator!$B$10)*Calculator!$B$9</f>
        <v>#DIV/0!</v>
      </c>
      <c r="AI165" s="144" t="str">
        <f t="shared" si="5"/>
        <v/>
      </c>
    </row>
    <row r="166" spans="32:35" ht="15.75" customHeight="1">
      <c r="AF166" s="127">
        <f t="shared" si="4"/>
        <v>0</v>
      </c>
      <c r="AG166" s="127" t="str">
        <f>IF(AA166=0,"",Calculator!$B$6)</f>
        <v/>
      </c>
      <c r="AH166" s="127" t="e">
        <f>(AF166/Calculator!$B$10)*Calculator!$B$9</f>
        <v>#DIV/0!</v>
      </c>
      <c r="AI166" s="144" t="str">
        <f t="shared" si="5"/>
        <v/>
      </c>
    </row>
    <row r="167" spans="32:35" ht="15.75" customHeight="1">
      <c r="AF167" s="127">
        <f t="shared" si="4"/>
        <v>0</v>
      </c>
      <c r="AG167" s="127" t="str">
        <f>IF(AA167=0,"",Calculator!$B$6)</f>
        <v/>
      </c>
      <c r="AH167" s="127" t="e">
        <f>(AF167/Calculator!$B$10)*Calculator!$B$9</f>
        <v>#DIV/0!</v>
      </c>
      <c r="AI167" s="144" t="str">
        <f t="shared" si="5"/>
        <v/>
      </c>
    </row>
    <row r="168" spans="32:35" ht="15.75" customHeight="1">
      <c r="AF168" s="127">
        <f t="shared" si="4"/>
        <v>0</v>
      </c>
      <c r="AG168" s="127" t="str">
        <f>IF(AA168=0,"",Calculator!$B$6)</f>
        <v/>
      </c>
      <c r="AH168" s="127" t="e">
        <f>(AF168/Calculator!$B$10)*Calculator!$B$9</f>
        <v>#DIV/0!</v>
      </c>
      <c r="AI168" s="144" t="str">
        <f t="shared" si="5"/>
        <v/>
      </c>
    </row>
    <row r="169" spans="32:35" ht="15.75" customHeight="1">
      <c r="AF169" s="127">
        <f t="shared" si="4"/>
        <v>0</v>
      </c>
      <c r="AG169" s="127" t="str">
        <f>IF(AA169=0,"",Calculator!$B$6)</f>
        <v/>
      </c>
      <c r="AH169" s="127" t="e">
        <f>(AF169/Calculator!$B$10)*Calculator!$B$9</f>
        <v>#DIV/0!</v>
      </c>
      <c r="AI169" s="144" t="str">
        <f t="shared" si="5"/>
        <v/>
      </c>
    </row>
    <row r="170" spans="32:35" ht="15.75" customHeight="1">
      <c r="AF170" s="127">
        <f t="shared" si="4"/>
        <v>0</v>
      </c>
      <c r="AG170" s="127" t="str">
        <f>IF(AA170=0,"",Calculator!$B$6)</f>
        <v/>
      </c>
      <c r="AH170" s="127" t="e">
        <f>(AF170/Calculator!$B$10)*Calculator!$B$9</f>
        <v>#DIV/0!</v>
      </c>
      <c r="AI170" s="144" t="str">
        <f t="shared" si="5"/>
        <v/>
      </c>
    </row>
    <row r="171" spans="32:35" ht="15.75" customHeight="1">
      <c r="AF171" s="127">
        <f t="shared" si="4"/>
        <v>0</v>
      </c>
      <c r="AG171" s="127" t="str">
        <f>IF(AA171=0,"",Calculator!$B$6)</f>
        <v/>
      </c>
      <c r="AH171" s="127" t="e">
        <f>(AF171/Calculator!$B$10)*Calculator!$B$9</f>
        <v>#DIV/0!</v>
      </c>
      <c r="AI171" s="144" t="str">
        <f t="shared" si="5"/>
        <v/>
      </c>
    </row>
    <row r="172" spans="32:35" ht="15.75" customHeight="1">
      <c r="AF172" s="127">
        <f t="shared" si="4"/>
        <v>0</v>
      </c>
      <c r="AG172" s="127" t="str">
        <f>IF(AA172=0,"",Calculator!$B$6)</f>
        <v/>
      </c>
      <c r="AH172" s="127" t="e">
        <f>(AF172/Calculator!$B$10)*Calculator!$B$9</f>
        <v>#DIV/0!</v>
      </c>
      <c r="AI172" s="144" t="str">
        <f t="shared" si="5"/>
        <v/>
      </c>
    </row>
    <row r="173" spans="32:35" ht="15.75" customHeight="1">
      <c r="AF173" s="127">
        <f t="shared" si="4"/>
        <v>0</v>
      </c>
      <c r="AG173" s="127" t="str">
        <f>IF(AA173=0,"",Calculator!$B$6)</f>
        <v/>
      </c>
      <c r="AH173" s="127" t="e">
        <f>(AF173/Calculator!$B$10)*Calculator!$B$9</f>
        <v>#DIV/0!</v>
      </c>
      <c r="AI173" s="144" t="str">
        <f t="shared" si="5"/>
        <v/>
      </c>
    </row>
    <row r="174" spans="32:35" ht="15.75" customHeight="1">
      <c r="AF174" s="127">
        <f t="shared" si="4"/>
        <v>0</v>
      </c>
      <c r="AG174" s="127" t="str">
        <f>IF(AA174=0,"",Calculator!$B$6)</f>
        <v/>
      </c>
      <c r="AH174" s="127" t="e">
        <f>(AF174/Calculator!$B$10)*Calculator!$B$9</f>
        <v>#DIV/0!</v>
      </c>
      <c r="AI174" s="144" t="str">
        <f t="shared" si="5"/>
        <v/>
      </c>
    </row>
    <row r="175" spans="32:35" ht="15.75" customHeight="1">
      <c r="AF175" s="127">
        <f t="shared" si="4"/>
        <v>0</v>
      </c>
      <c r="AG175" s="127" t="str">
        <f>IF(AA175=0,"",Calculator!$B$6)</f>
        <v/>
      </c>
      <c r="AH175" s="127" t="e">
        <f>(AF175/Calculator!$B$10)*Calculator!$B$9</f>
        <v>#DIV/0!</v>
      </c>
      <c r="AI175" s="144" t="str">
        <f t="shared" si="5"/>
        <v/>
      </c>
    </row>
    <row r="176" spans="32:35" ht="15.75" customHeight="1">
      <c r="AF176" s="127">
        <f t="shared" si="4"/>
        <v>0</v>
      </c>
      <c r="AG176" s="127" t="str">
        <f>IF(AA176=0,"",Calculator!$B$6)</f>
        <v/>
      </c>
      <c r="AH176" s="127" t="e">
        <f>(AF176/Calculator!$B$10)*Calculator!$B$9</f>
        <v>#DIV/0!</v>
      </c>
      <c r="AI176" s="144" t="str">
        <f t="shared" si="5"/>
        <v/>
      </c>
    </row>
    <row r="177" spans="32:35" ht="15.75" customHeight="1">
      <c r="AF177" s="127">
        <f t="shared" si="4"/>
        <v>0</v>
      </c>
      <c r="AG177" s="127" t="str">
        <f>IF(AA177=0,"",Calculator!$B$6)</f>
        <v/>
      </c>
      <c r="AH177" s="127" t="e">
        <f>(AF177/Calculator!$B$10)*Calculator!$B$9</f>
        <v>#DIV/0!</v>
      </c>
      <c r="AI177" s="144" t="str">
        <f t="shared" si="5"/>
        <v/>
      </c>
    </row>
    <row r="178" spans="32:35" ht="15.75" customHeight="1">
      <c r="AF178" s="127">
        <f t="shared" si="4"/>
        <v>0</v>
      </c>
      <c r="AG178" s="127" t="str">
        <f>IF(AA178=0,"",Calculator!$B$6)</f>
        <v/>
      </c>
      <c r="AH178" s="127" t="e">
        <f>(AF178/Calculator!$B$10)*Calculator!$B$9</f>
        <v>#DIV/0!</v>
      </c>
      <c r="AI178" s="144" t="str">
        <f t="shared" si="5"/>
        <v/>
      </c>
    </row>
    <row r="179" spans="32:35" ht="15.75" customHeight="1">
      <c r="AF179" s="127">
        <f t="shared" si="4"/>
        <v>0</v>
      </c>
      <c r="AG179" s="127" t="str">
        <f>IF(AA179=0,"",Calculator!$B$6)</f>
        <v/>
      </c>
      <c r="AH179" s="127" t="e">
        <f>(AF179/Calculator!$B$10)*Calculator!$B$9</f>
        <v>#DIV/0!</v>
      </c>
      <c r="AI179" s="144" t="str">
        <f t="shared" si="5"/>
        <v/>
      </c>
    </row>
    <row r="180" spans="32:35" ht="15.75" customHeight="1">
      <c r="AF180" s="127">
        <f t="shared" si="4"/>
        <v>0</v>
      </c>
      <c r="AG180" s="127" t="str">
        <f>IF(AA180=0,"",Calculator!$B$6)</f>
        <v/>
      </c>
      <c r="AH180" s="127" t="e">
        <f>(AF180/Calculator!$B$10)*Calculator!$B$9</f>
        <v>#DIV/0!</v>
      </c>
      <c r="AI180" s="144" t="str">
        <f t="shared" si="5"/>
        <v/>
      </c>
    </row>
    <row r="181" spans="32:35" ht="15.75" customHeight="1">
      <c r="AF181" s="127">
        <f t="shared" si="4"/>
        <v>0</v>
      </c>
      <c r="AG181" s="127" t="str">
        <f>IF(AA181=0,"",Calculator!$B$6)</f>
        <v/>
      </c>
      <c r="AH181" s="127" t="e">
        <f>(AF181/Calculator!$B$10)*Calculator!$B$9</f>
        <v>#DIV/0!</v>
      </c>
      <c r="AI181" s="144" t="str">
        <f t="shared" si="5"/>
        <v/>
      </c>
    </row>
    <row r="182" spans="32:35" ht="15.75" customHeight="1">
      <c r="AF182" s="127">
        <f t="shared" si="4"/>
        <v>0</v>
      </c>
      <c r="AG182" s="127" t="str">
        <f>IF(AA182=0,"",Calculator!$B$6)</f>
        <v/>
      </c>
      <c r="AH182" s="127" t="e">
        <f>(AF182/Calculator!$B$10)*Calculator!$B$9</f>
        <v>#DIV/0!</v>
      </c>
      <c r="AI182" s="144" t="str">
        <f t="shared" si="5"/>
        <v/>
      </c>
    </row>
    <row r="183" spans="32:35" ht="15.75" customHeight="1">
      <c r="AF183" s="127">
        <f t="shared" si="4"/>
        <v>0</v>
      </c>
      <c r="AG183" s="127" t="str">
        <f>IF(AA183=0,"",Calculator!$B$6)</f>
        <v/>
      </c>
      <c r="AH183" s="127" t="e">
        <f>(AF183/Calculator!$B$10)*Calculator!$B$9</f>
        <v>#DIV/0!</v>
      </c>
      <c r="AI183" s="144" t="str">
        <f t="shared" si="5"/>
        <v/>
      </c>
    </row>
    <row r="184" spans="32:35" ht="15.75" customHeight="1">
      <c r="AF184" s="127">
        <f t="shared" si="4"/>
        <v>0</v>
      </c>
      <c r="AG184" s="127" t="str">
        <f>IF(AA184=0,"",Calculator!$B$6)</f>
        <v/>
      </c>
      <c r="AH184" s="127" t="e">
        <f>(AF184/Calculator!$B$10)*Calculator!$B$9</f>
        <v>#DIV/0!</v>
      </c>
      <c r="AI184" s="144" t="str">
        <f t="shared" si="5"/>
        <v/>
      </c>
    </row>
    <row r="185" spans="32:35" ht="15.75" customHeight="1">
      <c r="AF185" s="127">
        <f t="shared" si="4"/>
        <v>0</v>
      </c>
      <c r="AG185" s="127" t="str">
        <f>IF(AA185=0,"",Calculator!$B$6)</f>
        <v/>
      </c>
      <c r="AH185" s="127" t="e">
        <f>(AF185/Calculator!$B$10)*Calculator!$B$9</f>
        <v>#DIV/0!</v>
      </c>
      <c r="AI185" s="144" t="str">
        <f t="shared" si="5"/>
        <v/>
      </c>
    </row>
    <row r="186" spans="32:35" ht="15.75" customHeight="1">
      <c r="AF186" s="127">
        <f t="shared" si="4"/>
        <v>0</v>
      </c>
      <c r="AG186" s="127" t="str">
        <f>IF(AA186=0,"",Calculator!$B$6)</f>
        <v/>
      </c>
      <c r="AH186" s="127" t="e">
        <f>(AF186/Calculator!$B$10)*Calculator!$B$9</f>
        <v>#DIV/0!</v>
      </c>
      <c r="AI186" s="144" t="str">
        <f t="shared" si="5"/>
        <v/>
      </c>
    </row>
    <row r="187" spans="32:35" ht="15.75" customHeight="1">
      <c r="AF187" s="127">
        <f t="shared" si="4"/>
        <v>0</v>
      </c>
      <c r="AG187" s="127" t="str">
        <f>IF(AA187=0,"",Calculator!$B$6)</f>
        <v/>
      </c>
      <c r="AH187" s="127" t="e">
        <f>(AF187/Calculator!$B$10)*Calculator!$B$9</f>
        <v>#DIV/0!</v>
      </c>
      <c r="AI187" s="144" t="str">
        <f t="shared" si="5"/>
        <v/>
      </c>
    </row>
    <row r="188" spans="32:35" ht="15.75" customHeight="1">
      <c r="AF188" s="127">
        <f t="shared" si="4"/>
        <v>0</v>
      </c>
      <c r="AG188" s="127" t="str">
        <f>IF(AA188=0,"",Calculator!$B$6)</f>
        <v/>
      </c>
      <c r="AH188" s="127" t="e">
        <f>(AF188/Calculator!$B$10)*Calculator!$B$9</f>
        <v>#DIV/0!</v>
      </c>
      <c r="AI188" s="144" t="str">
        <f t="shared" si="5"/>
        <v/>
      </c>
    </row>
    <row r="189" spans="32:35" ht="15.75" customHeight="1">
      <c r="AF189" s="127">
        <f t="shared" si="4"/>
        <v>0</v>
      </c>
      <c r="AG189" s="127" t="str">
        <f>IF(AA189=0,"",Calculator!$B$6)</f>
        <v/>
      </c>
      <c r="AH189" s="127" t="e">
        <f>(AF189/Calculator!$B$10)*Calculator!$B$9</f>
        <v>#DIV/0!</v>
      </c>
      <c r="AI189" s="144" t="str">
        <f t="shared" si="5"/>
        <v/>
      </c>
    </row>
    <row r="190" spans="32:35" ht="15.75" customHeight="1">
      <c r="AF190" s="127">
        <f t="shared" si="4"/>
        <v>0</v>
      </c>
      <c r="AG190" s="127" t="str">
        <f>IF(AA190=0,"",Calculator!$B$6)</f>
        <v/>
      </c>
      <c r="AH190" s="127" t="e">
        <f>(AF190/Calculator!$B$10)*Calculator!$B$9</f>
        <v>#DIV/0!</v>
      </c>
      <c r="AI190" s="144" t="str">
        <f t="shared" si="5"/>
        <v/>
      </c>
    </row>
    <row r="191" spans="32:35" ht="15.75" customHeight="1">
      <c r="AF191" s="127">
        <f t="shared" si="4"/>
        <v>0</v>
      </c>
      <c r="AG191" s="127" t="str">
        <f>IF(AA191=0,"",Calculator!$B$6)</f>
        <v/>
      </c>
      <c r="AH191" s="127" t="e">
        <f>(AF191/Calculator!$B$10)*Calculator!$B$9</f>
        <v>#DIV/0!</v>
      </c>
      <c r="AI191" s="144" t="str">
        <f t="shared" si="5"/>
        <v/>
      </c>
    </row>
    <row r="192" spans="32:35" ht="15.75" customHeight="1">
      <c r="AF192" s="127">
        <f t="shared" si="4"/>
        <v>0</v>
      </c>
      <c r="AG192" s="127" t="str">
        <f>IF(AA192=0,"",Calculator!$B$6)</f>
        <v/>
      </c>
      <c r="AH192" s="127" t="e">
        <f>(AF192/Calculator!$B$10)*Calculator!$B$9</f>
        <v>#DIV/0!</v>
      </c>
      <c r="AI192" s="144" t="str">
        <f t="shared" si="5"/>
        <v/>
      </c>
    </row>
    <row r="193" spans="32:35" ht="15.75" customHeight="1">
      <c r="AF193" s="127">
        <f t="shared" si="4"/>
        <v>0</v>
      </c>
      <c r="AG193" s="127" t="str">
        <f>IF(AA193=0,"",Calculator!$B$6)</f>
        <v/>
      </c>
      <c r="AH193" s="127" t="e">
        <f>(AF193/Calculator!$B$10)*Calculator!$B$9</f>
        <v>#DIV/0!</v>
      </c>
      <c r="AI193" s="144" t="str">
        <f t="shared" si="5"/>
        <v/>
      </c>
    </row>
    <row r="194" spans="32:35" ht="15.75" customHeight="1">
      <c r="AF194" s="127">
        <f t="shared" si="4"/>
        <v>0</v>
      </c>
      <c r="AG194" s="127" t="str">
        <f>IF(AA194=0,"",Calculator!$B$6)</f>
        <v/>
      </c>
      <c r="AH194" s="127" t="e">
        <f>(AF194/Calculator!$B$10)*Calculator!$B$9</f>
        <v>#DIV/0!</v>
      </c>
      <c r="AI194" s="144" t="str">
        <f t="shared" si="5"/>
        <v/>
      </c>
    </row>
    <row r="195" spans="32:35" ht="15.75" customHeight="1">
      <c r="AF195" s="127">
        <f t="shared" si="4"/>
        <v>0</v>
      </c>
      <c r="AG195" s="127" t="str">
        <f>IF(AA195=0,"",Calculator!$B$6)</f>
        <v/>
      </c>
      <c r="AH195" s="127" t="e">
        <f>(AF195/Calculator!$B$10)*Calculator!$B$9</f>
        <v>#DIV/0!</v>
      </c>
      <c r="AI195" s="144" t="str">
        <f t="shared" si="5"/>
        <v/>
      </c>
    </row>
    <row r="196" spans="32:35" ht="15.75" customHeight="1">
      <c r="AF196" s="127">
        <f t="shared" si="4"/>
        <v>0</v>
      </c>
      <c r="AG196" s="127" t="str">
        <f>IF(AA196=0,"",Calculator!$B$6)</f>
        <v/>
      </c>
      <c r="AH196" s="127" t="e">
        <f>(AF196/Calculator!$B$10)*Calculator!$B$9</f>
        <v>#DIV/0!</v>
      </c>
      <c r="AI196" s="144" t="str">
        <f t="shared" si="5"/>
        <v/>
      </c>
    </row>
    <row r="197" spans="32:35" ht="15.75" customHeight="1">
      <c r="AF197" s="127">
        <f t="shared" si="4"/>
        <v>0</v>
      </c>
      <c r="AG197" s="127" t="str">
        <f>IF(AA197=0,"",Calculator!$B$6)</f>
        <v/>
      </c>
      <c r="AH197" s="127" t="e">
        <f>(AF197/Calculator!$B$10)*Calculator!$B$9</f>
        <v>#DIV/0!</v>
      </c>
      <c r="AI197" s="144" t="str">
        <f t="shared" si="5"/>
        <v/>
      </c>
    </row>
    <row r="198" spans="32:35" ht="15.75" customHeight="1">
      <c r="AF198" s="127">
        <f t="shared" si="4"/>
        <v>0</v>
      </c>
      <c r="AG198" s="127" t="str">
        <f>IF(AA198=0,"",Calculator!$B$6)</f>
        <v/>
      </c>
      <c r="AH198" s="127" t="e">
        <f>(AF198/Calculator!$B$10)*Calculator!$B$9</f>
        <v>#DIV/0!</v>
      </c>
      <c r="AI198" s="144" t="str">
        <f t="shared" si="5"/>
        <v/>
      </c>
    </row>
    <row r="199" spans="32:35" ht="15.75" customHeight="1">
      <c r="AF199" s="127">
        <f t="shared" si="4"/>
        <v>0</v>
      </c>
      <c r="AG199" s="127" t="str">
        <f>IF(AA199=0,"",Calculator!$B$6)</f>
        <v/>
      </c>
      <c r="AH199" s="127" t="e">
        <f>(AF199/Calculator!$B$10)*Calculator!$B$9</f>
        <v>#DIV/0!</v>
      </c>
      <c r="AI199" s="144" t="str">
        <f t="shared" si="5"/>
        <v/>
      </c>
    </row>
    <row r="200" spans="32:35" ht="15.75" customHeight="1">
      <c r="AF200" s="127">
        <f t="shared" si="4"/>
        <v>0</v>
      </c>
      <c r="AG200" s="127" t="str">
        <f>IF(AA200=0,"",Calculator!$B$6)</f>
        <v/>
      </c>
      <c r="AH200" s="127" t="e">
        <f>(AF200/Calculator!$B$10)*Calculator!$B$9</f>
        <v>#DIV/0!</v>
      </c>
      <c r="AI200" s="144" t="str">
        <f t="shared" si="5"/>
        <v/>
      </c>
    </row>
    <row r="201" spans="32:35" ht="15.75" customHeight="1">
      <c r="AF201" s="127">
        <f t="shared" si="4"/>
        <v>0</v>
      </c>
      <c r="AG201" s="127" t="str">
        <f>IF(AA201=0,"",Calculator!$B$6)</f>
        <v/>
      </c>
      <c r="AH201" s="127" t="e">
        <f>(AF201/Calculator!$B$10)*Calculator!$B$9</f>
        <v>#DIV/0!</v>
      </c>
      <c r="AI201" s="144" t="str">
        <f t="shared" si="5"/>
        <v/>
      </c>
    </row>
    <row r="202" spans="32:35" ht="15.75" customHeight="1">
      <c r="AF202" s="127">
        <f t="shared" ref="AF202:AF265" si="6">IFERROR(AA202*AG202,0)</f>
        <v>0</v>
      </c>
      <c r="AG202" s="127" t="str">
        <f>IF(AA202=0,"",Calculator!$B$6)</f>
        <v/>
      </c>
      <c r="AH202" s="127" t="e">
        <f>(AF202/Calculator!$B$10)*Calculator!$B$9</f>
        <v>#DIV/0!</v>
      </c>
      <c r="AI202" s="144" t="str">
        <f t="shared" ref="AI202:AI265" si="7">IF(ISBLANK(AA202),"","RS Means")</f>
        <v/>
      </c>
    </row>
    <row r="203" spans="32:35" ht="15.75" customHeight="1">
      <c r="AF203" s="127">
        <f t="shared" si="6"/>
        <v>0</v>
      </c>
      <c r="AG203" s="127" t="str">
        <f>IF(AA203=0,"",Calculator!$B$6)</f>
        <v/>
      </c>
      <c r="AH203" s="127" t="e">
        <f>(AF203/Calculator!$B$10)*Calculator!$B$9</f>
        <v>#DIV/0!</v>
      </c>
      <c r="AI203" s="144" t="str">
        <f t="shared" si="7"/>
        <v/>
      </c>
    </row>
    <row r="204" spans="32:35" ht="15.75" customHeight="1">
      <c r="AF204" s="127">
        <f t="shared" si="6"/>
        <v>0</v>
      </c>
      <c r="AG204" s="127" t="str">
        <f>IF(AA204=0,"",Calculator!$B$6)</f>
        <v/>
      </c>
      <c r="AH204" s="127" t="e">
        <f>(AF204/Calculator!$B$10)*Calculator!$B$9</f>
        <v>#DIV/0!</v>
      </c>
      <c r="AI204" s="144" t="str">
        <f t="shared" si="7"/>
        <v/>
      </c>
    </row>
    <row r="205" spans="32:35" ht="15.75" customHeight="1">
      <c r="AF205" s="127">
        <f t="shared" si="6"/>
        <v>0</v>
      </c>
      <c r="AG205" s="127" t="str">
        <f>IF(AA205=0,"",Calculator!$B$6)</f>
        <v/>
      </c>
      <c r="AH205" s="127" t="e">
        <f>(AF205/Calculator!$B$10)*Calculator!$B$9</f>
        <v>#DIV/0!</v>
      </c>
      <c r="AI205" s="144" t="str">
        <f t="shared" si="7"/>
        <v/>
      </c>
    </row>
    <row r="206" spans="32:35" ht="15.75" customHeight="1">
      <c r="AF206" s="127">
        <f t="shared" si="6"/>
        <v>0</v>
      </c>
      <c r="AG206" s="127" t="str">
        <f>IF(AA206=0,"",Calculator!$B$6)</f>
        <v/>
      </c>
      <c r="AH206" s="127" t="e">
        <f>(AF206/Calculator!$B$10)*Calculator!$B$9</f>
        <v>#DIV/0!</v>
      </c>
      <c r="AI206" s="144" t="str">
        <f t="shared" si="7"/>
        <v/>
      </c>
    </row>
    <row r="207" spans="32:35" ht="15.75" customHeight="1">
      <c r="AF207" s="127">
        <f t="shared" si="6"/>
        <v>0</v>
      </c>
      <c r="AG207" s="127" t="str">
        <f>IF(AA207=0,"",Calculator!$B$6)</f>
        <v/>
      </c>
      <c r="AH207" s="127" t="e">
        <f>(AF207/Calculator!$B$10)*Calculator!$B$9</f>
        <v>#DIV/0!</v>
      </c>
      <c r="AI207" s="144" t="str">
        <f t="shared" si="7"/>
        <v/>
      </c>
    </row>
    <row r="208" spans="32:35" ht="15.75" customHeight="1">
      <c r="AF208" s="127">
        <f t="shared" si="6"/>
        <v>0</v>
      </c>
      <c r="AG208" s="127" t="str">
        <f>IF(AA208=0,"",Calculator!$B$6)</f>
        <v/>
      </c>
      <c r="AH208" s="127" t="e">
        <f>(AF208/Calculator!$B$10)*Calculator!$B$9</f>
        <v>#DIV/0!</v>
      </c>
      <c r="AI208" s="144" t="str">
        <f t="shared" si="7"/>
        <v/>
      </c>
    </row>
    <row r="209" spans="32:35" ht="15.75" customHeight="1">
      <c r="AF209" s="127">
        <f t="shared" si="6"/>
        <v>0</v>
      </c>
      <c r="AG209" s="127" t="str">
        <f>IF(AA209=0,"",Calculator!$B$6)</f>
        <v/>
      </c>
      <c r="AH209" s="127" t="e">
        <f>(AF209/Calculator!$B$10)*Calculator!$B$9</f>
        <v>#DIV/0!</v>
      </c>
      <c r="AI209" s="144" t="str">
        <f t="shared" si="7"/>
        <v/>
      </c>
    </row>
    <row r="210" spans="32:35" ht="15.75" customHeight="1">
      <c r="AF210" s="127">
        <f t="shared" si="6"/>
        <v>0</v>
      </c>
      <c r="AG210" s="127" t="str">
        <f>IF(AA210=0,"",Calculator!$B$6)</f>
        <v/>
      </c>
      <c r="AH210" s="127" t="e">
        <f>(AF210/Calculator!$B$10)*Calculator!$B$9</f>
        <v>#DIV/0!</v>
      </c>
      <c r="AI210" s="144" t="str">
        <f t="shared" si="7"/>
        <v/>
      </c>
    </row>
    <row r="211" spans="32:35" ht="15.75" customHeight="1">
      <c r="AF211" s="127">
        <f t="shared" si="6"/>
        <v>0</v>
      </c>
      <c r="AG211" s="127" t="str">
        <f>IF(AA211=0,"",Calculator!$B$6)</f>
        <v/>
      </c>
      <c r="AH211" s="127" t="e">
        <f>(AF211/Calculator!$B$10)*Calculator!$B$9</f>
        <v>#DIV/0!</v>
      </c>
      <c r="AI211" s="144" t="str">
        <f t="shared" si="7"/>
        <v/>
      </c>
    </row>
    <row r="212" spans="32:35" ht="15.75" customHeight="1">
      <c r="AF212" s="127">
        <f t="shared" si="6"/>
        <v>0</v>
      </c>
      <c r="AG212" s="127" t="str">
        <f>IF(AA212=0,"",Calculator!$B$6)</f>
        <v/>
      </c>
      <c r="AH212" s="127" t="e">
        <f>(AF212/Calculator!$B$10)*Calculator!$B$9</f>
        <v>#DIV/0!</v>
      </c>
      <c r="AI212" s="144" t="str">
        <f t="shared" si="7"/>
        <v/>
      </c>
    </row>
    <row r="213" spans="32:35" ht="15.75" customHeight="1">
      <c r="AF213" s="127">
        <f t="shared" si="6"/>
        <v>0</v>
      </c>
      <c r="AG213" s="127" t="str">
        <f>IF(AA213=0,"",Calculator!$B$6)</f>
        <v/>
      </c>
      <c r="AH213" s="127" t="e">
        <f>(AF213/Calculator!$B$10)*Calculator!$B$9</f>
        <v>#DIV/0!</v>
      </c>
      <c r="AI213" s="144" t="str">
        <f t="shared" si="7"/>
        <v/>
      </c>
    </row>
    <row r="214" spans="32:35" ht="15.75" customHeight="1">
      <c r="AF214" s="127">
        <f t="shared" si="6"/>
        <v>0</v>
      </c>
      <c r="AG214" s="127" t="str">
        <f>IF(AA214=0,"",Calculator!$B$6)</f>
        <v/>
      </c>
      <c r="AH214" s="127" t="e">
        <f>(AF214/Calculator!$B$10)*Calculator!$B$9</f>
        <v>#DIV/0!</v>
      </c>
      <c r="AI214" s="144" t="str">
        <f t="shared" si="7"/>
        <v/>
      </c>
    </row>
    <row r="215" spans="32:35" ht="15.75" customHeight="1">
      <c r="AF215" s="127">
        <f t="shared" si="6"/>
        <v>0</v>
      </c>
      <c r="AG215" s="127" t="str">
        <f>IF(AA215=0,"",Calculator!$B$6)</f>
        <v/>
      </c>
      <c r="AH215" s="127" t="e">
        <f>(AF215/Calculator!$B$10)*Calculator!$B$9</f>
        <v>#DIV/0!</v>
      </c>
      <c r="AI215" s="144" t="str">
        <f t="shared" si="7"/>
        <v/>
      </c>
    </row>
    <row r="216" spans="32:35" ht="15.75" customHeight="1">
      <c r="AF216" s="127">
        <f t="shared" si="6"/>
        <v>0</v>
      </c>
      <c r="AG216" s="127" t="str">
        <f>IF(AA216=0,"",Calculator!$B$6)</f>
        <v/>
      </c>
      <c r="AH216" s="127" t="e">
        <f>(AF216/Calculator!$B$10)*Calculator!$B$9</f>
        <v>#DIV/0!</v>
      </c>
      <c r="AI216" s="144" t="str">
        <f t="shared" si="7"/>
        <v/>
      </c>
    </row>
    <row r="217" spans="32:35" ht="15.75" customHeight="1">
      <c r="AF217" s="127">
        <f t="shared" si="6"/>
        <v>0</v>
      </c>
      <c r="AG217" s="127" t="str">
        <f>IF(AA217=0,"",Calculator!$B$6)</f>
        <v/>
      </c>
      <c r="AH217" s="127" t="e">
        <f>(AF217/Calculator!$B$10)*Calculator!$B$9</f>
        <v>#DIV/0!</v>
      </c>
      <c r="AI217" s="144" t="str">
        <f t="shared" si="7"/>
        <v/>
      </c>
    </row>
    <row r="218" spans="32:35" ht="15.75" customHeight="1">
      <c r="AF218" s="127">
        <f t="shared" si="6"/>
        <v>0</v>
      </c>
      <c r="AG218" s="127" t="str">
        <f>IF(AA218=0,"",Calculator!$B$6)</f>
        <v/>
      </c>
      <c r="AH218" s="127" t="e">
        <f>(AF218/Calculator!$B$10)*Calculator!$B$9</f>
        <v>#DIV/0!</v>
      </c>
      <c r="AI218" s="144" t="str">
        <f t="shared" si="7"/>
        <v/>
      </c>
    </row>
    <row r="219" spans="32:35" ht="15.75" customHeight="1">
      <c r="AF219" s="127">
        <f t="shared" si="6"/>
        <v>0</v>
      </c>
      <c r="AG219" s="127" t="str">
        <f>IF(AA219=0,"",Calculator!$B$6)</f>
        <v/>
      </c>
      <c r="AH219" s="127" t="e">
        <f>(AF219/Calculator!$B$10)*Calculator!$B$9</f>
        <v>#DIV/0!</v>
      </c>
      <c r="AI219" s="144" t="str">
        <f t="shared" si="7"/>
        <v/>
      </c>
    </row>
    <row r="220" spans="32:35" ht="15.75" customHeight="1">
      <c r="AF220" s="127">
        <f t="shared" si="6"/>
        <v>0</v>
      </c>
      <c r="AG220" s="127" t="str">
        <f>IF(AA220=0,"",Calculator!$B$6)</f>
        <v/>
      </c>
      <c r="AH220" s="127" t="e">
        <f>(AF220/Calculator!$B$10)*Calculator!$B$9</f>
        <v>#DIV/0!</v>
      </c>
      <c r="AI220" s="144" t="str">
        <f t="shared" si="7"/>
        <v/>
      </c>
    </row>
    <row r="221" spans="32:35" ht="15.75" customHeight="1">
      <c r="AF221" s="127">
        <f t="shared" si="6"/>
        <v>0</v>
      </c>
      <c r="AG221" s="127" t="str">
        <f>IF(AA221=0,"",Calculator!$B$6)</f>
        <v/>
      </c>
      <c r="AH221" s="127" t="e">
        <f>(AF221/Calculator!$B$10)*Calculator!$B$9</f>
        <v>#DIV/0!</v>
      </c>
      <c r="AI221" s="144" t="str">
        <f t="shared" si="7"/>
        <v/>
      </c>
    </row>
    <row r="222" spans="32:35" ht="15.75" customHeight="1">
      <c r="AF222" s="127">
        <f t="shared" si="6"/>
        <v>0</v>
      </c>
      <c r="AG222" s="127" t="str">
        <f>IF(AA222=0,"",Calculator!$B$6)</f>
        <v/>
      </c>
      <c r="AH222" s="127" t="e">
        <f>(AF222/Calculator!$B$10)*Calculator!$B$9</f>
        <v>#DIV/0!</v>
      </c>
      <c r="AI222" s="144" t="str">
        <f t="shared" si="7"/>
        <v/>
      </c>
    </row>
    <row r="223" spans="32:35" ht="15.75" customHeight="1">
      <c r="AF223" s="127">
        <f t="shared" si="6"/>
        <v>0</v>
      </c>
      <c r="AG223" s="127" t="str">
        <f>IF(AA223=0,"",Calculator!$B$6)</f>
        <v/>
      </c>
      <c r="AH223" s="127" t="e">
        <f>(AF223/Calculator!$B$10)*Calculator!$B$9</f>
        <v>#DIV/0!</v>
      </c>
      <c r="AI223" s="144" t="str">
        <f t="shared" si="7"/>
        <v/>
      </c>
    </row>
    <row r="224" spans="32:35" ht="15.75" customHeight="1">
      <c r="AF224" s="127">
        <f t="shared" si="6"/>
        <v>0</v>
      </c>
      <c r="AG224" s="127" t="str">
        <f>IF(AA224=0,"",Calculator!$B$6)</f>
        <v/>
      </c>
      <c r="AH224" s="127" t="e">
        <f>(AF224/Calculator!$B$10)*Calculator!$B$9</f>
        <v>#DIV/0!</v>
      </c>
      <c r="AI224" s="144" t="str">
        <f t="shared" si="7"/>
        <v/>
      </c>
    </row>
    <row r="225" spans="32:35" ht="15.75" customHeight="1">
      <c r="AF225" s="127">
        <f t="shared" si="6"/>
        <v>0</v>
      </c>
      <c r="AG225" s="127" t="str">
        <f>IF(AA225=0,"",Calculator!$B$6)</f>
        <v/>
      </c>
      <c r="AH225" s="127" t="e">
        <f>(AF225/Calculator!$B$10)*Calculator!$B$9</f>
        <v>#DIV/0!</v>
      </c>
      <c r="AI225" s="144" t="str">
        <f t="shared" si="7"/>
        <v/>
      </c>
    </row>
    <row r="226" spans="32:35" ht="15.75" customHeight="1">
      <c r="AF226" s="127">
        <f t="shared" si="6"/>
        <v>0</v>
      </c>
      <c r="AG226" s="127" t="str">
        <f>IF(AA226=0,"",Calculator!$B$6)</f>
        <v/>
      </c>
      <c r="AH226" s="127" t="e">
        <f>(AF226/Calculator!$B$10)*Calculator!$B$9</f>
        <v>#DIV/0!</v>
      </c>
      <c r="AI226" s="144" t="str">
        <f t="shared" si="7"/>
        <v/>
      </c>
    </row>
    <row r="227" spans="32:35" ht="15.75" customHeight="1">
      <c r="AF227" s="127">
        <f t="shared" si="6"/>
        <v>0</v>
      </c>
      <c r="AG227" s="127" t="str">
        <f>IF(AA227=0,"",Calculator!$B$6)</f>
        <v/>
      </c>
      <c r="AH227" s="127" t="e">
        <f>(AF227/Calculator!$B$10)*Calculator!$B$9</f>
        <v>#DIV/0!</v>
      </c>
      <c r="AI227" s="144" t="str">
        <f t="shared" si="7"/>
        <v/>
      </c>
    </row>
    <row r="228" spans="32:35" ht="15.75" customHeight="1">
      <c r="AF228" s="127">
        <f t="shared" si="6"/>
        <v>0</v>
      </c>
      <c r="AG228" s="127" t="str">
        <f>IF(AA228=0,"",Calculator!$B$6)</f>
        <v/>
      </c>
      <c r="AH228" s="127" t="e">
        <f>(AF228/Calculator!$B$10)*Calculator!$B$9</f>
        <v>#DIV/0!</v>
      </c>
      <c r="AI228" s="144" t="str">
        <f t="shared" si="7"/>
        <v/>
      </c>
    </row>
    <row r="229" spans="32:35" ht="15.75" customHeight="1">
      <c r="AF229" s="127">
        <f t="shared" si="6"/>
        <v>0</v>
      </c>
      <c r="AG229" s="127" t="str">
        <f>IF(AA229=0,"",Calculator!$B$6)</f>
        <v/>
      </c>
      <c r="AH229" s="127" t="e">
        <f>(AF229/Calculator!$B$10)*Calculator!$B$9</f>
        <v>#DIV/0!</v>
      </c>
      <c r="AI229" s="144" t="str">
        <f t="shared" si="7"/>
        <v/>
      </c>
    </row>
    <row r="230" spans="32:35" ht="15.75" customHeight="1">
      <c r="AF230" s="127">
        <f t="shared" si="6"/>
        <v>0</v>
      </c>
      <c r="AG230" s="127" t="str">
        <f>IF(AA230=0,"",Calculator!$B$6)</f>
        <v/>
      </c>
      <c r="AH230" s="127" t="e">
        <f>(AF230/Calculator!$B$10)*Calculator!$B$9</f>
        <v>#DIV/0!</v>
      </c>
      <c r="AI230" s="144" t="str">
        <f t="shared" si="7"/>
        <v/>
      </c>
    </row>
    <row r="231" spans="32:35" ht="15.75" customHeight="1">
      <c r="AF231" s="127">
        <f t="shared" si="6"/>
        <v>0</v>
      </c>
      <c r="AG231" s="127" t="str">
        <f>IF(AA231=0,"",Calculator!$B$6)</f>
        <v/>
      </c>
      <c r="AH231" s="127" t="e">
        <f>(AF231/Calculator!$B$10)*Calculator!$B$9</f>
        <v>#DIV/0!</v>
      </c>
      <c r="AI231" s="144" t="str">
        <f t="shared" si="7"/>
        <v/>
      </c>
    </row>
    <row r="232" spans="32:35" ht="15.75" customHeight="1">
      <c r="AF232" s="127">
        <f t="shared" si="6"/>
        <v>0</v>
      </c>
      <c r="AG232" s="127" t="str">
        <f>IF(AA232=0,"",Calculator!$B$6)</f>
        <v/>
      </c>
      <c r="AH232" s="127" t="e">
        <f>(AF232/Calculator!$B$10)*Calculator!$B$9</f>
        <v>#DIV/0!</v>
      </c>
      <c r="AI232" s="144" t="str">
        <f t="shared" si="7"/>
        <v/>
      </c>
    </row>
    <row r="233" spans="32:35" ht="15.75" customHeight="1">
      <c r="AF233" s="127">
        <f t="shared" si="6"/>
        <v>0</v>
      </c>
      <c r="AG233" s="127" t="str">
        <f>IF(AA233=0,"",Calculator!$B$6)</f>
        <v/>
      </c>
      <c r="AH233" s="127" t="e">
        <f>(AF233/Calculator!$B$10)*Calculator!$B$9</f>
        <v>#DIV/0!</v>
      </c>
      <c r="AI233" s="144" t="str">
        <f t="shared" si="7"/>
        <v/>
      </c>
    </row>
    <row r="234" spans="32:35" ht="15.75" customHeight="1">
      <c r="AF234" s="127">
        <f t="shared" si="6"/>
        <v>0</v>
      </c>
      <c r="AG234" s="127" t="str">
        <f>IF(AA234=0,"",Calculator!$B$6)</f>
        <v/>
      </c>
      <c r="AH234" s="127" t="e">
        <f>(AF234/Calculator!$B$10)*Calculator!$B$9</f>
        <v>#DIV/0!</v>
      </c>
      <c r="AI234" s="144" t="str">
        <f t="shared" si="7"/>
        <v/>
      </c>
    </row>
    <row r="235" spans="32:35" ht="15.75" customHeight="1">
      <c r="AF235" s="127">
        <f t="shared" si="6"/>
        <v>0</v>
      </c>
      <c r="AG235" s="127" t="str">
        <f>IF(AA235=0,"",Calculator!$B$6)</f>
        <v/>
      </c>
      <c r="AH235" s="127" t="e">
        <f>(AF235/Calculator!$B$10)*Calculator!$B$9</f>
        <v>#DIV/0!</v>
      </c>
      <c r="AI235" s="144" t="str">
        <f t="shared" si="7"/>
        <v/>
      </c>
    </row>
    <row r="236" spans="32:35" ht="15.75" customHeight="1">
      <c r="AF236" s="127">
        <f t="shared" si="6"/>
        <v>0</v>
      </c>
      <c r="AG236" s="127" t="str">
        <f>IF(AA236=0,"",Calculator!$B$6)</f>
        <v/>
      </c>
      <c r="AH236" s="127" t="e">
        <f>(AF236/Calculator!$B$10)*Calculator!$B$9</f>
        <v>#DIV/0!</v>
      </c>
      <c r="AI236" s="144" t="str">
        <f t="shared" si="7"/>
        <v/>
      </c>
    </row>
    <row r="237" spans="32:35" ht="15.75" customHeight="1">
      <c r="AF237" s="127">
        <f t="shared" si="6"/>
        <v>0</v>
      </c>
      <c r="AG237" s="127" t="str">
        <f>IF(AA237=0,"",Calculator!$B$6)</f>
        <v/>
      </c>
      <c r="AH237" s="127" t="e">
        <f>(AF237/Calculator!$B$10)*Calculator!$B$9</f>
        <v>#DIV/0!</v>
      </c>
      <c r="AI237" s="144" t="str">
        <f t="shared" si="7"/>
        <v/>
      </c>
    </row>
    <row r="238" spans="32:35" ht="15.75" customHeight="1">
      <c r="AF238" s="127">
        <f t="shared" si="6"/>
        <v>0</v>
      </c>
      <c r="AG238" s="127" t="str">
        <f>IF(AA238=0,"",Calculator!$B$6)</f>
        <v/>
      </c>
      <c r="AH238" s="127" t="e">
        <f>(AF238/Calculator!$B$10)*Calculator!$B$9</f>
        <v>#DIV/0!</v>
      </c>
      <c r="AI238" s="144" t="str">
        <f t="shared" si="7"/>
        <v/>
      </c>
    </row>
    <row r="239" spans="32:35" ht="15.75" customHeight="1">
      <c r="AF239" s="127">
        <f t="shared" si="6"/>
        <v>0</v>
      </c>
      <c r="AG239" s="127" t="str">
        <f>IF(AA239=0,"",Calculator!$B$6)</f>
        <v/>
      </c>
      <c r="AH239" s="127" t="e">
        <f>(AF239/Calculator!$B$10)*Calculator!$B$9</f>
        <v>#DIV/0!</v>
      </c>
      <c r="AI239" s="144" t="str">
        <f t="shared" si="7"/>
        <v/>
      </c>
    </row>
    <row r="240" spans="32:35" ht="15.75" customHeight="1">
      <c r="AF240" s="127">
        <f t="shared" si="6"/>
        <v>0</v>
      </c>
      <c r="AG240" s="127" t="str">
        <f>IF(AA240=0,"",Calculator!$B$6)</f>
        <v/>
      </c>
      <c r="AH240" s="127" t="e">
        <f>(AF240/Calculator!$B$10)*Calculator!$B$9</f>
        <v>#DIV/0!</v>
      </c>
      <c r="AI240" s="144" t="str">
        <f t="shared" si="7"/>
        <v/>
      </c>
    </row>
    <row r="241" spans="32:35" ht="15.75" customHeight="1">
      <c r="AF241" s="127">
        <f t="shared" si="6"/>
        <v>0</v>
      </c>
      <c r="AG241" s="127" t="str">
        <f>IF(AA241=0,"",Calculator!$B$6)</f>
        <v/>
      </c>
      <c r="AH241" s="127" t="e">
        <f>(AF241/Calculator!$B$10)*Calculator!$B$9</f>
        <v>#DIV/0!</v>
      </c>
      <c r="AI241" s="144" t="str">
        <f t="shared" si="7"/>
        <v/>
      </c>
    </row>
    <row r="242" spans="32:35" ht="15.75" customHeight="1">
      <c r="AF242" s="127">
        <f t="shared" si="6"/>
        <v>0</v>
      </c>
      <c r="AG242" s="127" t="str">
        <f>IF(AA242=0,"",Calculator!$B$6)</f>
        <v/>
      </c>
      <c r="AH242" s="127" t="e">
        <f>(AF242/Calculator!$B$10)*Calculator!$B$9</f>
        <v>#DIV/0!</v>
      </c>
      <c r="AI242" s="144" t="str">
        <f t="shared" si="7"/>
        <v/>
      </c>
    </row>
    <row r="243" spans="32:35" ht="15.75" customHeight="1">
      <c r="AF243" s="127">
        <f t="shared" si="6"/>
        <v>0</v>
      </c>
      <c r="AG243" s="127" t="str">
        <f>IF(AA243=0,"",Calculator!$B$6)</f>
        <v/>
      </c>
      <c r="AH243" s="127" t="e">
        <f>(AF243/Calculator!$B$10)*Calculator!$B$9</f>
        <v>#DIV/0!</v>
      </c>
      <c r="AI243" s="144" t="str">
        <f t="shared" si="7"/>
        <v/>
      </c>
    </row>
    <row r="244" spans="32:35" ht="15.75" customHeight="1">
      <c r="AF244" s="127">
        <f t="shared" si="6"/>
        <v>0</v>
      </c>
      <c r="AG244" s="127" t="str">
        <f>IF(AA244=0,"",Calculator!$B$6)</f>
        <v/>
      </c>
      <c r="AH244" s="127" t="e">
        <f>(AF244/Calculator!$B$10)*Calculator!$B$9</f>
        <v>#DIV/0!</v>
      </c>
      <c r="AI244" s="144" t="str">
        <f t="shared" si="7"/>
        <v/>
      </c>
    </row>
    <row r="245" spans="32:35" ht="15.75" customHeight="1">
      <c r="AF245" s="127">
        <f t="shared" si="6"/>
        <v>0</v>
      </c>
      <c r="AG245" s="127" t="str">
        <f>IF(AA245=0,"",Calculator!$B$6)</f>
        <v/>
      </c>
      <c r="AH245" s="127" t="e">
        <f>(AF245/Calculator!$B$10)*Calculator!$B$9</f>
        <v>#DIV/0!</v>
      </c>
      <c r="AI245" s="144" t="str">
        <f t="shared" si="7"/>
        <v/>
      </c>
    </row>
    <row r="246" spans="32:35" ht="15.75" customHeight="1">
      <c r="AF246" s="127">
        <f t="shared" si="6"/>
        <v>0</v>
      </c>
      <c r="AG246" s="127" t="str">
        <f>IF(AA246=0,"",Calculator!$B$6)</f>
        <v/>
      </c>
      <c r="AH246" s="127" t="e">
        <f>(AF246/Calculator!$B$10)*Calculator!$B$9</f>
        <v>#DIV/0!</v>
      </c>
      <c r="AI246" s="144" t="str">
        <f t="shared" si="7"/>
        <v/>
      </c>
    </row>
    <row r="247" spans="32:35" ht="15.75" customHeight="1">
      <c r="AF247" s="127">
        <f t="shared" si="6"/>
        <v>0</v>
      </c>
      <c r="AG247" s="127" t="str">
        <f>IF(AA247=0,"",Calculator!$B$6)</f>
        <v/>
      </c>
      <c r="AH247" s="127" t="e">
        <f>(AF247/Calculator!$B$10)*Calculator!$B$9</f>
        <v>#DIV/0!</v>
      </c>
      <c r="AI247" s="144" t="str">
        <f t="shared" si="7"/>
        <v/>
      </c>
    </row>
    <row r="248" spans="32:35" ht="15.75" customHeight="1">
      <c r="AF248" s="127">
        <f t="shared" si="6"/>
        <v>0</v>
      </c>
      <c r="AG248" s="127" t="str">
        <f>IF(AA248=0,"",Calculator!$B$6)</f>
        <v/>
      </c>
      <c r="AH248" s="127" t="e">
        <f>(AF248/Calculator!$B$10)*Calculator!$B$9</f>
        <v>#DIV/0!</v>
      </c>
      <c r="AI248" s="144" t="str">
        <f t="shared" si="7"/>
        <v/>
      </c>
    </row>
    <row r="249" spans="32:35" ht="15.75" customHeight="1">
      <c r="AF249" s="127">
        <f t="shared" si="6"/>
        <v>0</v>
      </c>
      <c r="AG249" s="127" t="str">
        <f>IF(AA249=0,"",Calculator!$B$6)</f>
        <v/>
      </c>
      <c r="AH249" s="127" t="e">
        <f>(AF249/Calculator!$B$10)*Calculator!$B$9</f>
        <v>#DIV/0!</v>
      </c>
      <c r="AI249" s="144" t="str">
        <f t="shared" si="7"/>
        <v/>
      </c>
    </row>
    <row r="250" spans="32:35" ht="15.75" customHeight="1">
      <c r="AF250" s="127">
        <f t="shared" si="6"/>
        <v>0</v>
      </c>
      <c r="AG250" s="127" t="str">
        <f>IF(AA250=0,"",Calculator!$B$6)</f>
        <v/>
      </c>
      <c r="AH250" s="127" t="e">
        <f>(AF250/Calculator!$B$10)*Calculator!$B$9</f>
        <v>#DIV/0!</v>
      </c>
      <c r="AI250" s="144" t="str">
        <f t="shared" si="7"/>
        <v/>
      </c>
    </row>
    <row r="251" spans="32:35" ht="15.75" customHeight="1">
      <c r="AF251" s="127">
        <f t="shared" si="6"/>
        <v>0</v>
      </c>
      <c r="AG251" s="127" t="str">
        <f>IF(AA251=0,"",Calculator!$B$6)</f>
        <v/>
      </c>
      <c r="AH251" s="127" t="e">
        <f>(AF251/Calculator!$B$10)*Calculator!$B$9</f>
        <v>#DIV/0!</v>
      </c>
      <c r="AI251" s="144" t="str">
        <f t="shared" si="7"/>
        <v/>
      </c>
    </row>
    <row r="252" spans="32:35" ht="15.75" customHeight="1">
      <c r="AF252" s="127">
        <f t="shared" si="6"/>
        <v>0</v>
      </c>
      <c r="AG252" s="127" t="str">
        <f>IF(AA252=0,"",Calculator!$B$6)</f>
        <v/>
      </c>
      <c r="AH252" s="127" t="e">
        <f>(AF252/Calculator!$B$10)*Calculator!$B$9</f>
        <v>#DIV/0!</v>
      </c>
      <c r="AI252" s="144" t="str">
        <f t="shared" si="7"/>
        <v/>
      </c>
    </row>
    <row r="253" spans="32:35" ht="15.75" customHeight="1">
      <c r="AF253" s="127">
        <f t="shared" si="6"/>
        <v>0</v>
      </c>
      <c r="AG253" s="127" t="str">
        <f>IF(AA253=0,"",Calculator!$B$6)</f>
        <v/>
      </c>
      <c r="AH253" s="127" t="e">
        <f>(AF253/Calculator!$B$10)*Calculator!$B$9</f>
        <v>#DIV/0!</v>
      </c>
      <c r="AI253" s="144" t="str">
        <f t="shared" si="7"/>
        <v/>
      </c>
    </row>
    <row r="254" spans="32:35" ht="15.75" customHeight="1">
      <c r="AF254" s="127">
        <f t="shared" si="6"/>
        <v>0</v>
      </c>
      <c r="AG254" s="127" t="str">
        <f>IF(AA254=0,"",Calculator!$B$6)</f>
        <v/>
      </c>
      <c r="AH254" s="127" t="e">
        <f>(AF254/Calculator!$B$10)*Calculator!$B$9</f>
        <v>#DIV/0!</v>
      </c>
      <c r="AI254" s="144" t="str">
        <f t="shared" si="7"/>
        <v/>
      </c>
    </row>
    <row r="255" spans="32:35" ht="15.75" customHeight="1">
      <c r="AF255" s="127">
        <f t="shared" si="6"/>
        <v>0</v>
      </c>
      <c r="AG255" s="127" t="str">
        <f>IF(AA255=0,"",Calculator!$B$6)</f>
        <v/>
      </c>
      <c r="AH255" s="127" t="e">
        <f>(AF255/Calculator!$B$10)*Calculator!$B$9</f>
        <v>#DIV/0!</v>
      </c>
      <c r="AI255" s="144" t="str">
        <f t="shared" si="7"/>
        <v/>
      </c>
    </row>
    <row r="256" spans="32:35" ht="15.75" customHeight="1">
      <c r="AF256" s="127">
        <f t="shared" si="6"/>
        <v>0</v>
      </c>
      <c r="AG256" s="127" t="str">
        <f>IF(AA256=0,"",Calculator!$B$6)</f>
        <v/>
      </c>
      <c r="AH256" s="127" t="e">
        <f>(AF256/Calculator!$B$10)*Calculator!$B$9</f>
        <v>#DIV/0!</v>
      </c>
      <c r="AI256" s="144" t="str">
        <f t="shared" si="7"/>
        <v/>
      </c>
    </row>
    <row r="257" spans="32:35" ht="15.75" customHeight="1">
      <c r="AF257" s="127">
        <f t="shared" si="6"/>
        <v>0</v>
      </c>
      <c r="AG257" s="127" t="str">
        <f>IF(AA257=0,"",Calculator!$B$6)</f>
        <v/>
      </c>
      <c r="AH257" s="127" t="e">
        <f>(AF257/Calculator!$B$10)*Calculator!$B$9</f>
        <v>#DIV/0!</v>
      </c>
      <c r="AI257" s="144" t="str">
        <f t="shared" si="7"/>
        <v/>
      </c>
    </row>
    <row r="258" spans="32:35" ht="15.75" customHeight="1">
      <c r="AF258" s="127">
        <f t="shared" si="6"/>
        <v>0</v>
      </c>
      <c r="AG258" s="127" t="str">
        <f>IF(AA258=0,"",Calculator!$B$6)</f>
        <v/>
      </c>
      <c r="AH258" s="127" t="e">
        <f>(AF258/Calculator!$B$10)*Calculator!$B$9</f>
        <v>#DIV/0!</v>
      </c>
      <c r="AI258" s="144" t="str">
        <f t="shared" si="7"/>
        <v/>
      </c>
    </row>
    <row r="259" spans="32:35" ht="15.75" customHeight="1">
      <c r="AF259" s="127">
        <f t="shared" si="6"/>
        <v>0</v>
      </c>
      <c r="AG259" s="127" t="str">
        <f>IF(AA259=0,"",Calculator!$B$6)</f>
        <v/>
      </c>
      <c r="AH259" s="127" t="e">
        <f>(AF259/Calculator!$B$10)*Calculator!$B$9</f>
        <v>#DIV/0!</v>
      </c>
      <c r="AI259" s="144" t="str">
        <f t="shared" si="7"/>
        <v/>
      </c>
    </row>
    <row r="260" spans="32:35" ht="15.75" customHeight="1">
      <c r="AF260" s="127">
        <f t="shared" si="6"/>
        <v>0</v>
      </c>
      <c r="AG260" s="127" t="str">
        <f>IF(AA260=0,"",Calculator!$B$6)</f>
        <v/>
      </c>
      <c r="AH260" s="127" t="e">
        <f>(AF260/Calculator!$B$10)*Calculator!$B$9</f>
        <v>#DIV/0!</v>
      </c>
      <c r="AI260" s="144" t="str">
        <f t="shared" si="7"/>
        <v/>
      </c>
    </row>
    <row r="261" spans="32:35" ht="15.75" customHeight="1">
      <c r="AF261" s="127">
        <f t="shared" si="6"/>
        <v>0</v>
      </c>
      <c r="AG261" s="127" t="str">
        <f>IF(AA261=0,"",Calculator!$B$6)</f>
        <v/>
      </c>
      <c r="AH261" s="127" t="e">
        <f>(AF261/Calculator!$B$10)*Calculator!$B$9</f>
        <v>#DIV/0!</v>
      </c>
      <c r="AI261" s="144" t="str">
        <f t="shared" si="7"/>
        <v/>
      </c>
    </row>
    <row r="262" spans="32:35" ht="15.75" customHeight="1">
      <c r="AF262" s="127">
        <f t="shared" si="6"/>
        <v>0</v>
      </c>
      <c r="AG262" s="127" t="str">
        <f>IF(AA262=0,"",Calculator!$B$6)</f>
        <v/>
      </c>
      <c r="AH262" s="127" t="e">
        <f>(AF262/Calculator!$B$10)*Calculator!$B$9</f>
        <v>#DIV/0!</v>
      </c>
      <c r="AI262" s="144" t="str">
        <f t="shared" si="7"/>
        <v/>
      </c>
    </row>
    <row r="263" spans="32:35" ht="15.75" customHeight="1">
      <c r="AF263" s="127">
        <f t="shared" si="6"/>
        <v>0</v>
      </c>
      <c r="AG263" s="127" t="str">
        <f>IF(AA263=0,"",Calculator!$B$6)</f>
        <v/>
      </c>
      <c r="AH263" s="127" t="e">
        <f>(AF263/Calculator!$B$10)*Calculator!$B$9</f>
        <v>#DIV/0!</v>
      </c>
      <c r="AI263" s="144" t="str">
        <f t="shared" si="7"/>
        <v/>
      </c>
    </row>
    <row r="264" spans="32:35" ht="15.75" customHeight="1">
      <c r="AF264" s="127">
        <f t="shared" si="6"/>
        <v>0</v>
      </c>
      <c r="AG264" s="127" t="str">
        <f>IF(AA264=0,"",Calculator!$B$6)</f>
        <v/>
      </c>
      <c r="AH264" s="127" t="e">
        <f>(AF264/Calculator!$B$10)*Calculator!$B$9</f>
        <v>#DIV/0!</v>
      </c>
      <c r="AI264" s="144" t="str">
        <f t="shared" si="7"/>
        <v/>
      </c>
    </row>
    <row r="265" spans="32:35" ht="15.75" customHeight="1">
      <c r="AF265" s="127">
        <f t="shared" si="6"/>
        <v>0</v>
      </c>
      <c r="AG265" s="127" t="str">
        <f>IF(AA265=0,"",Calculator!$B$6)</f>
        <v/>
      </c>
      <c r="AH265" s="127" t="e">
        <f>(AF265/Calculator!$B$10)*Calculator!$B$9</f>
        <v>#DIV/0!</v>
      </c>
      <c r="AI265" s="144" t="str">
        <f t="shared" si="7"/>
        <v/>
      </c>
    </row>
    <row r="266" spans="32:35" ht="15.75" customHeight="1">
      <c r="AF266" s="127">
        <f t="shared" ref="AF266:AF329" si="8">IFERROR(AA266*AG266,0)</f>
        <v>0</v>
      </c>
      <c r="AG266" s="127" t="str">
        <f>IF(AA266=0,"",Calculator!$B$6)</f>
        <v/>
      </c>
      <c r="AH266" s="127" t="e">
        <f>(AF266/Calculator!$B$10)*Calculator!$B$9</f>
        <v>#DIV/0!</v>
      </c>
      <c r="AI266" s="144" t="str">
        <f t="shared" ref="AI266:AI329" si="9">IF(ISBLANK(AA266),"","RS Means")</f>
        <v/>
      </c>
    </row>
    <row r="267" spans="32:35" ht="15.75" customHeight="1">
      <c r="AF267" s="127">
        <f t="shared" si="8"/>
        <v>0</v>
      </c>
      <c r="AG267" s="127" t="str">
        <f>IF(AA267=0,"",Calculator!$B$6)</f>
        <v/>
      </c>
      <c r="AH267" s="127" t="e">
        <f>(AF267/Calculator!$B$10)*Calculator!$B$9</f>
        <v>#DIV/0!</v>
      </c>
      <c r="AI267" s="144" t="str">
        <f t="shared" si="9"/>
        <v/>
      </c>
    </row>
    <row r="268" spans="32:35" ht="15.75" customHeight="1">
      <c r="AF268" s="127">
        <f t="shared" si="8"/>
        <v>0</v>
      </c>
      <c r="AG268" s="127" t="str">
        <f>IF(AA268=0,"",Calculator!$B$6)</f>
        <v/>
      </c>
      <c r="AH268" s="127" t="e">
        <f>(AF268/Calculator!$B$10)*Calculator!$B$9</f>
        <v>#DIV/0!</v>
      </c>
      <c r="AI268" s="144" t="str">
        <f t="shared" si="9"/>
        <v/>
      </c>
    </row>
    <row r="269" spans="32:35" ht="15.75" customHeight="1">
      <c r="AF269" s="127">
        <f t="shared" si="8"/>
        <v>0</v>
      </c>
      <c r="AG269" s="127" t="str">
        <f>IF(AA269=0,"",Calculator!$B$6)</f>
        <v/>
      </c>
      <c r="AH269" s="127" t="e">
        <f>(AF269/Calculator!$B$10)*Calculator!$B$9</f>
        <v>#DIV/0!</v>
      </c>
      <c r="AI269" s="144" t="str">
        <f t="shared" si="9"/>
        <v/>
      </c>
    </row>
    <row r="270" spans="32:35" ht="15.75" customHeight="1">
      <c r="AF270" s="127">
        <f t="shared" si="8"/>
        <v>0</v>
      </c>
      <c r="AG270" s="127" t="str">
        <f>IF(AA270=0,"",Calculator!$B$6)</f>
        <v/>
      </c>
      <c r="AH270" s="127" t="e">
        <f>(AF270/Calculator!$B$10)*Calculator!$B$9</f>
        <v>#DIV/0!</v>
      </c>
      <c r="AI270" s="144" t="str">
        <f t="shared" si="9"/>
        <v/>
      </c>
    </row>
    <row r="271" spans="32:35" ht="15.75" customHeight="1">
      <c r="AF271" s="127">
        <f t="shared" si="8"/>
        <v>0</v>
      </c>
      <c r="AG271" s="127" t="str">
        <f>IF(AA271=0,"",Calculator!$B$6)</f>
        <v/>
      </c>
      <c r="AH271" s="127" t="e">
        <f>(AF271/Calculator!$B$10)*Calculator!$B$9</f>
        <v>#DIV/0!</v>
      </c>
      <c r="AI271" s="144" t="str">
        <f t="shared" si="9"/>
        <v/>
      </c>
    </row>
    <row r="272" spans="32:35" ht="15.75" customHeight="1">
      <c r="AF272" s="127">
        <f t="shared" si="8"/>
        <v>0</v>
      </c>
      <c r="AG272" s="127" t="str">
        <f>IF(AA272=0,"",Calculator!$B$6)</f>
        <v/>
      </c>
      <c r="AH272" s="127" t="e">
        <f>(AF272/Calculator!$B$10)*Calculator!$B$9</f>
        <v>#DIV/0!</v>
      </c>
      <c r="AI272" s="144" t="str">
        <f t="shared" si="9"/>
        <v/>
      </c>
    </row>
    <row r="273" spans="32:35" ht="15.75" customHeight="1">
      <c r="AF273" s="127">
        <f t="shared" si="8"/>
        <v>0</v>
      </c>
      <c r="AG273" s="127" t="str">
        <f>IF(AA273=0,"",Calculator!$B$6)</f>
        <v/>
      </c>
      <c r="AH273" s="127" t="e">
        <f>(AF273/Calculator!$B$10)*Calculator!$B$9</f>
        <v>#DIV/0!</v>
      </c>
      <c r="AI273" s="144" t="str">
        <f t="shared" si="9"/>
        <v/>
      </c>
    </row>
    <row r="274" spans="32:35" ht="15.75" customHeight="1">
      <c r="AF274" s="127">
        <f t="shared" si="8"/>
        <v>0</v>
      </c>
      <c r="AG274" s="127" t="str">
        <f>IF(AA274=0,"",Calculator!$B$6)</f>
        <v/>
      </c>
      <c r="AH274" s="127" t="e">
        <f>(AF274/Calculator!$B$10)*Calculator!$B$9</f>
        <v>#DIV/0!</v>
      </c>
      <c r="AI274" s="144" t="str">
        <f t="shared" si="9"/>
        <v/>
      </c>
    </row>
    <row r="275" spans="32:35" ht="15.75" customHeight="1">
      <c r="AF275" s="127">
        <f t="shared" si="8"/>
        <v>0</v>
      </c>
      <c r="AG275" s="127" t="str">
        <f>IF(AA275=0,"",Calculator!$B$6)</f>
        <v/>
      </c>
      <c r="AH275" s="127" t="e">
        <f>(AF275/Calculator!$B$10)*Calculator!$B$9</f>
        <v>#DIV/0!</v>
      </c>
      <c r="AI275" s="144" t="str">
        <f t="shared" si="9"/>
        <v/>
      </c>
    </row>
    <row r="276" spans="32:35" ht="15.75" customHeight="1">
      <c r="AF276" s="127">
        <f t="shared" si="8"/>
        <v>0</v>
      </c>
      <c r="AG276" s="127" t="str">
        <f>IF(AA276=0,"",Calculator!$B$6)</f>
        <v/>
      </c>
      <c r="AH276" s="127" t="e">
        <f>(AF276/Calculator!$B$10)*Calculator!$B$9</f>
        <v>#DIV/0!</v>
      </c>
      <c r="AI276" s="144" t="str">
        <f t="shared" si="9"/>
        <v/>
      </c>
    </row>
    <row r="277" spans="32:35" ht="15.75" customHeight="1">
      <c r="AF277" s="127">
        <f t="shared" si="8"/>
        <v>0</v>
      </c>
      <c r="AG277" s="127" t="str">
        <f>IF(AA277=0,"",Calculator!$B$6)</f>
        <v/>
      </c>
      <c r="AH277" s="127" t="e">
        <f>(AF277/Calculator!$B$10)*Calculator!$B$9</f>
        <v>#DIV/0!</v>
      </c>
      <c r="AI277" s="144" t="str">
        <f t="shared" si="9"/>
        <v/>
      </c>
    </row>
    <row r="278" spans="32:35" ht="15.75" customHeight="1">
      <c r="AF278" s="127">
        <f t="shared" si="8"/>
        <v>0</v>
      </c>
      <c r="AG278" s="127" t="str">
        <f>IF(AA278=0,"",Calculator!$B$6)</f>
        <v/>
      </c>
      <c r="AH278" s="127" t="e">
        <f>(AF278/Calculator!$B$10)*Calculator!$B$9</f>
        <v>#DIV/0!</v>
      </c>
      <c r="AI278" s="144" t="str">
        <f t="shared" si="9"/>
        <v/>
      </c>
    </row>
    <row r="279" spans="32:35" ht="15.75" customHeight="1">
      <c r="AF279" s="127">
        <f t="shared" si="8"/>
        <v>0</v>
      </c>
      <c r="AG279" s="127" t="str">
        <f>IF(AA279=0,"",Calculator!$B$6)</f>
        <v/>
      </c>
      <c r="AH279" s="127" t="e">
        <f>(AF279/Calculator!$B$10)*Calculator!$B$9</f>
        <v>#DIV/0!</v>
      </c>
      <c r="AI279" s="144" t="str">
        <f t="shared" si="9"/>
        <v/>
      </c>
    </row>
    <row r="280" spans="32:35" ht="15.75" customHeight="1">
      <c r="AF280" s="127">
        <f t="shared" si="8"/>
        <v>0</v>
      </c>
      <c r="AG280" s="127" t="str">
        <f>IF(AA280=0,"",Calculator!$B$6)</f>
        <v/>
      </c>
      <c r="AH280" s="127" t="e">
        <f>(AF280/Calculator!$B$10)*Calculator!$B$9</f>
        <v>#DIV/0!</v>
      </c>
      <c r="AI280" s="144" t="str">
        <f t="shared" si="9"/>
        <v/>
      </c>
    </row>
    <row r="281" spans="32:35" ht="15.75" customHeight="1">
      <c r="AF281" s="127">
        <f t="shared" si="8"/>
        <v>0</v>
      </c>
      <c r="AG281" s="127" t="str">
        <f>IF(AA281=0,"",Calculator!$B$6)</f>
        <v/>
      </c>
      <c r="AH281" s="127" t="e">
        <f>(AF281/Calculator!$B$10)*Calculator!$B$9</f>
        <v>#DIV/0!</v>
      </c>
      <c r="AI281" s="144" t="str">
        <f t="shared" si="9"/>
        <v/>
      </c>
    </row>
    <row r="282" spans="32:35" ht="15.75" customHeight="1">
      <c r="AF282" s="127">
        <f t="shared" si="8"/>
        <v>0</v>
      </c>
      <c r="AG282" s="127" t="str">
        <f>IF(AA282=0,"",Calculator!$B$6)</f>
        <v/>
      </c>
      <c r="AH282" s="127" t="e">
        <f>(AF282/Calculator!$B$10)*Calculator!$B$9</f>
        <v>#DIV/0!</v>
      </c>
      <c r="AI282" s="144" t="str">
        <f t="shared" si="9"/>
        <v/>
      </c>
    </row>
    <row r="283" spans="32:35" ht="15.75" customHeight="1">
      <c r="AF283" s="127">
        <f t="shared" si="8"/>
        <v>0</v>
      </c>
      <c r="AG283" s="127" t="str">
        <f>IF(AA283=0,"",Calculator!$B$6)</f>
        <v/>
      </c>
      <c r="AH283" s="127" t="e">
        <f>(AF283/Calculator!$B$10)*Calculator!$B$9</f>
        <v>#DIV/0!</v>
      </c>
      <c r="AI283" s="144" t="str">
        <f t="shared" si="9"/>
        <v/>
      </c>
    </row>
    <row r="284" spans="32:35" ht="15.75" customHeight="1">
      <c r="AF284" s="127">
        <f t="shared" si="8"/>
        <v>0</v>
      </c>
      <c r="AG284" s="127" t="str">
        <f>IF(AA284=0,"",Calculator!$B$6)</f>
        <v/>
      </c>
      <c r="AH284" s="127" t="e">
        <f>(AF284/Calculator!$B$10)*Calculator!$B$9</f>
        <v>#DIV/0!</v>
      </c>
      <c r="AI284" s="144" t="str">
        <f t="shared" si="9"/>
        <v/>
      </c>
    </row>
    <row r="285" spans="32:35" ht="15.75" customHeight="1">
      <c r="AF285" s="127">
        <f t="shared" si="8"/>
        <v>0</v>
      </c>
      <c r="AG285" s="127" t="str">
        <f>IF(AA285=0,"",Calculator!$B$6)</f>
        <v/>
      </c>
      <c r="AH285" s="127" t="e">
        <f>(AF285/Calculator!$B$10)*Calculator!$B$9</f>
        <v>#DIV/0!</v>
      </c>
      <c r="AI285" s="144" t="str">
        <f t="shared" si="9"/>
        <v/>
      </c>
    </row>
    <row r="286" spans="32:35" ht="15.75" customHeight="1">
      <c r="AF286" s="127">
        <f t="shared" si="8"/>
        <v>0</v>
      </c>
      <c r="AG286" s="127" t="str">
        <f>IF(AA286=0,"",Calculator!$B$6)</f>
        <v/>
      </c>
      <c r="AH286" s="127" t="e">
        <f>(AF286/Calculator!$B$10)*Calculator!$B$9</f>
        <v>#DIV/0!</v>
      </c>
      <c r="AI286" s="144" t="str">
        <f t="shared" si="9"/>
        <v/>
      </c>
    </row>
    <row r="287" spans="32:35" ht="15.75" customHeight="1">
      <c r="AF287" s="127">
        <f t="shared" si="8"/>
        <v>0</v>
      </c>
      <c r="AG287" s="127" t="str">
        <f>IF(AA287=0,"",Calculator!$B$6)</f>
        <v/>
      </c>
      <c r="AH287" s="127" t="e">
        <f>(AF287/Calculator!$B$10)*Calculator!$B$9</f>
        <v>#DIV/0!</v>
      </c>
      <c r="AI287" s="144" t="str">
        <f t="shared" si="9"/>
        <v/>
      </c>
    </row>
    <row r="288" spans="32:35" ht="15.75" customHeight="1">
      <c r="AF288" s="127">
        <f t="shared" si="8"/>
        <v>0</v>
      </c>
      <c r="AG288" s="127" t="str">
        <f>IF(AA288=0,"",Calculator!$B$6)</f>
        <v/>
      </c>
      <c r="AH288" s="127" t="e">
        <f>(AF288/Calculator!$B$10)*Calculator!$B$9</f>
        <v>#DIV/0!</v>
      </c>
      <c r="AI288" s="144" t="str">
        <f t="shared" si="9"/>
        <v/>
      </c>
    </row>
    <row r="289" spans="32:35" ht="15.75" customHeight="1">
      <c r="AF289" s="127">
        <f t="shared" si="8"/>
        <v>0</v>
      </c>
      <c r="AG289" s="127" t="str">
        <f>IF(AA289=0,"",Calculator!$B$6)</f>
        <v/>
      </c>
      <c r="AH289" s="127" t="e">
        <f>(AF289/Calculator!$B$10)*Calculator!$B$9</f>
        <v>#DIV/0!</v>
      </c>
      <c r="AI289" s="144" t="str">
        <f t="shared" si="9"/>
        <v/>
      </c>
    </row>
    <row r="290" spans="32:35" ht="15.75" customHeight="1">
      <c r="AF290" s="127">
        <f t="shared" si="8"/>
        <v>0</v>
      </c>
      <c r="AG290" s="127" t="str">
        <f>IF(AA290=0,"",Calculator!$B$6)</f>
        <v/>
      </c>
      <c r="AH290" s="127" t="e">
        <f>(AF290/Calculator!$B$10)*Calculator!$B$9</f>
        <v>#DIV/0!</v>
      </c>
      <c r="AI290" s="144" t="str">
        <f t="shared" si="9"/>
        <v/>
      </c>
    </row>
    <row r="291" spans="32:35" ht="15.75" customHeight="1">
      <c r="AF291" s="127">
        <f t="shared" si="8"/>
        <v>0</v>
      </c>
      <c r="AG291" s="127" t="str">
        <f>IF(AA291=0,"",Calculator!$B$6)</f>
        <v/>
      </c>
      <c r="AH291" s="127" t="e">
        <f>(AF291/Calculator!$B$10)*Calculator!$B$9</f>
        <v>#DIV/0!</v>
      </c>
      <c r="AI291" s="144" t="str">
        <f t="shared" si="9"/>
        <v/>
      </c>
    </row>
    <row r="292" spans="32:35" ht="15.75" customHeight="1">
      <c r="AF292" s="127">
        <f t="shared" si="8"/>
        <v>0</v>
      </c>
      <c r="AG292" s="127" t="str">
        <f>IF(AA292=0,"",Calculator!$B$6)</f>
        <v/>
      </c>
      <c r="AH292" s="127" t="e">
        <f>(AF292/Calculator!$B$10)*Calculator!$B$9</f>
        <v>#DIV/0!</v>
      </c>
      <c r="AI292" s="144" t="str">
        <f t="shared" si="9"/>
        <v/>
      </c>
    </row>
    <row r="293" spans="32:35" ht="15.75" customHeight="1">
      <c r="AF293" s="127">
        <f t="shared" si="8"/>
        <v>0</v>
      </c>
      <c r="AG293" s="127" t="str">
        <f>IF(AA293=0,"",Calculator!$B$6)</f>
        <v/>
      </c>
      <c r="AH293" s="127" t="e">
        <f>(AF293/Calculator!$B$10)*Calculator!$B$9</f>
        <v>#DIV/0!</v>
      </c>
      <c r="AI293" s="144" t="str">
        <f t="shared" si="9"/>
        <v/>
      </c>
    </row>
    <row r="294" spans="32:35" ht="15.75" customHeight="1">
      <c r="AF294" s="127">
        <f t="shared" si="8"/>
        <v>0</v>
      </c>
      <c r="AG294" s="127" t="str">
        <f>IF(AA294=0,"",Calculator!$B$6)</f>
        <v/>
      </c>
      <c r="AH294" s="127" t="e">
        <f>(AF294/Calculator!$B$10)*Calculator!$B$9</f>
        <v>#DIV/0!</v>
      </c>
      <c r="AI294" s="144" t="str">
        <f t="shared" si="9"/>
        <v/>
      </c>
    </row>
    <row r="295" spans="32:35" ht="15.75" customHeight="1">
      <c r="AF295" s="127">
        <f t="shared" si="8"/>
        <v>0</v>
      </c>
      <c r="AG295" s="127" t="str">
        <f>IF(AA295=0,"",Calculator!$B$6)</f>
        <v/>
      </c>
      <c r="AH295" s="127" t="e">
        <f>(AF295/Calculator!$B$10)*Calculator!$B$9</f>
        <v>#DIV/0!</v>
      </c>
      <c r="AI295" s="144" t="str">
        <f t="shared" si="9"/>
        <v/>
      </c>
    </row>
    <row r="296" spans="32:35" ht="15.75" customHeight="1">
      <c r="AF296" s="127">
        <f t="shared" si="8"/>
        <v>0</v>
      </c>
      <c r="AG296" s="127" t="str">
        <f>IF(AA296=0,"",Calculator!$B$6)</f>
        <v/>
      </c>
      <c r="AH296" s="127" t="e">
        <f>(AF296/Calculator!$B$10)*Calculator!$B$9</f>
        <v>#DIV/0!</v>
      </c>
      <c r="AI296" s="144" t="str">
        <f t="shared" si="9"/>
        <v/>
      </c>
    </row>
    <row r="297" spans="32:35" ht="15.75" customHeight="1">
      <c r="AF297" s="127">
        <f t="shared" si="8"/>
        <v>0</v>
      </c>
      <c r="AG297" s="127" t="str">
        <f>IF(AA297=0,"",Calculator!$B$6)</f>
        <v/>
      </c>
      <c r="AH297" s="127" t="e">
        <f>(AF297/Calculator!$B$10)*Calculator!$B$9</f>
        <v>#DIV/0!</v>
      </c>
      <c r="AI297" s="144" t="str">
        <f t="shared" si="9"/>
        <v/>
      </c>
    </row>
    <row r="298" spans="32:35" ht="15.75" customHeight="1">
      <c r="AF298" s="127">
        <f t="shared" si="8"/>
        <v>0</v>
      </c>
      <c r="AG298" s="127" t="str">
        <f>IF(AA298=0,"",Calculator!$B$6)</f>
        <v/>
      </c>
      <c r="AH298" s="127" t="e">
        <f>(AF298/Calculator!$B$10)*Calculator!$B$9</f>
        <v>#DIV/0!</v>
      </c>
      <c r="AI298" s="144" t="str">
        <f t="shared" si="9"/>
        <v/>
      </c>
    </row>
    <row r="299" spans="32:35" ht="15.75" customHeight="1">
      <c r="AF299" s="127">
        <f t="shared" si="8"/>
        <v>0</v>
      </c>
      <c r="AG299" s="127" t="str">
        <f>IF(AA299=0,"",Calculator!$B$6)</f>
        <v/>
      </c>
      <c r="AH299" s="127" t="e">
        <f>(AF299/Calculator!$B$10)*Calculator!$B$9</f>
        <v>#DIV/0!</v>
      </c>
      <c r="AI299" s="144" t="str">
        <f t="shared" si="9"/>
        <v/>
      </c>
    </row>
    <row r="300" spans="32:35" ht="15.75" customHeight="1">
      <c r="AF300" s="127">
        <f t="shared" si="8"/>
        <v>0</v>
      </c>
      <c r="AG300" s="127" t="str">
        <f>IF(AA300=0,"",Calculator!$B$6)</f>
        <v/>
      </c>
      <c r="AH300" s="127" t="e">
        <f>(AF300/Calculator!$B$10)*Calculator!$B$9</f>
        <v>#DIV/0!</v>
      </c>
      <c r="AI300" s="144" t="str">
        <f t="shared" si="9"/>
        <v/>
      </c>
    </row>
    <row r="301" spans="32:35" ht="15.75" customHeight="1">
      <c r="AF301" s="127">
        <f t="shared" si="8"/>
        <v>0</v>
      </c>
      <c r="AG301" s="127" t="str">
        <f>IF(AA301=0,"",Calculator!$B$6)</f>
        <v/>
      </c>
      <c r="AH301" s="127" t="e">
        <f>(AF301/Calculator!$B$10)*Calculator!$B$9</f>
        <v>#DIV/0!</v>
      </c>
      <c r="AI301" s="144" t="str">
        <f t="shared" si="9"/>
        <v/>
      </c>
    </row>
    <row r="302" spans="32:35" ht="15.75" customHeight="1">
      <c r="AF302" s="127">
        <f t="shared" si="8"/>
        <v>0</v>
      </c>
      <c r="AG302" s="127" t="str">
        <f>IF(AA302=0,"",Calculator!$B$6)</f>
        <v/>
      </c>
      <c r="AH302" s="127" t="e">
        <f>(AF302/Calculator!$B$10)*Calculator!$B$9</f>
        <v>#DIV/0!</v>
      </c>
      <c r="AI302" s="144" t="str">
        <f t="shared" si="9"/>
        <v/>
      </c>
    </row>
    <row r="303" spans="32:35" ht="15.75" customHeight="1">
      <c r="AF303" s="127">
        <f t="shared" si="8"/>
        <v>0</v>
      </c>
      <c r="AG303" s="127" t="str">
        <f>IF(AA303=0,"",Calculator!$B$6)</f>
        <v/>
      </c>
      <c r="AH303" s="127" t="e">
        <f>(AF303/Calculator!$B$10)*Calculator!$B$9</f>
        <v>#DIV/0!</v>
      </c>
      <c r="AI303" s="144" t="str">
        <f t="shared" si="9"/>
        <v/>
      </c>
    </row>
    <row r="304" spans="32:35" ht="15.75" customHeight="1">
      <c r="AF304" s="127">
        <f t="shared" si="8"/>
        <v>0</v>
      </c>
      <c r="AG304" s="127" t="str">
        <f>IF(AA304=0,"",Calculator!$B$6)</f>
        <v/>
      </c>
      <c r="AH304" s="127" t="e">
        <f>(AF304/Calculator!$B$10)*Calculator!$B$9</f>
        <v>#DIV/0!</v>
      </c>
      <c r="AI304" s="144" t="str">
        <f t="shared" si="9"/>
        <v/>
      </c>
    </row>
    <row r="305" spans="32:35" ht="15.75" customHeight="1">
      <c r="AF305" s="127">
        <f t="shared" si="8"/>
        <v>0</v>
      </c>
      <c r="AG305" s="127" t="str">
        <f>IF(AA305=0,"",Calculator!$B$6)</f>
        <v/>
      </c>
      <c r="AH305" s="127" t="e">
        <f>(AF305/Calculator!$B$10)*Calculator!$B$9</f>
        <v>#DIV/0!</v>
      </c>
      <c r="AI305" s="144" t="str">
        <f t="shared" si="9"/>
        <v/>
      </c>
    </row>
    <row r="306" spans="32:35" ht="15.75" customHeight="1">
      <c r="AF306" s="127">
        <f t="shared" si="8"/>
        <v>0</v>
      </c>
      <c r="AG306" s="127" t="str">
        <f>IF(AA306=0,"",Calculator!$B$6)</f>
        <v/>
      </c>
      <c r="AH306" s="127" t="e">
        <f>(AF306/Calculator!$B$10)*Calculator!$B$9</f>
        <v>#DIV/0!</v>
      </c>
      <c r="AI306" s="144" t="str">
        <f t="shared" si="9"/>
        <v/>
      </c>
    </row>
    <row r="307" spans="32:35" ht="15.75" customHeight="1">
      <c r="AF307" s="127">
        <f t="shared" si="8"/>
        <v>0</v>
      </c>
      <c r="AG307" s="127" t="str">
        <f>IF(AA307=0,"",Calculator!$B$6)</f>
        <v/>
      </c>
      <c r="AH307" s="127" t="e">
        <f>(AF307/Calculator!$B$10)*Calculator!$B$9</f>
        <v>#DIV/0!</v>
      </c>
      <c r="AI307" s="144" t="str">
        <f t="shared" si="9"/>
        <v/>
      </c>
    </row>
    <row r="308" spans="32:35" ht="15.75" customHeight="1">
      <c r="AF308" s="127">
        <f t="shared" si="8"/>
        <v>0</v>
      </c>
      <c r="AG308" s="127" t="str">
        <f>IF(AA308=0,"",Calculator!$B$6)</f>
        <v/>
      </c>
      <c r="AH308" s="127" t="e">
        <f>(AF308/Calculator!$B$10)*Calculator!$B$9</f>
        <v>#DIV/0!</v>
      </c>
      <c r="AI308" s="144" t="str">
        <f t="shared" si="9"/>
        <v/>
      </c>
    </row>
    <row r="309" spans="32:35" ht="15.75" customHeight="1">
      <c r="AF309" s="127">
        <f t="shared" si="8"/>
        <v>0</v>
      </c>
      <c r="AG309" s="127" t="str">
        <f>IF(AA309=0,"",Calculator!$B$6)</f>
        <v/>
      </c>
      <c r="AH309" s="127" t="e">
        <f>(AF309/Calculator!$B$10)*Calculator!$B$9</f>
        <v>#DIV/0!</v>
      </c>
      <c r="AI309" s="144" t="str">
        <f t="shared" si="9"/>
        <v/>
      </c>
    </row>
    <row r="310" spans="32:35" ht="15.75" customHeight="1">
      <c r="AF310" s="127">
        <f t="shared" si="8"/>
        <v>0</v>
      </c>
      <c r="AG310" s="127" t="str">
        <f>IF(AA310=0,"",Calculator!$B$6)</f>
        <v/>
      </c>
      <c r="AH310" s="127" t="e">
        <f>(AF310/Calculator!$B$10)*Calculator!$B$9</f>
        <v>#DIV/0!</v>
      </c>
      <c r="AI310" s="144" t="str">
        <f t="shared" si="9"/>
        <v/>
      </c>
    </row>
    <row r="311" spans="32:35" ht="15.75" customHeight="1">
      <c r="AF311" s="127">
        <f t="shared" si="8"/>
        <v>0</v>
      </c>
      <c r="AG311" s="127" t="str">
        <f>IF(AA311=0,"",Calculator!$B$6)</f>
        <v/>
      </c>
      <c r="AH311" s="127" t="e">
        <f>(AF311/Calculator!$B$10)*Calculator!$B$9</f>
        <v>#DIV/0!</v>
      </c>
      <c r="AI311" s="144" t="str">
        <f t="shared" si="9"/>
        <v/>
      </c>
    </row>
    <row r="312" spans="32:35" ht="15.75" customHeight="1">
      <c r="AF312" s="127">
        <f t="shared" si="8"/>
        <v>0</v>
      </c>
      <c r="AG312" s="127" t="str">
        <f>IF(AA312=0,"",Calculator!$B$6)</f>
        <v/>
      </c>
      <c r="AH312" s="127" t="e">
        <f>(AF312/Calculator!$B$10)*Calculator!$B$9</f>
        <v>#DIV/0!</v>
      </c>
      <c r="AI312" s="144" t="str">
        <f t="shared" si="9"/>
        <v/>
      </c>
    </row>
    <row r="313" spans="32:35" ht="15.75" customHeight="1">
      <c r="AF313" s="127">
        <f t="shared" si="8"/>
        <v>0</v>
      </c>
      <c r="AG313" s="127" t="str">
        <f>IF(AA313=0,"",Calculator!$B$6)</f>
        <v/>
      </c>
      <c r="AH313" s="127" t="e">
        <f>(AF313/Calculator!$B$10)*Calculator!$B$9</f>
        <v>#DIV/0!</v>
      </c>
      <c r="AI313" s="144" t="str">
        <f t="shared" si="9"/>
        <v/>
      </c>
    </row>
    <row r="314" spans="32:35" ht="15.75" customHeight="1">
      <c r="AF314" s="127">
        <f t="shared" si="8"/>
        <v>0</v>
      </c>
      <c r="AG314" s="127" t="str">
        <f>IF(AA314=0,"",Calculator!$B$6)</f>
        <v/>
      </c>
      <c r="AH314" s="127" t="e">
        <f>(AF314/Calculator!$B$10)*Calculator!$B$9</f>
        <v>#DIV/0!</v>
      </c>
      <c r="AI314" s="144" t="str">
        <f t="shared" si="9"/>
        <v/>
      </c>
    </row>
    <row r="315" spans="32:35" ht="15.75" customHeight="1">
      <c r="AF315" s="127">
        <f t="shared" si="8"/>
        <v>0</v>
      </c>
      <c r="AG315" s="127" t="str">
        <f>IF(AA315=0,"",Calculator!$B$6)</f>
        <v/>
      </c>
      <c r="AH315" s="127" t="e">
        <f>(AF315/Calculator!$B$10)*Calculator!$B$9</f>
        <v>#DIV/0!</v>
      </c>
      <c r="AI315" s="144" t="str">
        <f t="shared" si="9"/>
        <v/>
      </c>
    </row>
    <row r="316" spans="32:35" ht="15.75" customHeight="1">
      <c r="AF316" s="127">
        <f t="shared" si="8"/>
        <v>0</v>
      </c>
      <c r="AG316" s="127" t="str">
        <f>IF(AA316=0,"",Calculator!$B$6)</f>
        <v/>
      </c>
      <c r="AH316" s="127" t="e">
        <f>(AF316/Calculator!$B$10)*Calculator!$B$9</f>
        <v>#DIV/0!</v>
      </c>
      <c r="AI316" s="144" t="str">
        <f t="shared" si="9"/>
        <v/>
      </c>
    </row>
    <row r="317" spans="32:35" ht="15.75" customHeight="1">
      <c r="AF317" s="127">
        <f t="shared" si="8"/>
        <v>0</v>
      </c>
      <c r="AG317" s="127" t="str">
        <f>IF(AA317=0,"",Calculator!$B$6)</f>
        <v/>
      </c>
      <c r="AH317" s="127" t="e">
        <f>(AF317/Calculator!$B$10)*Calculator!$B$9</f>
        <v>#DIV/0!</v>
      </c>
      <c r="AI317" s="144" t="str">
        <f t="shared" si="9"/>
        <v/>
      </c>
    </row>
    <row r="318" spans="32:35" ht="15.75" customHeight="1">
      <c r="AF318" s="127">
        <f t="shared" si="8"/>
        <v>0</v>
      </c>
      <c r="AG318" s="127" t="str">
        <f>IF(AA318=0,"",Calculator!$B$6)</f>
        <v/>
      </c>
      <c r="AH318" s="127" t="e">
        <f>(AF318/Calculator!$B$10)*Calculator!$B$9</f>
        <v>#DIV/0!</v>
      </c>
      <c r="AI318" s="144" t="str">
        <f t="shared" si="9"/>
        <v/>
      </c>
    </row>
    <row r="319" spans="32:35" ht="15.75" customHeight="1">
      <c r="AF319" s="127">
        <f t="shared" si="8"/>
        <v>0</v>
      </c>
      <c r="AG319" s="127" t="str">
        <f>IF(AA319=0,"",Calculator!$B$6)</f>
        <v/>
      </c>
      <c r="AH319" s="127" t="e">
        <f>(AF319/Calculator!$B$10)*Calculator!$B$9</f>
        <v>#DIV/0!</v>
      </c>
      <c r="AI319" s="144" t="str">
        <f t="shared" si="9"/>
        <v/>
      </c>
    </row>
    <row r="320" spans="32:35" ht="15.75" customHeight="1">
      <c r="AF320" s="127">
        <f t="shared" si="8"/>
        <v>0</v>
      </c>
      <c r="AG320" s="127" t="str">
        <f>IF(AA320=0,"",Calculator!$B$6)</f>
        <v/>
      </c>
      <c r="AH320" s="127" t="e">
        <f>(AF320/Calculator!$B$10)*Calculator!$B$9</f>
        <v>#DIV/0!</v>
      </c>
      <c r="AI320" s="144" t="str">
        <f t="shared" si="9"/>
        <v/>
      </c>
    </row>
    <row r="321" spans="32:35" ht="15.75" customHeight="1">
      <c r="AF321" s="127">
        <f t="shared" si="8"/>
        <v>0</v>
      </c>
      <c r="AG321" s="127" t="str">
        <f>IF(AA321=0,"",Calculator!$B$6)</f>
        <v/>
      </c>
      <c r="AH321" s="127" t="e">
        <f>(AF321/Calculator!$B$10)*Calculator!$B$9</f>
        <v>#DIV/0!</v>
      </c>
      <c r="AI321" s="144" t="str">
        <f t="shared" si="9"/>
        <v/>
      </c>
    </row>
    <row r="322" spans="32:35" ht="15.75" customHeight="1">
      <c r="AF322" s="127">
        <f t="shared" si="8"/>
        <v>0</v>
      </c>
      <c r="AG322" s="127" t="str">
        <f>IF(AA322=0,"",Calculator!$B$6)</f>
        <v/>
      </c>
      <c r="AH322" s="127" t="e">
        <f>(AF322/Calculator!$B$10)*Calculator!$B$9</f>
        <v>#DIV/0!</v>
      </c>
      <c r="AI322" s="144" t="str">
        <f t="shared" si="9"/>
        <v/>
      </c>
    </row>
    <row r="323" spans="32:35" ht="15.75" customHeight="1">
      <c r="AF323" s="127">
        <f t="shared" si="8"/>
        <v>0</v>
      </c>
      <c r="AG323" s="127" t="str">
        <f>IF(AA323=0,"",Calculator!$B$6)</f>
        <v/>
      </c>
      <c r="AH323" s="127" t="e">
        <f>(AF323/Calculator!$B$10)*Calculator!$B$9</f>
        <v>#DIV/0!</v>
      </c>
      <c r="AI323" s="144" t="str">
        <f t="shared" si="9"/>
        <v/>
      </c>
    </row>
    <row r="324" spans="32:35" ht="15.75" customHeight="1">
      <c r="AF324" s="127">
        <f t="shared" si="8"/>
        <v>0</v>
      </c>
      <c r="AG324" s="127" t="str">
        <f>IF(AA324=0,"",Calculator!$B$6)</f>
        <v/>
      </c>
      <c r="AH324" s="127" t="e">
        <f>(AF324/Calculator!$B$10)*Calculator!$B$9</f>
        <v>#DIV/0!</v>
      </c>
      <c r="AI324" s="144" t="str">
        <f t="shared" si="9"/>
        <v/>
      </c>
    </row>
    <row r="325" spans="32:35" ht="15.75" customHeight="1">
      <c r="AF325" s="127">
        <f t="shared" si="8"/>
        <v>0</v>
      </c>
      <c r="AG325" s="127" t="str">
        <f>IF(AA325=0,"",Calculator!$B$6)</f>
        <v/>
      </c>
      <c r="AH325" s="127" t="e">
        <f>(AF325/Calculator!$B$10)*Calculator!$B$9</f>
        <v>#DIV/0!</v>
      </c>
      <c r="AI325" s="144" t="str">
        <f t="shared" si="9"/>
        <v/>
      </c>
    </row>
    <row r="326" spans="32:35" ht="15.75" customHeight="1">
      <c r="AF326" s="127">
        <f t="shared" si="8"/>
        <v>0</v>
      </c>
      <c r="AG326" s="127" t="str">
        <f>IF(AA326=0,"",Calculator!$B$6)</f>
        <v/>
      </c>
      <c r="AH326" s="127" t="e">
        <f>(AF326/Calculator!$B$10)*Calculator!$B$9</f>
        <v>#DIV/0!</v>
      </c>
      <c r="AI326" s="144" t="str">
        <f t="shared" si="9"/>
        <v/>
      </c>
    </row>
    <row r="327" spans="32:35" ht="15.75" customHeight="1">
      <c r="AF327" s="127">
        <f t="shared" si="8"/>
        <v>0</v>
      </c>
      <c r="AG327" s="127" t="str">
        <f>IF(AA327=0,"",Calculator!$B$6)</f>
        <v/>
      </c>
      <c r="AH327" s="127" t="e">
        <f>(AF327/Calculator!$B$10)*Calculator!$B$9</f>
        <v>#DIV/0!</v>
      </c>
      <c r="AI327" s="144" t="str">
        <f t="shared" si="9"/>
        <v/>
      </c>
    </row>
    <row r="328" spans="32:35" ht="15.75" customHeight="1">
      <c r="AF328" s="127">
        <f t="shared" si="8"/>
        <v>0</v>
      </c>
      <c r="AG328" s="127" t="str">
        <f>IF(AA328=0,"",Calculator!$B$6)</f>
        <v/>
      </c>
      <c r="AH328" s="127" t="e">
        <f>(AF328/Calculator!$B$10)*Calculator!$B$9</f>
        <v>#DIV/0!</v>
      </c>
      <c r="AI328" s="144" t="str">
        <f t="shared" si="9"/>
        <v/>
      </c>
    </row>
    <row r="329" spans="32:35" ht="15.75" customHeight="1">
      <c r="AF329" s="127">
        <f t="shared" si="8"/>
        <v>0</v>
      </c>
      <c r="AG329" s="127" t="str">
        <f>IF(AA329=0,"",Calculator!$B$6)</f>
        <v/>
      </c>
      <c r="AH329" s="127" t="e">
        <f>(AF329/Calculator!$B$10)*Calculator!$B$9</f>
        <v>#DIV/0!</v>
      </c>
      <c r="AI329" s="144" t="str">
        <f t="shared" si="9"/>
        <v/>
      </c>
    </row>
    <row r="330" spans="32:35" ht="15.75" customHeight="1">
      <c r="AF330" s="127">
        <f t="shared" ref="AF330:AF393" si="10">IFERROR(AA330*AG330,0)</f>
        <v>0</v>
      </c>
      <c r="AG330" s="127" t="str">
        <f>IF(AA330=0,"",Calculator!$B$6)</f>
        <v/>
      </c>
      <c r="AH330" s="127" t="e">
        <f>(AF330/Calculator!$B$10)*Calculator!$B$9</f>
        <v>#DIV/0!</v>
      </c>
      <c r="AI330" s="144" t="str">
        <f t="shared" ref="AI330:AI393" si="11">IF(ISBLANK(AA330),"","RS Means")</f>
        <v/>
      </c>
    </row>
    <row r="331" spans="32:35" ht="15.75" customHeight="1">
      <c r="AF331" s="127">
        <f t="shared" si="10"/>
        <v>0</v>
      </c>
      <c r="AG331" s="127" t="str">
        <f>IF(AA331=0,"",Calculator!$B$6)</f>
        <v/>
      </c>
      <c r="AH331" s="127" t="e">
        <f>(AF331/Calculator!$B$10)*Calculator!$B$9</f>
        <v>#DIV/0!</v>
      </c>
      <c r="AI331" s="144" t="str">
        <f t="shared" si="11"/>
        <v/>
      </c>
    </row>
    <row r="332" spans="32:35" ht="15.75" customHeight="1">
      <c r="AF332" s="127">
        <f t="shared" si="10"/>
        <v>0</v>
      </c>
      <c r="AG332" s="127" t="str">
        <f>IF(AA332=0,"",Calculator!$B$6)</f>
        <v/>
      </c>
      <c r="AH332" s="127" t="e">
        <f>(AF332/Calculator!$B$10)*Calculator!$B$9</f>
        <v>#DIV/0!</v>
      </c>
      <c r="AI332" s="144" t="str">
        <f t="shared" si="11"/>
        <v/>
      </c>
    </row>
    <row r="333" spans="32:35" ht="15.75" customHeight="1">
      <c r="AF333" s="127">
        <f t="shared" si="10"/>
        <v>0</v>
      </c>
      <c r="AG333" s="127" t="str">
        <f>IF(AA333=0,"",Calculator!$B$6)</f>
        <v/>
      </c>
      <c r="AH333" s="127" t="e">
        <f>(AF333/Calculator!$B$10)*Calculator!$B$9</f>
        <v>#DIV/0!</v>
      </c>
      <c r="AI333" s="144" t="str">
        <f t="shared" si="11"/>
        <v/>
      </c>
    </row>
    <row r="334" spans="32:35" ht="15.75" customHeight="1">
      <c r="AF334" s="127">
        <f t="shared" si="10"/>
        <v>0</v>
      </c>
      <c r="AG334" s="127" t="str">
        <f>IF(AA334=0,"",Calculator!$B$6)</f>
        <v/>
      </c>
      <c r="AH334" s="127" t="e">
        <f>(AF334/Calculator!$B$10)*Calculator!$B$9</f>
        <v>#DIV/0!</v>
      </c>
      <c r="AI334" s="144" t="str">
        <f t="shared" si="11"/>
        <v/>
      </c>
    </row>
    <row r="335" spans="32:35" ht="15.75" customHeight="1">
      <c r="AF335" s="127">
        <f t="shared" si="10"/>
        <v>0</v>
      </c>
      <c r="AG335" s="127" t="str">
        <f>IF(AA335=0,"",Calculator!$B$6)</f>
        <v/>
      </c>
      <c r="AH335" s="127" t="e">
        <f>(AF335/Calculator!$B$10)*Calculator!$B$9</f>
        <v>#DIV/0!</v>
      </c>
      <c r="AI335" s="144" t="str">
        <f t="shared" si="11"/>
        <v/>
      </c>
    </row>
    <row r="336" spans="32:35" ht="15.75" customHeight="1">
      <c r="AF336" s="127">
        <f t="shared" si="10"/>
        <v>0</v>
      </c>
      <c r="AG336" s="127" t="str">
        <f>IF(AA336=0,"",Calculator!$B$6)</f>
        <v/>
      </c>
      <c r="AH336" s="127" t="e">
        <f>(AF336/Calculator!$B$10)*Calculator!$B$9</f>
        <v>#DIV/0!</v>
      </c>
      <c r="AI336" s="144" t="str">
        <f t="shared" si="11"/>
        <v/>
      </c>
    </row>
    <row r="337" spans="32:35" ht="15.75" customHeight="1">
      <c r="AF337" s="127">
        <f t="shared" si="10"/>
        <v>0</v>
      </c>
      <c r="AG337" s="127" t="str">
        <f>IF(AA337=0,"",Calculator!$B$6)</f>
        <v/>
      </c>
      <c r="AH337" s="127" t="e">
        <f>(AF337/Calculator!$B$10)*Calculator!$B$9</f>
        <v>#DIV/0!</v>
      </c>
      <c r="AI337" s="144" t="str">
        <f t="shared" si="11"/>
        <v/>
      </c>
    </row>
    <row r="338" spans="32:35" ht="15.75" customHeight="1">
      <c r="AF338" s="127">
        <f t="shared" si="10"/>
        <v>0</v>
      </c>
      <c r="AG338" s="127" t="str">
        <f>IF(AA338=0,"",Calculator!$B$6)</f>
        <v/>
      </c>
      <c r="AH338" s="127" t="e">
        <f>(AF338/Calculator!$B$10)*Calculator!$B$9</f>
        <v>#DIV/0!</v>
      </c>
      <c r="AI338" s="144" t="str">
        <f t="shared" si="11"/>
        <v/>
      </c>
    </row>
    <row r="339" spans="32:35" ht="15.75" customHeight="1">
      <c r="AF339" s="127">
        <f t="shared" si="10"/>
        <v>0</v>
      </c>
      <c r="AG339" s="127" t="str">
        <f>IF(AA339=0,"",Calculator!$B$6)</f>
        <v/>
      </c>
      <c r="AH339" s="127" t="e">
        <f>(AF339/Calculator!$B$10)*Calculator!$B$9</f>
        <v>#DIV/0!</v>
      </c>
      <c r="AI339" s="144" t="str">
        <f t="shared" si="11"/>
        <v/>
      </c>
    </row>
    <row r="340" spans="32:35" ht="15.75" customHeight="1">
      <c r="AF340" s="127">
        <f t="shared" si="10"/>
        <v>0</v>
      </c>
      <c r="AG340" s="127" t="str">
        <f>IF(AA340=0,"",Calculator!$B$6)</f>
        <v/>
      </c>
      <c r="AH340" s="127" t="e">
        <f>(AF340/Calculator!$B$10)*Calculator!$B$9</f>
        <v>#DIV/0!</v>
      </c>
      <c r="AI340" s="144" t="str">
        <f t="shared" si="11"/>
        <v/>
      </c>
    </row>
    <row r="341" spans="32:35" ht="15.75" customHeight="1">
      <c r="AF341" s="127">
        <f t="shared" si="10"/>
        <v>0</v>
      </c>
      <c r="AG341" s="127" t="str">
        <f>IF(AA341=0,"",Calculator!$B$6)</f>
        <v/>
      </c>
      <c r="AH341" s="127" t="e">
        <f>(AF341/Calculator!$B$10)*Calculator!$B$9</f>
        <v>#DIV/0!</v>
      </c>
      <c r="AI341" s="144" t="str">
        <f t="shared" si="11"/>
        <v/>
      </c>
    </row>
    <row r="342" spans="32:35" ht="15.75" customHeight="1">
      <c r="AF342" s="127">
        <f t="shared" si="10"/>
        <v>0</v>
      </c>
      <c r="AG342" s="127" t="str">
        <f>IF(AA342=0,"",Calculator!$B$6)</f>
        <v/>
      </c>
      <c r="AH342" s="127" t="e">
        <f>(AF342/Calculator!$B$10)*Calculator!$B$9</f>
        <v>#DIV/0!</v>
      </c>
      <c r="AI342" s="144" t="str">
        <f t="shared" si="11"/>
        <v/>
      </c>
    </row>
    <row r="343" spans="32:35" ht="15.75" customHeight="1">
      <c r="AF343" s="127">
        <f t="shared" si="10"/>
        <v>0</v>
      </c>
      <c r="AG343" s="127" t="str">
        <f>IF(AA343=0,"",Calculator!$B$6)</f>
        <v/>
      </c>
      <c r="AH343" s="127" t="e">
        <f>(AF343/Calculator!$B$10)*Calculator!$B$9</f>
        <v>#DIV/0!</v>
      </c>
      <c r="AI343" s="144" t="str">
        <f t="shared" si="11"/>
        <v/>
      </c>
    </row>
    <row r="344" spans="32:35" ht="15.75" customHeight="1">
      <c r="AF344" s="127">
        <f t="shared" si="10"/>
        <v>0</v>
      </c>
      <c r="AG344" s="127" t="str">
        <f>IF(AA344=0,"",Calculator!$B$6)</f>
        <v/>
      </c>
      <c r="AH344" s="127" t="e">
        <f>(AF344/Calculator!$B$10)*Calculator!$B$9</f>
        <v>#DIV/0!</v>
      </c>
      <c r="AI344" s="144" t="str">
        <f t="shared" si="11"/>
        <v/>
      </c>
    </row>
    <row r="345" spans="32:35" ht="15.75" customHeight="1">
      <c r="AF345" s="127">
        <f t="shared" si="10"/>
        <v>0</v>
      </c>
      <c r="AG345" s="127" t="str">
        <f>IF(AA345=0,"",Calculator!$B$6)</f>
        <v/>
      </c>
      <c r="AH345" s="127" t="e">
        <f>(AF345/Calculator!$B$10)*Calculator!$B$9</f>
        <v>#DIV/0!</v>
      </c>
      <c r="AI345" s="144" t="str">
        <f t="shared" si="11"/>
        <v/>
      </c>
    </row>
    <row r="346" spans="32:35" ht="15.75" customHeight="1">
      <c r="AF346" s="127">
        <f t="shared" si="10"/>
        <v>0</v>
      </c>
      <c r="AG346" s="127" t="str">
        <f>IF(AA346=0,"",Calculator!$B$6)</f>
        <v/>
      </c>
      <c r="AH346" s="127" t="e">
        <f>(AF346/Calculator!$B$10)*Calculator!$B$9</f>
        <v>#DIV/0!</v>
      </c>
      <c r="AI346" s="144" t="str">
        <f t="shared" si="11"/>
        <v/>
      </c>
    </row>
    <row r="347" spans="32:35" ht="15.75" customHeight="1">
      <c r="AF347" s="127">
        <f t="shared" si="10"/>
        <v>0</v>
      </c>
      <c r="AG347" s="127" t="str">
        <f>IF(AA347=0,"",Calculator!$B$6)</f>
        <v/>
      </c>
      <c r="AH347" s="127" t="e">
        <f>(AF347/Calculator!$B$10)*Calculator!$B$9</f>
        <v>#DIV/0!</v>
      </c>
      <c r="AI347" s="144" t="str">
        <f t="shared" si="11"/>
        <v/>
      </c>
    </row>
    <row r="348" spans="32:35" ht="15.75" customHeight="1">
      <c r="AF348" s="127">
        <f t="shared" si="10"/>
        <v>0</v>
      </c>
      <c r="AG348" s="127" t="str">
        <f>IF(AA348=0,"",Calculator!$B$6)</f>
        <v/>
      </c>
      <c r="AH348" s="127" t="e">
        <f>(AF348/Calculator!$B$10)*Calculator!$B$9</f>
        <v>#DIV/0!</v>
      </c>
      <c r="AI348" s="144" t="str">
        <f t="shared" si="11"/>
        <v/>
      </c>
    </row>
    <row r="349" spans="32:35" ht="15.75" customHeight="1">
      <c r="AF349" s="127">
        <f t="shared" si="10"/>
        <v>0</v>
      </c>
      <c r="AG349" s="127" t="str">
        <f>IF(AA349=0,"",Calculator!$B$6)</f>
        <v/>
      </c>
      <c r="AH349" s="127" t="e">
        <f>(AF349/Calculator!$B$10)*Calculator!$B$9</f>
        <v>#DIV/0!</v>
      </c>
      <c r="AI349" s="144" t="str">
        <f t="shared" si="11"/>
        <v/>
      </c>
    </row>
    <row r="350" spans="32:35" ht="15.75" customHeight="1">
      <c r="AF350" s="127">
        <f t="shared" si="10"/>
        <v>0</v>
      </c>
      <c r="AG350" s="127" t="str">
        <f>IF(AA350=0,"",Calculator!$B$6)</f>
        <v/>
      </c>
      <c r="AH350" s="127" t="e">
        <f>(AF350/Calculator!$B$10)*Calculator!$B$9</f>
        <v>#DIV/0!</v>
      </c>
      <c r="AI350" s="144" t="str">
        <f t="shared" si="11"/>
        <v/>
      </c>
    </row>
    <row r="351" spans="32:35" ht="15.75" customHeight="1">
      <c r="AF351" s="127">
        <f t="shared" si="10"/>
        <v>0</v>
      </c>
      <c r="AG351" s="127" t="str">
        <f>IF(AA351=0,"",Calculator!$B$6)</f>
        <v/>
      </c>
      <c r="AH351" s="127" t="e">
        <f>(AF351/Calculator!$B$10)*Calculator!$B$9</f>
        <v>#DIV/0!</v>
      </c>
      <c r="AI351" s="144" t="str">
        <f t="shared" si="11"/>
        <v/>
      </c>
    </row>
    <row r="352" spans="32:35" ht="15.75" customHeight="1">
      <c r="AF352" s="127">
        <f t="shared" si="10"/>
        <v>0</v>
      </c>
      <c r="AG352" s="127" t="str">
        <f>IF(AA352=0,"",Calculator!$B$6)</f>
        <v/>
      </c>
      <c r="AH352" s="127" t="e">
        <f>(AF352/Calculator!$B$10)*Calculator!$B$9</f>
        <v>#DIV/0!</v>
      </c>
      <c r="AI352" s="144" t="str">
        <f t="shared" si="11"/>
        <v/>
      </c>
    </row>
    <row r="353" spans="32:35" ht="15.75" customHeight="1">
      <c r="AF353" s="127">
        <f t="shared" si="10"/>
        <v>0</v>
      </c>
      <c r="AG353" s="127" t="str">
        <f>IF(AA353=0,"",Calculator!$B$6)</f>
        <v/>
      </c>
      <c r="AH353" s="127" t="e">
        <f>(AF353/Calculator!$B$10)*Calculator!$B$9</f>
        <v>#DIV/0!</v>
      </c>
      <c r="AI353" s="144" t="str">
        <f t="shared" si="11"/>
        <v/>
      </c>
    </row>
    <row r="354" spans="32:35" ht="15.75" customHeight="1">
      <c r="AF354" s="127">
        <f t="shared" si="10"/>
        <v>0</v>
      </c>
      <c r="AG354" s="127" t="str">
        <f>IF(AA354=0,"",Calculator!$B$6)</f>
        <v/>
      </c>
      <c r="AH354" s="127" t="e">
        <f>(AF354/Calculator!$B$10)*Calculator!$B$9</f>
        <v>#DIV/0!</v>
      </c>
      <c r="AI354" s="144" t="str">
        <f t="shared" si="11"/>
        <v/>
      </c>
    </row>
    <row r="355" spans="32:35" ht="15.75" customHeight="1">
      <c r="AF355" s="127">
        <f t="shared" si="10"/>
        <v>0</v>
      </c>
      <c r="AG355" s="127" t="str">
        <f>IF(AA355=0,"",Calculator!$B$6)</f>
        <v/>
      </c>
      <c r="AH355" s="127" t="e">
        <f>(AF355/Calculator!$B$10)*Calculator!$B$9</f>
        <v>#DIV/0!</v>
      </c>
      <c r="AI355" s="144" t="str">
        <f t="shared" si="11"/>
        <v/>
      </c>
    </row>
    <row r="356" spans="32:35" ht="15.75" customHeight="1">
      <c r="AF356" s="127">
        <f t="shared" si="10"/>
        <v>0</v>
      </c>
      <c r="AG356" s="127" t="str">
        <f>IF(AA356=0,"",Calculator!$B$6)</f>
        <v/>
      </c>
      <c r="AH356" s="127" t="e">
        <f>(AF356/Calculator!$B$10)*Calculator!$B$9</f>
        <v>#DIV/0!</v>
      </c>
      <c r="AI356" s="144" t="str">
        <f t="shared" si="11"/>
        <v/>
      </c>
    </row>
    <row r="357" spans="32:35" ht="15.75" customHeight="1">
      <c r="AF357" s="127">
        <f t="shared" si="10"/>
        <v>0</v>
      </c>
      <c r="AG357" s="127" t="str">
        <f>IF(AA357=0,"",Calculator!$B$6)</f>
        <v/>
      </c>
      <c r="AH357" s="127" t="e">
        <f>(AF357/Calculator!$B$10)*Calculator!$B$9</f>
        <v>#DIV/0!</v>
      </c>
      <c r="AI357" s="144" t="str">
        <f t="shared" si="11"/>
        <v/>
      </c>
    </row>
    <row r="358" spans="32:35" ht="15.75" customHeight="1">
      <c r="AF358" s="127">
        <f t="shared" si="10"/>
        <v>0</v>
      </c>
      <c r="AG358" s="127" t="str">
        <f>IF(AA358=0,"",Calculator!$B$6)</f>
        <v/>
      </c>
      <c r="AH358" s="127" t="e">
        <f>(AF358/Calculator!$B$10)*Calculator!$B$9</f>
        <v>#DIV/0!</v>
      </c>
      <c r="AI358" s="144" t="str">
        <f t="shared" si="11"/>
        <v/>
      </c>
    </row>
    <row r="359" spans="32:35" ht="15.75" customHeight="1">
      <c r="AF359" s="127">
        <f t="shared" si="10"/>
        <v>0</v>
      </c>
      <c r="AG359" s="127" t="str">
        <f>IF(AA359=0,"",Calculator!$B$6)</f>
        <v/>
      </c>
      <c r="AH359" s="127" t="e">
        <f>(AF359/Calculator!$B$10)*Calculator!$B$9</f>
        <v>#DIV/0!</v>
      </c>
      <c r="AI359" s="144" t="str">
        <f t="shared" si="11"/>
        <v/>
      </c>
    </row>
    <row r="360" spans="32:35" ht="15.75" customHeight="1">
      <c r="AF360" s="127">
        <f t="shared" si="10"/>
        <v>0</v>
      </c>
      <c r="AG360" s="127" t="str">
        <f>IF(AA360=0,"",Calculator!$B$6)</f>
        <v/>
      </c>
      <c r="AH360" s="127" t="e">
        <f>(AF360/Calculator!$B$10)*Calculator!$B$9</f>
        <v>#DIV/0!</v>
      </c>
      <c r="AI360" s="144" t="str">
        <f t="shared" si="11"/>
        <v/>
      </c>
    </row>
    <row r="361" spans="32:35" ht="15.75" customHeight="1">
      <c r="AF361" s="127">
        <f t="shared" si="10"/>
        <v>0</v>
      </c>
      <c r="AG361" s="127" t="str">
        <f>IF(AA361=0,"",Calculator!$B$6)</f>
        <v/>
      </c>
      <c r="AH361" s="127" t="e">
        <f>(AF361/Calculator!$B$10)*Calculator!$B$9</f>
        <v>#DIV/0!</v>
      </c>
      <c r="AI361" s="144" t="str">
        <f t="shared" si="11"/>
        <v/>
      </c>
    </row>
    <row r="362" spans="32:35" ht="15.75" customHeight="1">
      <c r="AF362" s="127">
        <f t="shared" si="10"/>
        <v>0</v>
      </c>
      <c r="AG362" s="127" t="str">
        <f>IF(AA362=0,"",Calculator!$B$6)</f>
        <v/>
      </c>
      <c r="AH362" s="127" t="e">
        <f>(AF362/Calculator!$B$10)*Calculator!$B$9</f>
        <v>#DIV/0!</v>
      </c>
      <c r="AI362" s="144" t="str">
        <f t="shared" si="11"/>
        <v/>
      </c>
    </row>
    <row r="363" spans="32:35" ht="15.75" customHeight="1">
      <c r="AF363" s="127">
        <f t="shared" si="10"/>
        <v>0</v>
      </c>
      <c r="AG363" s="127" t="str">
        <f>IF(AA363=0,"",Calculator!$B$6)</f>
        <v/>
      </c>
      <c r="AH363" s="127" t="e">
        <f>(AF363/Calculator!$B$10)*Calculator!$B$9</f>
        <v>#DIV/0!</v>
      </c>
      <c r="AI363" s="144" t="str">
        <f t="shared" si="11"/>
        <v/>
      </c>
    </row>
    <row r="364" spans="32:35" ht="15.75" customHeight="1">
      <c r="AF364" s="127">
        <f t="shared" si="10"/>
        <v>0</v>
      </c>
      <c r="AG364" s="127" t="str">
        <f>IF(AA364=0,"",Calculator!$B$6)</f>
        <v/>
      </c>
      <c r="AH364" s="127" t="e">
        <f>(AF364/Calculator!$B$10)*Calculator!$B$9</f>
        <v>#DIV/0!</v>
      </c>
      <c r="AI364" s="144" t="str">
        <f t="shared" si="11"/>
        <v/>
      </c>
    </row>
    <row r="365" spans="32:35" ht="15.75" customHeight="1">
      <c r="AF365" s="127">
        <f t="shared" si="10"/>
        <v>0</v>
      </c>
      <c r="AG365" s="127" t="str">
        <f>IF(AA365=0,"",Calculator!$B$6)</f>
        <v/>
      </c>
      <c r="AH365" s="127" t="e">
        <f>(AF365/Calculator!$B$10)*Calculator!$B$9</f>
        <v>#DIV/0!</v>
      </c>
      <c r="AI365" s="144" t="str">
        <f t="shared" si="11"/>
        <v/>
      </c>
    </row>
    <row r="366" spans="32:35" ht="15.75" customHeight="1">
      <c r="AF366" s="127">
        <f t="shared" si="10"/>
        <v>0</v>
      </c>
      <c r="AG366" s="127" t="str">
        <f>IF(AA366=0,"",Calculator!$B$6)</f>
        <v/>
      </c>
      <c r="AH366" s="127" t="e">
        <f>(AF366/Calculator!$B$10)*Calculator!$B$9</f>
        <v>#DIV/0!</v>
      </c>
      <c r="AI366" s="144" t="str">
        <f t="shared" si="11"/>
        <v/>
      </c>
    </row>
    <row r="367" spans="32:35" ht="15.75" customHeight="1">
      <c r="AF367" s="127">
        <f t="shared" si="10"/>
        <v>0</v>
      </c>
      <c r="AG367" s="127" t="str">
        <f>IF(AA367=0,"",Calculator!$B$6)</f>
        <v/>
      </c>
      <c r="AH367" s="127" t="e">
        <f>(AF367/Calculator!$B$10)*Calculator!$B$9</f>
        <v>#DIV/0!</v>
      </c>
      <c r="AI367" s="144" t="str">
        <f t="shared" si="11"/>
        <v/>
      </c>
    </row>
    <row r="368" spans="32:35" ht="15.75" customHeight="1">
      <c r="AF368" s="127">
        <f t="shared" si="10"/>
        <v>0</v>
      </c>
      <c r="AG368" s="127" t="str">
        <f>IF(AA368=0,"",Calculator!$B$6)</f>
        <v/>
      </c>
      <c r="AH368" s="127" t="e">
        <f>(AF368/Calculator!$B$10)*Calculator!$B$9</f>
        <v>#DIV/0!</v>
      </c>
      <c r="AI368" s="144" t="str">
        <f t="shared" si="11"/>
        <v/>
      </c>
    </row>
    <row r="369" spans="32:35" ht="15.75" customHeight="1">
      <c r="AF369" s="127">
        <f t="shared" si="10"/>
        <v>0</v>
      </c>
      <c r="AG369" s="127" t="str">
        <f>IF(AA369=0,"",Calculator!$B$6)</f>
        <v/>
      </c>
      <c r="AH369" s="127" t="e">
        <f>(AF369/Calculator!$B$10)*Calculator!$B$9</f>
        <v>#DIV/0!</v>
      </c>
      <c r="AI369" s="144" t="str">
        <f t="shared" si="11"/>
        <v/>
      </c>
    </row>
    <row r="370" spans="32:35" ht="15.75" customHeight="1">
      <c r="AF370" s="127">
        <f t="shared" si="10"/>
        <v>0</v>
      </c>
      <c r="AG370" s="127" t="str">
        <f>IF(AA370=0,"",Calculator!$B$6)</f>
        <v/>
      </c>
      <c r="AH370" s="127" t="e">
        <f>(AF370/Calculator!$B$10)*Calculator!$B$9</f>
        <v>#DIV/0!</v>
      </c>
      <c r="AI370" s="144" t="str">
        <f t="shared" si="11"/>
        <v/>
      </c>
    </row>
    <row r="371" spans="32:35" ht="15.75" customHeight="1">
      <c r="AF371" s="127">
        <f t="shared" si="10"/>
        <v>0</v>
      </c>
      <c r="AG371" s="127" t="str">
        <f>IF(AA371=0,"",Calculator!$B$6)</f>
        <v/>
      </c>
      <c r="AH371" s="127" t="e">
        <f>(AF371/Calculator!$B$10)*Calculator!$B$9</f>
        <v>#DIV/0!</v>
      </c>
      <c r="AI371" s="144" t="str">
        <f t="shared" si="11"/>
        <v/>
      </c>
    </row>
    <row r="372" spans="32:35" ht="15.75" customHeight="1">
      <c r="AF372" s="127">
        <f t="shared" si="10"/>
        <v>0</v>
      </c>
      <c r="AG372" s="127" t="str">
        <f>IF(AA372=0,"",Calculator!$B$6)</f>
        <v/>
      </c>
      <c r="AH372" s="127" t="e">
        <f>(AF372/Calculator!$B$10)*Calculator!$B$9</f>
        <v>#DIV/0!</v>
      </c>
      <c r="AI372" s="144" t="str">
        <f t="shared" si="11"/>
        <v/>
      </c>
    </row>
    <row r="373" spans="32:35" ht="15.75" customHeight="1">
      <c r="AF373" s="127">
        <f t="shared" si="10"/>
        <v>0</v>
      </c>
      <c r="AG373" s="127" t="str">
        <f>IF(AA373=0,"",Calculator!$B$6)</f>
        <v/>
      </c>
      <c r="AH373" s="127" t="e">
        <f>(AF373/Calculator!$B$10)*Calculator!$B$9</f>
        <v>#DIV/0!</v>
      </c>
      <c r="AI373" s="144" t="str">
        <f t="shared" si="11"/>
        <v/>
      </c>
    </row>
    <row r="374" spans="32:35" ht="15.75" customHeight="1">
      <c r="AF374" s="127">
        <f t="shared" si="10"/>
        <v>0</v>
      </c>
      <c r="AG374" s="127" t="str">
        <f>IF(AA374=0,"",Calculator!$B$6)</f>
        <v/>
      </c>
      <c r="AH374" s="127" t="e">
        <f>(AF374/Calculator!$B$10)*Calculator!$B$9</f>
        <v>#DIV/0!</v>
      </c>
      <c r="AI374" s="144" t="str">
        <f t="shared" si="11"/>
        <v/>
      </c>
    </row>
    <row r="375" spans="32:35" ht="15.75" customHeight="1">
      <c r="AF375" s="127">
        <f t="shared" si="10"/>
        <v>0</v>
      </c>
      <c r="AG375" s="127" t="str">
        <f>IF(AA375=0,"",Calculator!$B$6)</f>
        <v/>
      </c>
      <c r="AH375" s="127" t="e">
        <f>(AF375/Calculator!$B$10)*Calculator!$B$9</f>
        <v>#DIV/0!</v>
      </c>
      <c r="AI375" s="144" t="str">
        <f t="shared" si="11"/>
        <v/>
      </c>
    </row>
    <row r="376" spans="32:35" ht="15.75" customHeight="1">
      <c r="AF376" s="127">
        <f t="shared" si="10"/>
        <v>0</v>
      </c>
      <c r="AG376" s="127" t="str">
        <f>IF(AA376=0,"",Calculator!$B$6)</f>
        <v/>
      </c>
      <c r="AH376" s="127" t="e">
        <f>(AF376/Calculator!$B$10)*Calculator!$B$9</f>
        <v>#DIV/0!</v>
      </c>
      <c r="AI376" s="144" t="str">
        <f t="shared" si="11"/>
        <v/>
      </c>
    </row>
    <row r="377" spans="32:35" ht="15.75" customHeight="1">
      <c r="AF377" s="127">
        <f t="shared" si="10"/>
        <v>0</v>
      </c>
      <c r="AG377" s="127" t="str">
        <f>IF(AA377=0,"",Calculator!$B$6)</f>
        <v/>
      </c>
      <c r="AH377" s="127" t="e">
        <f>(AF377/Calculator!$B$10)*Calculator!$B$9</f>
        <v>#DIV/0!</v>
      </c>
      <c r="AI377" s="144" t="str">
        <f t="shared" si="11"/>
        <v/>
      </c>
    </row>
    <row r="378" spans="32:35" ht="15.75" customHeight="1">
      <c r="AF378" s="127">
        <f t="shared" si="10"/>
        <v>0</v>
      </c>
      <c r="AG378" s="127" t="str">
        <f>IF(AA378=0,"",Calculator!$B$6)</f>
        <v/>
      </c>
      <c r="AH378" s="127" t="e">
        <f>(AF378/Calculator!$B$10)*Calculator!$B$9</f>
        <v>#DIV/0!</v>
      </c>
      <c r="AI378" s="144" t="str">
        <f t="shared" si="11"/>
        <v/>
      </c>
    </row>
    <row r="379" spans="32:35" ht="15.75" customHeight="1">
      <c r="AF379" s="127">
        <f t="shared" si="10"/>
        <v>0</v>
      </c>
      <c r="AG379" s="127" t="str">
        <f>IF(AA379=0,"",Calculator!$B$6)</f>
        <v/>
      </c>
      <c r="AH379" s="127" t="e">
        <f>(AF379/Calculator!$B$10)*Calculator!$B$9</f>
        <v>#DIV/0!</v>
      </c>
      <c r="AI379" s="144" t="str">
        <f t="shared" si="11"/>
        <v/>
      </c>
    </row>
    <row r="380" spans="32:35" ht="15.75" customHeight="1">
      <c r="AF380" s="127">
        <f t="shared" si="10"/>
        <v>0</v>
      </c>
      <c r="AG380" s="127" t="str">
        <f>IF(AA380=0,"",Calculator!$B$6)</f>
        <v/>
      </c>
      <c r="AH380" s="127" t="e">
        <f>(AF380/Calculator!$B$10)*Calculator!$B$9</f>
        <v>#DIV/0!</v>
      </c>
      <c r="AI380" s="144" t="str">
        <f t="shared" si="11"/>
        <v/>
      </c>
    </row>
    <row r="381" spans="32:35" ht="15.75" customHeight="1">
      <c r="AF381" s="127">
        <f t="shared" si="10"/>
        <v>0</v>
      </c>
      <c r="AG381" s="127" t="str">
        <f>IF(AA381=0,"",Calculator!$B$6)</f>
        <v/>
      </c>
      <c r="AH381" s="127" t="e">
        <f>(AF381/Calculator!$B$10)*Calculator!$B$9</f>
        <v>#DIV/0!</v>
      </c>
      <c r="AI381" s="144" t="str">
        <f t="shared" si="11"/>
        <v/>
      </c>
    </row>
    <row r="382" spans="32:35" ht="15.75" customHeight="1">
      <c r="AF382" s="127">
        <f t="shared" si="10"/>
        <v>0</v>
      </c>
      <c r="AG382" s="127" t="str">
        <f>IF(AA382=0,"",Calculator!$B$6)</f>
        <v/>
      </c>
      <c r="AH382" s="127" t="e">
        <f>(AF382/Calculator!$B$10)*Calculator!$B$9</f>
        <v>#DIV/0!</v>
      </c>
      <c r="AI382" s="144" t="str">
        <f t="shared" si="11"/>
        <v/>
      </c>
    </row>
    <row r="383" spans="32:35" ht="15.75" customHeight="1">
      <c r="AF383" s="127">
        <f t="shared" si="10"/>
        <v>0</v>
      </c>
      <c r="AG383" s="127" t="str">
        <f>IF(AA383=0,"",Calculator!$B$6)</f>
        <v/>
      </c>
      <c r="AH383" s="127" t="e">
        <f>(AF383/Calculator!$B$10)*Calculator!$B$9</f>
        <v>#DIV/0!</v>
      </c>
      <c r="AI383" s="144" t="str">
        <f t="shared" si="11"/>
        <v/>
      </c>
    </row>
    <row r="384" spans="32:35" ht="15.75" customHeight="1">
      <c r="AF384" s="127">
        <f t="shared" si="10"/>
        <v>0</v>
      </c>
      <c r="AG384" s="127" t="str">
        <f>IF(AA384=0,"",Calculator!$B$6)</f>
        <v/>
      </c>
      <c r="AH384" s="127" t="e">
        <f>(AF384/Calculator!$B$10)*Calculator!$B$9</f>
        <v>#DIV/0!</v>
      </c>
      <c r="AI384" s="144" t="str">
        <f t="shared" si="11"/>
        <v/>
      </c>
    </row>
    <row r="385" spans="32:35" ht="15.75" customHeight="1">
      <c r="AF385" s="127">
        <f t="shared" si="10"/>
        <v>0</v>
      </c>
      <c r="AG385" s="127" t="str">
        <f>IF(AA385=0,"",Calculator!$B$6)</f>
        <v/>
      </c>
      <c r="AH385" s="127" t="e">
        <f>(AF385/Calculator!$B$10)*Calculator!$B$9</f>
        <v>#DIV/0!</v>
      </c>
      <c r="AI385" s="144" t="str">
        <f t="shared" si="11"/>
        <v/>
      </c>
    </row>
    <row r="386" spans="32:35" ht="15.75" customHeight="1">
      <c r="AF386" s="127">
        <f t="shared" si="10"/>
        <v>0</v>
      </c>
      <c r="AG386" s="127" t="str">
        <f>IF(AA386=0,"",Calculator!$B$6)</f>
        <v/>
      </c>
      <c r="AH386" s="127" t="e">
        <f>(AF386/Calculator!$B$10)*Calculator!$B$9</f>
        <v>#DIV/0!</v>
      </c>
      <c r="AI386" s="144" t="str">
        <f t="shared" si="11"/>
        <v/>
      </c>
    </row>
    <row r="387" spans="32:35" ht="15.75" customHeight="1">
      <c r="AF387" s="127">
        <f t="shared" si="10"/>
        <v>0</v>
      </c>
      <c r="AG387" s="127" t="str">
        <f>IF(AA387=0,"",Calculator!$B$6)</f>
        <v/>
      </c>
      <c r="AH387" s="127" t="e">
        <f>(AF387/Calculator!$B$10)*Calculator!$B$9</f>
        <v>#DIV/0!</v>
      </c>
      <c r="AI387" s="144" t="str">
        <f t="shared" si="11"/>
        <v/>
      </c>
    </row>
    <row r="388" spans="32:35" ht="15.75" customHeight="1">
      <c r="AF388" s="127">
        <f t="shared" si="10"/>
        <v>0</v>
      </c>
      <c r="AG388" s="127" t="str">
        <f>IF(AA388=0,"",Calculator!$B$6)</f>
        <v/>
      </c>
      <c r="AH388" s="127" t="e">
        <f>(AF388/Calculator!$B$10)*Calculator!$B$9</f>
        <v>#DIV/0!</v>
      </c>
      <c r="AI388" s="144" t="str">
        <f t="shared" si="11"/>
        <v/>
      </c>
    </row>
    <row r="389" spans="32:35" ht="15.75" customHeight="1">
      <c r="AF389" s="127">
        <f t="shared" si="10"/>
        <v>0</v>
      </c>
      <c r="AG389" s="127" t="str">
        <f>IF(AA389=0,"",Calculator!$B$6)</f>
        <v/>
      </c>
      <c r="AH389" s="127" t="e">
        <f>(AF389/Calculator!$B$10)*Calculator!$B$9</f>
        <v>#DIV/0!</v>
      </c>
      <c r="AI389" s="144" t="str">
        <f t="shared" si="11"/>
        <v/>
      </c>
    </row>
    <row r="390" spans="32:35" ht="15.75" customHeight="1">
      <c r="AF390" s="127">
        <f t="shared" si="10"/>
        <v>0</v>
      </c>
      <c r="AG390" s="127" t="str">
        <f>IF(AA390=0,"",Calculator!$B$6)</f>
        <v/>
      </c>
      <c r="AH390" s="127" t="e">
        <f>(AF390/Calculator!$B$10)*Calculator!$B$9</f>
        <v>#DIV/0!</v>
      </c>
      <c r="AI390" s="144" t="str">
        <f t="shared" si="11"/>
        <v/>
      </c>
    </row>
    <row r="391" spans="32:35" ht="15.75" customHeight="1">
      <c r="AF391" s="127">
        <f t="shared" si="10"/>
        <v>0</v>
      </c>
      <c r="AG391" s="127" t="str">
        <f>IF(AA391=0,"",Calculator!$B$6)</f>
        <v/>
      </c>
      <c r="AH391" s="127" t="e">
        <f>(AF391/Calculator!$B$10)*Calculator!$B$9</f>
        <v>#DIV/0!</v>
      </c>
      <c r="AI391" s="144" t="str">
        <f t="shared" si="11"/>
        <v/>
      </c>
    </row>
    <row r="392" spans="32:35" ht="15.75" customHeight="1">
      <c r="AF392" s="127">
        <f t="shared" si="10"/>
        <v>0</v>
      </c>
      <c r="AG392" s="127" t="str">
        <f>IF(AA392=0,"",Calculator!$B$6)</f>
        <v/>
      </c>
      <c r="AH392" s="127" t="e">
        <f>(AF392/Calculator!$B$10)*Calculator!$B$9</f>
        <v>#DIV/0!</v>
      </c>
      <c r="AI392" s="144" t="str">
        <f t="shared" si="11"/>
        <v/>
      </c>
    </row>
    <row r="393" spans="32:35" ht="15.75" customHeight="1">
      <c r="AF393" s="127">
        <f t="shared" si="10"/>
        <v>0</v>
      </c>
      <c r="AG393" s="127" t="str">
        <f>IF(AA393=0,"",Calculator!$B$6)</f>
        <v/>
      </c>
      <c r="AH393" s="127" t="e">
        <f>(AF393/Calculator!$B$10)*Calculator!$B$9</f>
        <v>#DIV/0!</v>
      </c>
      <c r="AI393" s="144" t="str">
        <f t="shared" si="11"/>
        <v/>
      </c>
    </row>
    <row r="394" spans="32:35" ht="15.75" customHeight="1">
      <c r="AF394" s="127">
        <f t="shared" ref="AF394:AF457" si="12">IFERROR(AA394*AG394,0)</f>
        <v>0</v>
      </c>
      <c r="AG394" s="127" t="str">
        <f>IF(AA394=0,"",Calculator!$B$6)</f>
        <v/>
      </c>
      <c r="AH394" s="127" t="e">
        <f>(AF394/Calculator!$B$10)*Calculator!$B$9</f>
        <v>#DIV/0!</v>
      </c>
      <c r="AI394" s="144" t="str">
        <f t="shared" ref="AI394:AI457" si="13">IF(ISBLANK(AA394),"","RS Means")</f>
        <v/>
      </c>
    </row>
    <row r="395" spans="32:35" ht="15.75" customHeight="1">
      <c r="AF395" s="127">
        <f t="shared" si="12"/>
        <v>0</v>
      </c>
      <c r="AG395" s="127" t="str">
        <f>IF(AA395=0,"",Calculator!$B$6)</f>
        <v/>
      </c>
      <c r="AH395" s="127" t="e">
        <f>(AF395/Calculator!$B$10)*Calculator!$B$9</f>
        <v>#DIV/0!</v>
      </c>
      <c r="AI395" s="144" t="str">
        <f t="shared" si="13"/>
        <v/>
      </c>
    </row>
    <row r="396" spans="32:35" ht="15.75" customHeight="1">
      <c r="AF396" s="127">
        <f t="shared" si="12"/>
        <v>0</v>
      </c>
      <c r="AG396" s="127" t="str">
        <f>IF(AA396=0,"",Calculator!$B$6)</f>
        <v/>
      </c>
      <c r="AH396" s="127" t="e">
        <f>(AF396/Calculator!$B$10)*Calculator!$B$9</f>
        <v>#DIV/0!</v>
      </c>
      <c r="AI396" s="144" t="str">
        <f t="shared" si="13"/>
        <v/>
      </c>
    </row>
    <row r="397" spans="32:35" ht="15.75" customHeight="1">
      <c r="AF397" s="127">
        <f t="shared" si="12"/>
        <v>0</v>
      </c>
      <c r="AG397" s="127" t="str">
        <f>IF(AA397=0,"",Calculator!$B$6)</f>
        <v/>
      </c>
      <c r="AH397" s="127" t="e">
        <f>(AF397/Calculator!$B$10)*Calculator!$B$9</f>
        <v>#DIV/0!</v>
      </c>
      <c r="AI397" s="144" t="str">
        <f t="shared" si="13"/>
        <v/>
      </c>
    </row>
    <row r="398" spans="32:35" ht="15.75" customHeight="1">
      <c r="AF398" s="127">
        <f t="shared" si="12"/>
        <v>0</v>
      </c>
      <c r="AG398" s="127" t="str">
        <f>IF(AA398=0,"",Calculator!$B$6)</f>
        <v/>
      </c>
      <c r="AH398" s="127" t="e">
        <f>(AF398/Calculator!$B$10)*Calculator!$B$9</f>
        <v>#DIV/0!</v>
      </c>
      <c r="AI398" s="144" t="str">
        <f t="shared" si="13"/>
        <v/>
      </c>
    </row>
    <row r="399" spans="32:35" ht="15.75" customHeight="1">
      <c r="AF399" s="127">
        <f t="shared" si="12"/>
        <v>0</v>
      </c>
      <c r="AG399" s="127" t="str">
        <f>IF(AA399=0,"",Calculator!$B$6)</f>
        <v/>
      </c>
      <c r="AH399" s="127" t="e">
        <f>(AF399/Calculator!$B$10)*Calculator!$B$9</f>
        <v>#DIV/0!</v>
      </c>
      <c r="AI399" s="144" t="str">
        <f t="shared" si="13"/>
        <v/>
      </c>
    </row>
    <row r="400" spans="32:35" ht="15.75" customHeight="1">
      <c r="AF400" s="127">
        <f t="shared" si="12"/>
        <v>0</v>
      </c>
      <c r="AG400" s="127" t="str">
        <f>IF(AA400=0,"",Calculator!$B$6)</f>
        <v/>
      </c>
      <c r="AH400" s="127" t="e">
        <f>(AF400/Calculator!$B$10)*Calculator!$B$9</f>
        <v>#DIV/0!</v>
      </c>
      <c r="AI400" s="144" t="str">
        <f t="shared" si="13"/>
        <v/>
      </c>
    </row>
    <row r="401" spans="32:35" ht="15.75" customHeight="1">
      <c r="AF401" s="127">
        <f t="shared" si="12"/>
        <v>0</v>
      </c>
      <c r="AG401" s="127" t="str">
        <f>IF(AA401=0,"",Calculator!$B$6)</f>
        <v/>
      </c>
      <c r="AH401" s="127" t="e">
        <f>(AF401/Calculator!$B$10)*Calculator!$B$9</f>
        <v>#DIV/0!</v>
      </c>
      <c r="AI401" s="144" t="str">
        <f t="shared" si="13"/>
        <v/>
      </c>
    </row>
    <row r="402" spans="32:35" ht="15.75" customHeight="1">
      <c r="AF402" s="127">
        <f t="shared" si="12"/>
        <v>0</v>
      </c>
      <c r="AG402" s="127" t="str">
        <f>IF(AA402=0,"",Calculator!$B$6)</f>
        <v/>
      </c>
      <c r="AH402" s="127" t="e">
        <f>(AF402/Calculator!$B$10)*Calculator!$B$9</f>
        <v>#DIV/0!</v>
      </c>
      <c r="AI402" s="144" t="str">
        <f t="shared" si="13"/>
        <v/>
      </c>
    </row>
    <row r="403" spans="32:35" ht="15.75" customHeight="1">
      <c r="AF403" s="127">
        <f t="shared" si="12"/>
        <v>0</v>
      </c>
      <c r="AG403" s="127" t="str">
        <f>IF(AA403=0,"",Calculator!$B$6)</f>
        <v/>
      </c>
      <c r="AH403" s="127" t="e">
        <f>(AF403/Calculator!$B$10)*Calculator!$B$9</f>
        <v>#DIV/0!</v>
      </c>
      <c r="AI403" s="144" t="str">
        <f t="shared" si="13"/>
        <v/>
      </c>
    </row>
    <row r="404" spans="32:35" ht="15.75" customHeight="1">
      <c r="AF404" s="127">
        <f t="shared" si="12"/>
        <v>0</v>
      </c>
      <c r="AG404" s="127" t="str">
        <f>IF(AA404=0,"",Calculator!$B$6)</f>
        <v/>
      </c>
      <c r="AH404" s="127" t="e">
        <f>(AF404/Calculator!$B$10)*Calculator!$B$9</f>
        <v>#DIV/0!</v>
      </c>
      <c r="AI404" s="144" t="str">
        <f t="shared" si="13"/>
        <v/>
      </c>
    </row>
    <row r="405" spans="32:35" ht="15.75" customHeight="1">
      <c r="AF405" s="127">
        <f t="shared" si="12"/>
        <v>0</v>
      </c>
      <c r="AG405" s="127" t="str">
        <f>IF(AA405=0,"",Calculator!$B$6)</f>
        <v/>
      </c>
      <c r="AH405" s="127" t="e">
        <f>(AF405/Calculator!$B$10)*Calculator!$B$9</f>
        <v>#DIV/0!</v>
      </c>
      <c r="AI405" s="144" t="str">
        <f t="shared" si="13"/>
        <v/>
      </c>
    </row>
    <row r="406" spans="32:35" ht="15.75" customHeight="1">
      <c r="AF406" s="127">
        <f t="shared" si="12"/>
        <v>0</v>
      </c>
      <c r="AG406" s="127" t="str">
        <f>IF(AA406=0,"",Calculator!$B$6)</f>
        <v/>
      </c>
      <c r="AH406" s="127" t="e">
        <f>(AF406/Calculator!$B$10)*Calculator!$B$9</f>
        <v>#DIV/0!</v>
      </c>
      <c r="AI406" s="144" t="str">
        <f t="shared" si="13"/>
        <v/>
      </c>
    </row>
    <row r="407" spans="32:35" ht="15.75" customHeight="1">
      <c r="AF407" s="127">
        <f t="shared" si="12"/>
        <v>0</v>
      </c>
      <c r="AG407" s="127" t="str">
        <f>IF(AA407=0,"",Calculator!$B$6)</f>
        <v/>
      </c>
      <c r="AH407" s="127" t="e">
        <f>(AF407/Calculator!$B$10)*Calculator!$B$9</f>
        <v>#DIV/0!</v>
      </c>
      <c r="AI407" s="144" t="str">
        <f t="shared" si="13"/>
        <v/>
      </c>
    </row>
    <row r="408" spans="32:35" ht="15.75" customHeight="1">
      <c r="AF408" s="127">
        <f t="shared" si="12"/>
        <v>0</v>
      </c>
      <c r="AG408" s="127" t="str">
        <f>IF(AA408=0,"",Calculator!$B$6)</f>
        <v/>
      </c>
      <c r="AH408" s="127" t="e">
        <f>(AF408/Calculator!$B$10)*Calculator!$B$9</f>
        <v>#DIV/0!</v>
      </c>
      <c r="AI408" s="144" t="str">
        <f t="shared" si="13"/>
        <v/>
      </c>
    </row>
    <row r="409" spans="32:35" ht="15.75" customHeight="1">
      <c r="AF409" s="127">
        <f t="shared" si="12"/>
        <v>0</v>
      </c>
      <c r="AG409" s="127" t="str">
        <f>IF(AA409=0,"",Calculator!$B$6)</f>
        <v/>
      </c>
      <c r="AH409" s="127" t="e">
        <f>(AF409/Calculator!$B$10)*Calculator!$B$9</f>
        <v>#DIV/0!</v>
      </c>
      <c r="AI409" s="144" t="str">
        <f t="shared" si="13"/>
        <v/>
      </c>
    </row>
    <row r="410" spans="32:35" ht="15.75" customHeight="1">
      <c r="AF410" s="127">
        <f t="shared" si="12"/>
        <v>0</v>
      </c>
      <c r="AG410" s="127" t="str">
        <f>IF(AA410=0,"",Calculator!$B$6)</f>
        <v/>
      </c>
      <c r="AH410" s="127" t="e">
        <f>(AF410/Calculator!$B$10)*Calculator!$B$9</f>
        <v>#DIV/0!</v>
      </c>
      <c r="AI410" s="144" t="str">
        <f t="shared" si="13"/>
        <v/>
      </c>
    </row>
    <row r="411" spans="32:35" ht="15.75" customHeight="1">
      <c r="AF411" s="127">
        <f t="shared" si="12"/>
        <v>0</v>
      </c>
      <c r="AG411" s="127" t="str">
        <f>IF(AA411=0,"",Calculator!$B$6)</f>
        <v/>
      </c>
      <c r="AH411" s="127" t="e">
        <f>(AF411/Calculator!$B$10)*Calculator!$B$9</f>
        <v>#DIV/0!</v>
      </c>
      <c r="AI411" s="144" t="str">
        <f t="shared" si="13"/>
        <v/>
      </c>
    </row>
    <row r="412" spans="32:35" ht="15.75" customHeight="1">
      <c r="AF412" s="127">
        <f t="shared" si="12"/>
        <v>0</v>
      </c>
      <c r="AG412" s="127" t="str">
        <f>IF(AA412=0,"",Calculator!$B$6)</f>
        <v/>
      </c>
      <c r="AH412" s="127" t="e">
        <f>(AF412/Calculator!$B$10)*Calculator!$B$9</f>
        <v>#DIV/0!</v>
      </c>
      <c r="AI412" s="144" t="str">
        <f t="shared" si="13"/>
        <v/>
      </c>
    </row>
    <row r="413" spans="32:35" ht="15.75" customHeight="1">
      <c r="AF413" s="127">
        <f t="shared" si="12"/>
        <v>0</v>
      </c>
      <c r="AG413" s="127" t="str">
        <f>IF(AA413=0,"",Calculator!$B$6)</f>
        <v/>
      </c>
      <c r="AH413" s="127" t="e">
        <f>(AF413/Calculator!$B$10)*Calculator!$B$9</f>
        <v>#DIV/0!</v>
      </c>
      <c r="AI413" s="144" t="str">
        <f t="shared" si="13"/>
        <v/>
      </c>
    </row>
    <row r="414" spans="32:35" ht="15.75" customHeight="1">
      <c r="AF414" s="127">
        <f t="shared" si="12"/>
        <v>0</v>
      </c>
      <c r="AG414" s="127" t="str">
        <f>IF(AA414=0,"",Calculator!$B$6)</f>
        <v/>
      </c>
      <c r="AH414" s="127" t="e">
        <f>(AF414/Calculator!$B$10)*Calculator!$B$9</f>
        <v>#DIV/0!</v>
      </c>
      <c r="AI414" s="144" t="str">
        <f t="shared" si="13"/>
        <v/>
      </c>
    </row>
    <row r="415" spans="32:35" ht="15.75" customHeight="1">
      <c r="AF415" s="127">
        <f t="shared" si="12"/>
        <v>0</v>
      </c>
      <c r="AG415" s="127" t="str">
        <f>IF(AA415=0,"",Calculator!$B$6)</f>
        <v/>
      </c>
      <c r="AH415" s="127" t="e">
        <f>(AF415/Calculator!$B$10)*Calculator!$B$9</f>
        <v>#DIV/0!</v>
      </c>
      <c r="AI415" s="144" t="str">
        <f t="shared" si="13"/>
        <v/>
      </c>
    </row>
    <row r="416" spans="32:35" ht="15.75" customHeight="1">
      <c r="AF416" s="127">
        <f t="shared" si="12"/>
        <v>0</v>
      </c>
      <c r="AG416" s="127" t="str">
        <f>IF(AA416=0,"",Calculator!$B$6)</f>
        <v/>
      </c>
      <c r="AH416" s="127" t="e">
        <f>(AF416/Calculator!$B$10)*Calculator!$B$9</f>
        <v>#DIV/0!</v>
      </c>
      <c r="AI416" s="144" t="str">
        <f t="shared" si="13"/>
        <v/>
      </c>
    </row>
    <row r="417" spans="32:35" ht="15.75" customHeight="1">
      <c r="AF417" s="127">
        <f t="shared" si="12"/>
        <v>0</v>
      </c>
      <c r="AG417" s="127" t="str">
        <f>IF(AA417=0,"",Calculator!$B$6)</f>
        <v/>
      </c>
      <c r="AH417" s="127" t="e">
        <f>(AF417/Calculator!$B$10)*Calculator!$B$9</f>
        <v>#DIV/0!</v>
      </c>
      <c r="AI417" s="144" t="str">
        <f t="shared" si="13"/>
        <v/>
      </c>
    </row>
    <row r="418" spans="32:35" ht="15.75" customHeight="1">
      <c r="AF418" s="127">
        <f t="shared" si="12"/>
        <v>0</v>
      </c>
      <c r="AG418" s="127" t="str">
        <f>IF(AA418=0,"",Calculator!$B$6)</f>
        <v/>
      </c>
      <c r="AH418" s="127" t="e">
        <f>(AF418/Calculator!$B$10)*Calculator!$B$9</f>
        <v>#DIV/0!</v>
      </c>
      <c r="AI418" s="144" t="str">
        <f t="shared" si="13"/>
        <v/>
      </c>
    </row>
    <row r="419" spans="32:35" ht="15.75" customHeight="1">
      <c r="AF419" s="127">
        <f t="shared" si="12"/>
        <v>0</v>
      </c>
      <c r="AG419" s="127" t="str">
        <f>IF(AA419=0,"",Calculator!$B$6)</f>
        <v/>
      </c>
      <c r="AH419" s="127" t="e">
        <f>(AF419/Calculator!$B$10)*Calculator!$B$9</f>
        <v>#DIV/0!</v>
      </c>
      <c r="AI419" s="144" t="str">
        <f t="shared" si="13"/>
        <v/>
      </c>
    </row>
    <row r="420" spans="32:35" ht="15.75" customHeight="1">
      <c r="AF420" s="127">
        <f t="shared" si="12"/>
        <v>0</v>
      </c>
      <c r="AG420" s="127" t="str">
        <f>IF(AA420=0,"",Calculator!$B$6)</f>
        <v/>
      </c>
      <c r="AH420" s="127" t="e">
        <f>(AF420/Calculator!$B$10)*Calculator!$B$9</f>
        <v>#DIV/0!</v>
      </c>
      <c r="AI420" s="144" t="str">
        <f t="shared" si="13"/>
        <v/>
      </c>
    </row>
    <row r="421" spans="32:35" ht="15.75" customHeight="1">
      <c r="AF421" s="127">
        <f t="shared" si="12"/>
        <v>0</v>
      </c>
      <c r="AG421" s="127" t="str">
        <f>IF(AA421=0,"",Calculator!$B$6)</f>
        <v/>
      </c>
      <c r="AH421" s="127" t="e">
        <f>(AF421/Calculator!$B$10)*Calculator!$B$9</f>
        <v>#DIV/0!</v>
      </c>
      <c r="AI421" s="144" t="str">
        <f t="shared" si="13"/>
        <v/>
      </c>
    </row>
    <row r="422" spans="32:35" ht="15.75" customHeight="1">
      <c r="AF422" s="127">
        <f t="shared" si="12"/>
        <v>0</v>
      </c>
      <c r="AG422" s="127" t="str">
        <f>IF(AA422=0,"",Calculator!$B$6)</f>
        <v/>
      </c>
      <c r="AH422" s="127" t="e">
        <f>(AF422/Calculator!$B$10)*Calculator!$B$9</f>
        <v>#DIV/0!</v>
      </c>
      <c r="AI422" s="144" t="str">
        <f t="shared" si="13"/>
        <v/>
      </c>
    </row>
    <row r="423" spans="32:35" ht="15.75" customHeight="1">
      <c r="AF423" s="127">
        <f t="shared" si="12"/>
        <v>0</v>
      </c>
      <c r="AG423" s="127" t="str">
        <f>IF(AA423=0,"",Calculator!$B$6)</f>
        <v/>
      </c>
      <c r="AH423" s="127" t="e">
        <f>(AF423/Calculator!$B$10)*Calculator!$B$9</f>
        <v>#DIV/0!</v>
      </c>
      <c r="AI423" s="144" t="str">
        <f t="shared" si="13"/>
        <v/>
      </c>
    </row>
    <row r="424" spans="32:35" ht="15.75" customHeight="1">
      <c r="AF424" s="127">
        <f t="shared" si="12"/>
        <v>0</v>
      </c>
      <c r="AG424" s="127" t="str">
        <f>IF(AA424=0,"",Calculator!$B$6)</f>
        <v/>
      </c>
      <c r="AH424" s="127" t="e">
        <f>(AF424/Calculator!$B$10)*Calculator!$B$9</f>
        <v>#DIV/0!</v>
      </c>
      <c r="AI424" s="144" t="str">
        <f t="shared" si="13"/>
        <v/>
      </c>
    </row>
    <row r="425" spans="32:35" ht="15.75" customHeight="1">
      <c r="AF425" s="127">
        <f t="shared" si="12"/>
        <v>0</v>
      </c>
      <c r="AG425" s="127" t="str">
        <f>IF(AA425=0,"",Calculator!$B$6)</f>
        <v/>
      </c>
      <c r="AH425" s="127" t="e">
        <f>(AF425/Calculator!$B$10)*Calculator!$B$9</f>
        <v>#DIV/0!</v>
      </c>
      <c r="AI425" s="144" t="str">
        <f t="shared" si="13"/>
        <v/>
      </c>
    </row>
    <row r="426" spans="32:35" ht="15.75" customHeight="1">
      <c r="AF426" s="127">
        <f t="shared" si="12"/>
        <v>0</v>
      </c>
      <c r="AG426" s="127" t="str">
        <f>IF(AA426=0,"",Calculator!$B$6)</f>
        <v/>
      </c>
      <c r="AH426" s="127" t="e">
        <f>(AF426/Calculator!$B$10)*Calculator!$B$9</f>
        <v>#DIV/0!</v>
      </c>
      <c r="AI426" s="144" t="str">
        <f t="shared" si="13"/>
        <v/>
      </c>
    </row>
    <row r="427" spans="32:35" ht="15.75" customHeight="1">
      <c r="AF427" s="127">
        <f t="shared" si="12"/>
        <v>0</v>
      </c>
      <c r="AG427" s="127" t="str">
        <f>IF(AA427=0,"",Calculator!$B$6)</f>
        <v/>
      </c>
      <c r="AH427" s="127" t="e">
        <f>(AF427/Calculator!$B$10)*Calculator!$B$9</f>
        <v>#DIV/0!</v>
      </c>
      <c r="AI427" s="144" t="str">
        <f t="shared" si="13"/>
        <v/>
      </c>
    </row>
    <row r="428" spans="32:35" ht="15.75" customHeight="1">
      <c r="AF428" s="127">
        <f t="shared" si="12"/>
        <v>0</v>
      </c>
      <c r="AG428" s="127" t="str">
        <f>IF(AA428=0,"",Calculator!$B$6)</f>
        <v/>
      </c>
      <c r="AH428" s="127" t="e">
        <f>(AF428/Calculator!$B$10)*Calculator!$B$9</f>
        <v>#DIV/0!</v>
      </c>
      <c r="AI428" s="144" t="str">
        <f t="shared" si="13"/>
        <v/>
      </c>
    </row>
    <row r="429" spans="32:35" ht="15.75" customHeight="1">
      <c r="AF429" s="127">
        <f t="shared" si="12"/>
        <v>0</v>
      </c>
      <c r="AG429" s="127" t="str">
        <f>IF(AA429=0,"",Calculator!$B$6)</f>
        <v/>
      </c>
      <c r="AH429" s="127" t="e">
        <f>(AF429/Calculator!$B$10)*Calculator!$B$9</f>
        <v>#DIV/0!</v>
      </c>
      <c r="AI429" s="144" t="str">
        <f t="shared" si="13"/>
        <v/>
      </c>
    </row>
    <row r="430" spans="32:35" ht="15.75" customHeight="1">
      <c r="AF430" s="127">
        <f t="shared" si="12"/>
        <v>0</v>
      </c>
      <c r="AG430" s="127" t="str">
        <f>IF(AA430=0,"",Calculator!$B$6)</f>
        <v/>
      </c>
      <c r="AH430" s="127" t="e">
        <f>(AF430/Calculator!$B$10)*Calculator!$B$9</f>
        <v>#DIV/0!</v>
      </c>
      <c r="AI430" s="144" t="str">
        <f t="shared" si="13"/>
        <v/>
      </c>
    </row>
    <row r="431" spans="32:35" ht="15.75" customHeight="1">
      <c r="AF431" s="127">
        <f t="shared" si="12"/>
        <v>0</v>
      </c>
      <c r="AG431" s="127" t="str">
        <f>IF(AA431=0,"",Calculator!$B$6)</f>
        <v/>
      </c>
      <c r="AH431" s="127" t="e">
        <f>(AF431/Calculator!$B$10)*Calculator!$B$9</f>
        <v>#DIV/0!</v>
      </c>
      <c r="AI431" s="144" t="str">
        <f t="shared" si="13"/>
        <v/>
      </c>
    </row>
    <row r="432" spans="32:35" ht="15.75" customHeight="1">
      <c r="AF432" s="127">
        <f t="shared" si="12"/>
        <v>0</v>
      </c>
      <c r="AG432" s="127" t="str">
        <f>IF(AA432=0,"",Calculator!$B$6)</f>
        <v/>
      </c>
      <c r="AH432" s="127" t="e">
        <f>(AF432/Calculator!$B$10)*Calculator!$B$9</f>
        <v>#DIV/0!</v>
      </c>
      <c r="AI432" s="144" t="str">
        <f t="shared" si="13"/>
        <v/>
      </c>
    </row>
    <row r="433" spans="32:35" ht="15.75" customHeight="1">
      <c r="AF433" s="127">
        <f t="shared" si="12"/>
        <v>0</v>
      </c>
      <c r="AG433" s="127" t="str">
        <f>IF(AA433=0,"",Calculator!$B$6)</f>
        <v/>
      </c>
      <c r="AH433" s="127" t="e">
        <f>(AF433/Calculator!$B$10)*Calculator!$B$9</f>
        <v>#DIV/0!</v>
      </c>
      <c r="AI433" s="144" t="str">
        <f t="shared" si="13"/>
        <v/>
      </c>
    </row>
    <row r="434" spans="32:35" ht="15.75" customHeight="1">
      <c r="AF434" s="127">
        <f t="shared" si="12"/>
        <v>0</v>
      </c>
      <c r="AG434" s="127" t="str">
        <f>IF(AA434=0,"",Calculator!$B$6)</f>
        <v/>
      </c>
      <c r="AH434" s="127" t="e">
        <f>(AF434/Calculator!$B$10)*Calculator!$B$9</f>
        <v>#DIV/0!</v>
      </c>
      <c r="AI434" s="144" t="str">
        <f t="shared" si="13"/>
        <v/>
      </c>
    </row>
    <row r="435" spans="32:35" ht="15.75" customHeight="1">
      <c r="AF435" s="127">
        <f t="shared" si="12"/>
        <v>0</v>
      </c>
      <c r="AG435" s="127" t="str">
        <f>IF(AA435=0,"",Calculator!$B$6)</f>
        <v/>
      </c>
      <c r="AH435" s="127" t="e">
        <f>(AF435/Calculator!$B$10)*Calculator!$B$9</f>
        <v>#DIV/0!</v>
      </c>
      <c r="AI435" s="144" t="str">
        <f t="shared" si="13"/>
        <v/>
      </c>
    </row>
    <row r="436" spans="32:35" ht="15.75" customHeight="1">
      <c r="AF436" s="127">
        <f t="shared" si="12"/>
        <v>0</v>
      </c>
      <c r="AG436" s="127" t="str">
        <f>IF(AA436=0,"",Calculator!$B$6)</f>
        <v/>
      </c>
      <c r="AH436" s="127" t="e">
        <f>(AF436/Calculator!$B$10)*Calculator!$B$9</f>
        <v>#DIV/0!</v>
      </c>
      <c r="AI436" s="144" t="str">
        <f t="shared" si="13"/>
        <v/>
      </c>
    </row>
    <row r="437" spans="32:35" ht="15.75" customHeight="1">
      <c r="AF437" s="127">
        <f t="shared" si="12"/>
        <v>0</v>
      </c>
      <c r="AG437" s="127" t="str">
        <f>IF(AA437=0,"",Calculator!$B$6)</f>
        <v/>
      </c>
      <c r="AH437" s="127" t="e">
        <f>(AF437/Calculator!$B$10)*Calculator!$B$9</f>
        <v>#DIV/0!</v>
      </c>
      <c r="AI437" s="144" t="str">
        <f t="shared" si="13"/>
        <v/>
      </c>
    </row>
    <row r="438" spans="32:35" ht="15.75" customHeight="1">
      <c r="AF438" s="127">
        <f t="shared" si="12"/>
        <v>0</v>
      </c>
      <c r="AG438" s="127" t="str">
        <f>IF(AA438=0,"",Calculator!$B$6)</f>
        <v/>
      </c>
      <c r="AH438" s="127" t="e">
        <f>(AF438/Calculator!$B$10)*Calculator!$B$9</f>
        <v>#DIV/0!</v>
      </c>
      <c r="AI438" s="144" t="str">
        <f t="shared" si="13"/>
        <v/>
      </c>
    </row>
    <row r="439" spans="32:35" ht="15.75" customHeight="1">
      <c r="AF439" s="127">
        <f t="shared" si="12"/>
        <v>0</v>
      </c>
      <c r="AG439" s="127" t="str">
        <f>IF(AA439=0,"",Calculator!$B$6)</f>
        <v/>
      </c>
      <c r="AH439" s="127" t="e">
        <f>(AF439/Calculator!$B$10)*Calculator!$B$9</f>
        <v>#DIV/0!</v>
      </c>
      <c r="AI439" s="144" t="str">
        <f t="shared" si="13"/>
        <v/>
      </c>
    </row>
    <row r="440" spans="32:35" ht="15.75" customHeight="1">
      <c r="AF440" s="127">
        <f t="shared" si="12"/>
        <v>0</v>
      </c>
      <c r="AG440" s="127" t="str">
        <f>IF(AA440=0,"",Calculator!$B$6)</f>
        <v/>
      </c>
      <c r="AH440" s="127" t="e">
        <f>(AF440/Calculator!$B$10)*Calculator!$B$9</f>
        <v>#DIV/0!</v>
      </c>
      <c r="AI440" s="144" t="str">
        <f t="shared" si="13"/>
        <v/>
      </c>
    </row>
    <row r="441" spans="32:35" ht="15.75" customHeight="1">
      <c r="AF441" s="127">
        <f t="shared" si="12"/>
        <v>0</v>
      </c>
      <c r="AG441" s="127" t="str">
        <f>IF(AA441=0,"",Calculator!$B$6)</f>
        <v/>
      </c>
      <c r="AH441" s="127" t="e">
        <f>(AF441/Calculator!$B$10)*Calculator!$B$9</f>
        <v>#DIV/0!</v>
      </c>
      <c r="AI441" s="144" t="str">
        <f t="shared" si="13"/>
        <v/>
      </c>
    </row>
    <row r="442" spans="32:35" ht="15.75" customHeight="1">
      <c r="AF442" s="127">
        <f t="shared" si="12"/>
        <v>0</v>
      </c>
      <c r="AG442" s="127" t="str">
        <f>IF(AA442=0,"",Calculator!$B$6)</f>
        <v/>
      </c>
      <c r="AH442" s="127" t="e">
        <f>(AF442/Calculator!$B$10)*Calculator!$B$9</f>
        <v>#DIV/0!</v>
      </c>
      <c r="AI442" s="144" t="str">
        <f t="shared" si="13"/>
        <v/>
      </c>
    </row>
    <row r="443" spans="32:35" ht="15.75" customHeight="1">
      <c r="AF443" s="127">
        <f t="shared" si="12"/>
        <v>0</v>
      </c>
      <c r="AG443" s="127" t="str">
        <f>IF(AA443=0,"",Calculator!$B$6)</f>
        <v/>
      </c>
      <c r="AH443" s="127" t="e">
        <f>(AF443/Calculator!$B$10)*Calculator!$B$9</f>
        <v>#DIV/0!</v>
      </c>
      <c r="AI443" s="144" t="str">
        <f t="shared" si="13"/>
        <v/>
      </c>
    </row>
    <row r="444" spans="32:35" ht="15.75" customHeight="1">
      <c r="AF444" s="127">
        <f t="shared" si="12"/>
        <v>0</v>
      </c>
      <c r="AG444" s="127" t="str">
        <f>IF(AA444=0,"",Calculator!$B$6)</f>
        <v/>
      </c>
      <c r="AH444" s="127" t="e">
        <f>(AF444/Calculator!$B$10)*Calculator!$B$9</f>
        <v>#DIV/0!</v>
      </c>
      <c r="AI444" s="144" t="str">
        <f t="shared" si="13"/>
        <v/>
      </c>
    </row>
    <row r="445" spans="32:35" ht="15.75" customHeight="1">
      <c r="AF445" s="127">
        <f t="shared" si="12"/>
        <v>0</v>
      </c>
      <c r="AG445" s="127" t="str">
        <f>IF(AA445=0,"",Calculator!$B$6)</f>
        <v/>
      </c>
      <c r="AH445" s="127" t="e">
        <f>(AF445/Calculator!$B$10)*Calculator!$B$9</f>
        <v>#DIV/0!</v>
      </c>
      <c r="AI445" s="144" t="str">
        <f t="shared" si="13"/>
        <v/>
      </c>
    </row>
    <row r="446" spans="32:35" ht="15.75" customHeight="1">
      <c r="AF446" s="127">
        <f t="shared" si="12"/>
        <v>0</v>
      </c>
      <c r="AG446" s="127" t="str">
        <f>IF(AA446=0,"",Calculator!$B$6)</f>
        <v/>
      </c>
      <c r="AH446" s="127" t="e">
        <f>(AF446/Calculator!$B$10)*Calculator!$B$9</f>
        <v>#DIV/0!</v>
      </c>
      <c r="AI446" s="144" t="str">
        <f t="shared" si="13"/>
        <v/>
      </c>
    </row>
    <row r="447" spans="32:35" ht="15.75" customHeight="1">
      <c r="AF447" s="127">
        <f t="shared" si="12"/>
        <v>0</v>
      </c>
      <c r="AG447" s="127" t="str">
        <f>IF(AA447=0,"",Calculator!$B$6)</f>
        <v/>
      </c>
      <c r="AH447" s="127" t="e">
        <f>(AF447/Calculator!$B$10)*Calculator!$B$9</f>
        <v>#DIV/0!</v>
      </c>
      <c r="AI447" s="144" t="str">
        <f t="shared" si="13"/>
        <v/>
      </c>
    </row>
    <row r="448" spans="32:35" ht="15.75" customHeight="1">
      <c r="AF448" s="127">
        <f t="shared" si="12"/>
        <v>0</v>
      </c>
      <c r="AG448" s="127" t="str">
        <f>IF(AA448=0,"",Calculator!$B$6)</f>
        <v/>
      </c>
      <c r="AH448" s="127" t="e">
        <f>(AF448/Calculator!$B$10)*Calculator!$B$9</f>
        <v>#DIV/0!</v>
      </c>
      <c r="AI448" s="144" t="str">
        <f t="shared" si="13"/>
        <v/>
      </c>
    </row>
    <row r="449" spans="32:35" ht="15.75" customHeight="1">
      <c r="AF449" s="127">
        <f t="shared" si="12"/>
        <v>0</v>
      </c>
      <c r="AG449" s="127" t="str">
        <f>IF(AA449=0,"",Calculator!$B$6)</f>
        <v/>
      </c>
      <c r="AH449" s="127" t="e">
        <f>(AF449/Calculator!$B$10)*Calculator!$B$9</f>
        <v>#DIV/0!</v>
      </c>
      <c r="AI449" s="144" t="str">
        <f t="shared" si="13"/>
        <v/>
      </c>
    </row>
    <row r="450" spans="32:35" ht="15.75" customHeight="1">
      <c r="AF450" s="127">
        <f t="shared" si="12"/>
        <v>0</v>
      </c>
      <c r="AG450" s="127" t="str">
        <f>IF(AA450=0,"",Calculator!$B$6)</f>
        <v/>
      </c>
      <c r="AH450" s="127" t="e">
        <f>(AF450/Calculator!$B$10)*Calculator!$B$9</f>
        <v>#DIV/0!</v>
      </c>
      <c r="AI450" s="144" t="str">
        <f t="shared" si="13"/>
        <v/>
      </c>
    </row>
    <row r="451" spans="32:35" ht="15.75" customHeight="1">
      <c r="AF451" s="127">
        <f t="shared" si="12"/>
        <v>0</v>
      </c>
      <c r="AG451" s="127" t="str">
        <f>IF(AA451=0,"",Calculator!$B$6)</f>
        <v/>
      </c>
      <c r="AH451" s="127" t="e">
        <f>(AF451/Calculator!$B$10)*Calculator!$B$9</f>
        <v>#DIV/0!</v>
      </c>
      <c r="AI451" s="144" t="str">
        <f t="shared" si="13"/>
        <v/>
      </c>
    </row>
    <row r="452" spans="32:35" ht="15.75" customHeight="1">
      <c r="AF452" s="127">
        <f t="shared" si="12"/>
        <v>0</v>
      </c>
      <c r="AG452" s="127" t="str">
        <f>IF(AA452=0,"",Calculator!$B$6)</f>
        <v/>
      </c>
      <c r="AH452" s="127" t="e">
        <f>(AF452/Calculator!$B$10)*Calculator!$B$9</f>
        <v>#DIV/0!</v>
      </c>
      <c r="AI452" s="144" t="str">
        <f t="shared" si="13"/>
        <v/>
      </c>
    </row>
    <row r="453" spans="32:35" ht="15.75" customHeight="1">
      <c r="AF453" s="127">
        <f t="shared" si="12"/>
        <v>0</v>
      </c>
      <c r="AG453" s="127" t="str">
        <f>IF(AA453=0,"",Calculator!$B$6)</f>
        <v/>
      </c>
      <c r="AH453" s="127" t="e">
        <f>(AF453/Calculator!$B$10)*Calculator!$B$9</f>
        <v>#DIV/0!</v>
      </c>
      <c r="AI453" s="144" t="str">
        <f t="shared" si="13"/>
        <v/>
      </c>
    </row>
    <row r="454" spans="32:35" ht="15.75" customHeight="1">
      <c r="AF454" s="127">
        <f t="shared" si="12"/>
        <v>0</v>
      </c>
      <c r="AG454" s="127" t="str">
        <f>IF(AA454=0,"",Calculator!$B$6)</f>
        <v/>
      </c>
      <c r="AH454" s="127" t="e">
        <f>(AF454/Calculator!$B$10)*Calculator!$B$9</f>
        <v>#DIV/0!</v>
      </c>
      <c r="AI454" s="144" t="str">
        <f t="shared" si="13"/>
        <v/>
      </c>
    </row>
    <row r="455" spans="32:35" ht="15.75" customHeight="1">
      <c r="AF455" s="127">
        <f t="shared" si="12"/>
        <v>0</v>
      </c>
      <c r="AG455" s="127" t="str">
        <f>IF(AA455=0,"",Calculator!$B$6)</f>
        <v/>
      </c>
      <c r="AH455" s="127" t="e">
        <f>(AF455/Calculator!$B$10)*Calculator!$B$9</f>
        <v>#DIV/0!</v>
      </c>
      <c r="AI455" s="144" t="str">
        <f t="shared" si="13"/>
        <v/>
      </c>
    </row>
    <row r="456" spans="32:35" ht="15.75" customHeight="1">
      <c r="AF456" s="127">
        <f t="shared" si="12"/>
        <v>0</v>
      </c>
      <c r="AG456" s="127" t="str">
        <f>IF(AA456=0,"",Calculator!$B$6)</f>
        <v/>
      </c>
      <c r="AH456" s="127" t="e">
        <f>(AF456/Calculator!$B$10)*Calculator!$B$9</f>
        <v>#DIV/0!</v>
      </c>
      <c r="AI456" s="144" t="str">
        <f t="shared" si="13"/>
        <v/>
      </c>
    </row>
    <row r="457" spans="32:35" ht="15.75" customHeight="1">
      <c r="AF457" s="127">
        <f t="shared" si="12"/>
        <v>0</v>
      </c>
      <c r="AG457" s="127" t="str">
        <f>IF(AA457=0,"",Calculator!$B$6)</f>
        <v/>
      </c>
      <c r="AH457" s="127" t="e">
        <f>(AF457/Calculator!$B$10)*Calculator!$B$9</f>
        <v>#DIV/0!</v>
      </c>
      <c r="AI457" s="144" t="str">
        <f t="shared" si="13"/>
        <v/>
      </c>
    </row>
    <row r="458" spans="32:35" ht="15.75" customHeight="1">
      <c r="AF458" s="127">
        <f t="shared" ref="AF458:AF500" si="14">IFERROR(AA458*AG458,0)</f>
        <v>0</v>
      </c>
      <c r="AG458" s="127" t="str">
        <f>IF(AA458=0,"",Calculator!$B$6)</f>
        <v/>
      </c>
      <c r="AH458" s="127" t="e">
        <f>(AF458/Calculator!$B$10)*Calculator!$B$9</f>
        <v>#DIV/0!</v>
      </c>
      <c r="AI458" s="144" t="str">
        <f t="shared" ref="AI458:AI500" si="15">IF(ISBLANK(AA458),"","RS Means")</f>
        <v/>
      </c>
    </row>
    <row r="459" spans="32:35" ht="15.75" customHeight="1">
      <c r="AF459" s="127">
        <f t="shared" si="14"/>
        <v>0</v>
      </c>
      <c r="AG459" s="127" t="str">
        <f>IF(AA459=0,"",Calculator!$B$6)</f>
        <v/>
      </c>
      <c r="AH459" s="127" t="e">
        <f>(AF459/Calculator!$B$10)*Calculator!$B$9</f>
        <v>#DIV/0!</v>
      </c>
      <c r="AI459" s="144" t="str">
        <f t="shared" si="15"/>
        <v/>
      </c>
    </row>
    <row r="460" spans="32:35" ht="15.75" customHeight="1">
      <c r="AF460" s="127">
        <f t="shared" si="14"/>
        <v>0</v>
      </c>
      <c r="AG460" s="127" t="str">
        <f>IF(AA460=0,"",Calculator!$B$6)</f>
        <v/>
      </c>
      <c r="AH460" s="127" t="e">
        <f>(AF460/Calculator!$B$10)*Calculator!$B$9</f>
        <v>#DIV/0!</v>
      </c>
      <c r="AI460" s="144" t="str">
        <f t="shared" si="15"/>
        <v/>
      </c>
    </row>
    <row r="461" spans="32:35" ht="15.75" customHeight="1">
      <c r="AF461" s="127">
        <f t="shared" si="14"/>
        <v>0</v>
      </c>
      <c r="AG461" s="127" t="str">
        <f>IF(AA461=0,"",Calculator!$B$6)</f>
        <v/>
      </c>
      <c r="AH461" s="127" t="e">
        <f>(AF461/Calculator!$B$10)*Calculator!$B$9</f>
        <v>#DIV/0!</v>
      </c>
      <c r="AI461" s="144" t="str">
        <f t="shared" si="15"/>
        <v/>
      </c>
    </row>
    <row r="462" spans="32:35" ht="15.75" customHeight="1">
      <c r="AF462" s="127">
        <f t="shared" si="14"/>
        <v>0</v>
      </c>
      <c r="AG462" s="127" t="str">
        <f>IF(AA462=0,"",Calculator!$B$6)</f>
        <v/>
      </c>
      <c r="AH462" s="127" t="e">
        <f>(AF462/Calculator!$B$10)*Calculator!$B$9</f>
        <v>#DIV/0!</v>
      </c>
      <c r="AI462" s="144" t="str">
        <f t="shared" si="15"/>
        <v/>
      </c>
    </row>
    <row r="463" spans="32:35" ht="15.75" customHeight="1">
      <c r="AF463" s="127">
        <f t="shared" si="14"/>
        <v>0</v>
      </c>
      <c r="AG463" s="127" t="str">
        <f>IF(AA463=0,"",Calculator!$B$6)</f>
        <v/>
      </c>
      <c r="AH463" s="127" t="e">
        <f>(AF463/Calculator!$B$10)*Calculator!$B$9</f>
        <v>#DIV/0!</v>
      </c>
      <c r="AI463" s="144" t="str">
        <f t="shared" si="15"/>
        <v/>
      </c>
    </row>
    <row r="464" spans="32:35" ht="15.75" customHeight="1">
      <c r="AF464" s="127">
        <f t="shared" si="14"/>
        <v>0</v>
      </c>
      <c r="AG464" s="127" t="str">
        <f>IF(AA464=0,"",Calculator!$B$6)</f>
        <v/>
      </c>
      <c r="AH464" s="127" t="e">
        <f>(AF464/Calculator!$B$10)*Calculator!$B$9</f>
        <v>#DIV/0!</v>
      </c>
      <c r="AI464" s="144" t="str">
        <f t="shared" si="15"/>
        <v/>
      </c>
    </row>
    <row r="465" spans="32:35" ht="15.75" customHeight="1">
      <c r="AF465" s="127">
        <f t="shared" si="14"/>
        <v>0</v>
      </c>
      <c r="AG465" s="127" t="str">
        <f>IF(AA465=0,"",Calculator!$B$6)</f>
        <v/>
      </c>
      <c r="AH465" s="127" t="e">
        <f>(AF465/Calculator!$B$10)*Calculator!$B$9</f>
        <v>#DIV/0!</v>
      </c>
      <c r="AI465" s="144" t="str">
        <f t="shared" si="15"/>
        <v/>
      </c>
    </row>
    <row r="466" spans="32:35" ht="15.75" customHeight="1">
      <c r="AF466" s="127">
        <f t="shared" si="14"/>
        <v>0</v>
      </c>
      <c r="AG466" s="127" t="str">
        <f>IF(AA466=0,"",Calculator!$B$6)</f>
        <v/>
      </c>
      <c r="AH466" s="127" t="e">
        <f>(AF466/Calculator!$B$10)*Calculator!$B$9</f>
        <v>#DIV/0!</v>
      </c>
      <c r="AI466" s="144" t="str">
        <f t="shared" si="15"/>
        <v/>
      </c>
    </row>
    <row r="467" spans="32:35" ht="15.75" customHeight="1">
      <c r="AF467" s="127">
        <f t="shared" si="14"/>
        <v>0</v>
      </c>
      <c r="AG467" s="127" t="str">
        <f>IF(AA467=0,"",Calculator!$B$6)</f>
        <v/>
      </c>
      <c r="AH467" s="127" t="e">
        <f>(AF467/Calculator!$B$10)*Calculator!$B$9</f>
        <v>#DIV/0!</v>
      </c>
      <c r="AI467" s="144" t="str">
        <f t="shared" si="15"/>
        <v/>
      </c>
    </row>
    <row r="468" spans="32:35" ht="15.75" customHeight="1">
      <c r="AF468" s="127">
        <f t="shared" si="14"/>
        <v>0</v>
      </c>
      <c r="AG468" s="127" t="str">
        <f>IF(AA468=0,"",Calculator!$B$6)</f>
        <v/>
      </c>
      <c r="AH468" s="127" t="e">
        <f>(AF468/Calculator!$B$10)*Calculator!$B$9</f>
        <v>#DIV/0!</v>
      </c>
      <c r="AI468" s="144" t="str">
        <f t="shared" si="15"/>
        <v/>
      </c>
    </row>
    <row r="469" spans="32:35" ht="15.75" customHeight="1">
      <c r="AF469" s="127">
        <f t="shared" si="14"/>
        <v>0</v>
      </c>
      <c r="AG469" s="127" t="str">
        <f>IF(AA469=0,"",Calculator!$B$6)</f>
        <v/>
      </c>
      <c r="AH469" s="127" t="e">
        <f>(AF469/Calculator!$B$10)*Calculator!$B$9</f>
        <v>#DIV/0!</v>
      </c>
      <c r="AI469" s="144" t="str">
        <f t="shared" si="15"/>
        <v/>
      </c>
    </row>
    <row r="470" spans="32:35" ht="15.75" customHeight="1">
      <c r="AF470" s="127">
        <f t="shared" si="14"/>
        <v>0</v>
      </c>
      <c r="AG470" s="127" t="str">
        <f>IF(AA470=0,"",Calculator!$B$6)</f>
        <v/>
      </c>
      <c r="AH470" s="127" t="e">
        <f>(AF470/Calculator!$B$10)*Calculator!$B$9</f>
        <v>#DIV/0!</v>
      </c>
      <c r="AI470" s="144" t="str">
        <f t="shared" si="15"/>
        <v/>
      </c>
    </row>
    <row r="471" spans="32:35" ht="15.75" customHeight="1">
      <c r="AF471" s="127">
        <f t="shared" si="14"/>
        <v>0</v>
      </c>
      <c r="AG471" s="127" t="str">
        <f>IF(AA471=0,"",Calculator!$B$6)</f>
        <v/>
      </c>
      <c r="AH471" s="127" t="e">
        <f>(AF471/Calculator!$B$10)*Calculator!$B$9</f>
        <v>#DIV/0!</v>
      </c>
      <c r="AI471" s="144" t="str">
        <f t="shared" si="15"/>
        <v/>
      </c>
    </row>
    <row r="472" spans="32:35" ht="15.75" customHeight="1">
      <c r="AF472" s="127">
        <f t="shared" si="14"/>
        <v>0</v>
      </c>
      <c r="AG472" s="127" t="str">
        <f>IF(AA472=0,"",Calculator!$B$6)</f>
        <v/>
      </c>
      <c r="AH472" s="127" t="e">
        <f>(AF472/Calculator!$B$10)*Calculator!$B$9</f>
        <v>#DIV/0!</v>
      </c>
      <c r="AI472" s="144" t="str">
        <f t="shared" si="15"/>
        <v/>
      </c>
    </row>
    <row r="473" spans="32:35" ht="15.75" customHeight="1">
      <c r="AF473" s="127">
        <f t="shared" si="14"/>
        <v>0</v>
      </c>
      <c r="AG473" s="127" t="str">
        <f>IF(AA473=0,"",Calculator!$B$6)</f>
        <v/>
      </c>
      <c r="AH473" s="127" t="e">
        <f>(AF473/Calculator!$B$10)*Calculator!$B$9</f>
        <v>#DIV/0!</v>
      </c>
      <c r="AI473" s="144" t="str">
        <f t="shared" si="15"/>
        <v/>
      </c>
    </row>
    <row r="474" spans="32:35" ht="15.75" customHeight="1">
      <c r="AF474" s="127">
        <f t="shared" si="14"/>
        <v>0</v>
      </c>
      <c r="AG474" s="127" t="str">
        <f>IF(AA474=0,"",Calculator!$B$6)</f>
        <v/>
      </c>
      <c r="AH474" s="127" t="e">
        <f>(AF474/Calculator!$B$10)*Calculator!$B$9</f>
        <v>#DIV/0!</v>
      </c>
      <c r="AI474" s="144" t="str">
        <f t="shared" si="15"/>
        <v/>
      </c>
    </row>
    <row r="475" spans="32:35" ht="15.75" customHeight="1">
      <c r="AF475" s="127">
        <f t="shared" si="14"/>
        <v>0</v>
      </c>
      <c r="AG475" s="127" t="str">
        <f>IF(AA475=0,"",Calculator!$B$6)</f>
        <v/>
      </c>
      <c r="AH475" s="127" t="e">
        <f>(AF475/Calculator!$B$10)*Calculator!$B$9</f>
        <v>#DIV/0!</v>
      </c>
      <c r="AI475" s="144" t="str">
        <f t="shared" si="15"/>
        <v/>
      </c>
    </row>
    <row r="476" spans="32:35" ht="15.75" customHeight="1">
      <c r="AF476" s="127">
        <f t="shared" si="14"/>
        <v>0</v>
      </c>
      <c r="AG476" s="127" t="str">
        <f>IF(AA476=0,"",Calculator!$B$6)</f>
        <v/>
      </c>
      <c r="AH476" s="127" t="e">
        <f>(AF476/Calculator!$B$10)*Calculator!$B$9</f>
        <v>#DIV/0!</v>
      </c>
      <c r="AI476" s="144" t="str">
        <f t="shared" si="15"/>
        <v/>
      </c>
    </row>
    <row r="477" spans="32:35" ht="15.75" customHeight="1">
      <c r="AF477" s="127">
        <f t="shared" si="14"/>
        <v>0</v>
      </c>
      <c r="AG477" s="127" t="str">
        <f>IF(AA477=0,"",Calculator!$B$6)</f>
        <v/>
      </c>
      <c r="AH477" s="127" t="e">
        <f>(AF477/Calculator!$B$10)*Calculator!$B$9</f>
        <v>#DIV/0!</v>
      </c>
      <c r="AI477" s="144" t="str">
        <f t="shared" si="15"/>
        <v/>
      </c>
    </row>
    <row r="478" spans="32:35" ht="15.75" customHeight="1">
      <c r="AF478" s="127">
        <f t="shared" si="14"/>
        <v>0</v>
      </c>
      <c r="AG478" s="127" t="str">
        <f>IF(AA478=0,"",Calculator!$B$6)</f>
        <v/>
      </c>
      <c r="AH478" s="127" t="e">
        <f>(AF478/Calculator!$B$10)*Calculator!$B$9</f>
        <v>#DIV/0!</v>
      </c>
      <c r="AI478" s="144" t="str">
        <f t="shared" si="15"/>
        <v/>
      </c>
    </row>
    <row r="479" spans="32:35" ht="15.75" customHeight="1">
      <c r="AF479" s="127">
        <f t="shared" si="14"/>
        <v>0</v>
      </c>
      <c r="AG479" s="127" t="str">
        <f>IF(AA479=0,"",Calculator!$B$6)</f>
        <v/>
      </c>
      <c r="AH479" s="127" t="e">
        <f>(AF479/Calculator!$B$10)*Calculator!$B$9</f>
        <v>#DIV/0!</v>
      </c>
      <c r="AI479" s="144" t="str">
        <f t="shared" si="15"/>
        <v/>
      </c>
    </row>
    <row r="480" spans="32:35" ht="15.75" customHeight="1">
      <c r="AF480" s="127">
        <f t="shared" si="14"/>
        <v>0</v>
      </c>
      <c r="AG480" s="127" t="str">
        <f>IF(AA480=0,"",Calculator!$B$6)</f>
        <v/>
      </c>
      <c r="AH480" s="127" t="e">
        <f>(AF480/Calculator!$B$10)*Calculator!$B$9</f>
        <v>#DIV/0!</v>
      </c>
      <c r="AI480" s="144" t="str">
        <f t="shared" si="15"/>
        <v/>
      </c>
    </row>
    <row r="481" spans="32:35" ht="15.75" customHeight="1">
      <c r="AF481" s="127">
        <f t="shared" si="14"/>
        <v>0</v>
      </c>
      <c r="AG481" s="127" t="str">
        <f>IF(AA481=0,"",Calculator!$B$6)</f>
        <v/>
      </c>
      <c r="AH481" s="127" t="e">
        <f>(AF481/Calculator!$B$10)*Calculator!$B$9</f>
        <v>#DIV/0!</v>
      </c>
      <c r="AI481" s="144" t="str">
        <f t="shared" si="15"/>
        <v/>
      </c>
    </row>
    <row r="482" spans="32:35" ht="15.75" customHeight="1">
      <c r="AF482" s="127">
        <f t="shared" si="14"/>
        <v>0</v>
      </c>
      <c r="AG482" s="127" t="str">
        <f>IF(AA482=0,"",Calculator!$B$6)</f>
        <v/>
      </c>
      <c r="AH482" s="127" t="e">
        <f>(AF482/Calculator!$B$10)*Calculator!$B$9</f>
        <v>#DIV/0!</v>
      </c>
      <c r="AI482" s="144" t="str">
        <f t="shared" si="15"/>
        <v/>
      </c>
    </row>
    <row r="483" spans="32:35" ht="15.75" customHeight="1">
      <c r="AF483" s="127">
        <f t="shared" si="14"/>
        <v>0</v>
      </c>
      <c r="AG483" s="127" t="str">
        <f>IF(AA483=0,"",Calculator!$B$6)</f>
        <v/>
      </c>
      <c r="AH483" s="127" t="e">
        <f>(AF483/Calculator!$B$10)*Calculator!$B$9</f>
        <v>#DIV/0!</v>
      </c>
      <c r="AI483" s="144" t="str">
        <f t="shared" si="15"/>
        <v/>
      </c>
    </row>
    <row r="484" spans="32:35" ht="15.75" customHeight="1">
      <c r="AF484" s="127">
        <f t="shared" si="14"/>
        <v>0</v>
      </c>
      <c r="AG484" s="127" t="str">
        <f>IF(AA484=0,"",Calculator!$B$6)</f>
        <v/>
      </c>
      <c r="AH484" s="127" t="e">
        <f>(AF484/Calculator!$B$10)*Calculator!$B$9</f>
        <v>#DIV/0!</v>
      </c>
      <c r="AI484" s="144" t="str">
        <f t="shared" si="15"/>
        <v/>
      </c>
    </row>
    <row r="485" spans="32:35" ht="15.75" customHeight="1">
      <c r="AF485" s="127">
        <f t="shared" si="14"/>
        <v>0</v>
      </c>
      <c r="AG485" s="127" t="str">
        <f>IF(AA485=0,"",Calculator!$B$6)</f>
        <v/>
      </c>
      <c r="AH485" s="127" t="e">
        <f>(AF485/Calculator!$B$10)*Calculator!$B$9</f>
        <v>#DIV/0!</v>
      </c>
      <c r="AI485" s="144" t="str">
        <f t="shared" si="15"/>
        <v/>
      </c>
    </row>
    <row r="486" spans="32:35" ht="15.75" customHeight="1">
      <c r="AF486" s="127">
        <f t="shared" si="14"/>
        <v>0</v>
      </c>
      <c r="AG486" s="127" t="str">
        <f>IF(AA486=0,"",Calculator!$B$6)</f>
        <v/>
      </c>
      <c r="AH486" s="127" t="e">
        <f>(AF486/Calculator!$B$10)*Calculator!$B$9</f>
        <v>#DIV/0!</v>
      </c>
      <c r="AI486" s="144" t="str">
        <f t="shared" si="15"/>
        <v/>
      </c>
    </row>
    <row r="487" spans="32:35" ht="15.75" customHeight="1">
      <c r="AF487" s="127">
        <f t="shared" si="14"/>
        <v>0</v>
      </c>
      <c r="AG487" s="127" t="str">
        <f>IF(AA487=0,"",Calculator!$B$6)</f>
        <v/>
      </c>
      <c r="AH487" s="127" t="e">
        <f>(AF487/Calculator!$B$10)*Calculator!$B$9</f>
        <v>#DIV/0!</v>
      </c>
      <c r="AI487" s="144" t="str">
        <f t="shared" si="15"/>
        <v/>
      </c>
    </row>
    <row r="488" spans="32:35" ht="15.75" customHeight="1">
      <c r="AF488" s="127">
        <f t="shared" si="14"/>
        <v>0</v>
      </c>
      <c r="AG488" s="127" t="str">
        <f>IF(AA488=0,"",Calculator!$B$6)</f>
        <v/>
      </c>
      <c r="AH488" s="127" t="e">
        <f>(AF488/Calculator!$B$10)*Calculator!$B$9</f>
        <v>#DIV/0!</v>
      </c>
      <c r="AI488" s="144" t="str">
        <f t="shared" si="15"/>
        <v/>
      </c>
    </row>
    <row r="489" spans="32:35" ht="15.75" customHeight="1">
      <c r="AF489" s="127">
        <f t="shared" si="14"/>
        <v>0</v>
      </c>
      <c r="AG489" s="127" t="str">
        <f>IF(AA489=0,"",Calculator!$B$6)</f>
        <v/>
      </c>
      <c r="AH489" s="127" t="e">
        <f>(AF489/Calculator!$B$10)*Calculator!$B$9</f>
        <v>#DIV/0!</v>
      </c>
      <c r="AI489" s="144" t="str">
        <f t="shared" si="15"/>
        <v/>
      </c>
    </row>
    <row r="490" spans="32:35" ht="15.75" customHeight="1">
      <c r="AF490" s="127">
        <f t="shared" si="14"/>
        <v>0</v>
      </c>
      <c r="AG490" s="127" t="str">
        <f>IF(AA490=0,"",Calculator!$B$6)</f>
        <v/>
      </c>
      <c r="AH490" s="127" t="e">
        <f>(AF490/Calculator!$B$10)*Calculator!$B$9</f>
        <v>#DIV/0!</v>
      </c>
      <c r="AI490" s="144" t="str">
        <f t="shared" si="15"/>
        <v/>
      </c>
    </row>
    <row r="491" spans="32:35" ht="15.75" customHeight="1">
      <c r="AF491" s="127">
        <f t="shared" si="14"/>
        <v>0</v>
      </c>
      <c r="AG491" s="127" t="str">
        <f>IF(AA491=0,"",Calculator!$B$6)</f>
        <v/>
      </c>
      <c r="AH491" s="127" t="e">
        <f>(AF491/Calculator!$B$10)*Calculator!$B$9</f>
        <v>#DIV/0!</v>
      </c>
      <c r="AI491" s="144" t="str">
        <f t="shared" si="15"/>
        <v/>
      </c>
    </row>
    <row r="492" spans="32:35" ht="15.75" customHeight="1">
      <c r="AF492" s="127">
        <f t="shared" si="14"/>
        <v>0</v>
      </c>
      <c r="AG492" s="127" t="str">
        <f>IF(AA492=0,"",Calculator!$B$6)</f>
        <v/>
      </c>
      <c r="AH492" s="127" t="e">
        <f>(AF492/Calculator!$B$10)*Calculator!$B$9</f>
        <v>#DIV/0!</v>
      </c>
      <c r="AI492" s="144" t="str">
        <f t="shared" si="15"/>
        <v/>
      </c>
    </row>
    <row r="493" spans="32:35" ht="15.75" customHeight="1">
      <c r="AF493" s="127">
        <f t="shared" si="14"/>
        <v>0</v>
      </c>
      <c r="AG493" s="127" t="str">
        <f>IF(AA493=0,"",Calculator!$B$6)</f>
        <v/>
      </c>
      <c r="AH493" s="127" t="e">
        <f>(AF493/Calculator!$B$10)*Calculator!$B$9</f>
        <v>#DIV/0!</v>
      </c>
      <c r="AI493" s="144" t="str">
        <f t="shared" si="15"/>
        <v/>
      </c>
    </row>
    <row r="494" spans="32:35" ht="15.75" customHeight="1">
      <c r="AF494" s="127">
        <f t="shared" si="14"/>
        <v>0</v>
      </c>
      <c r="AG494" s="127" t="str">
        <f>IF(AA494=0,"",Calculator!$B$6)</f>
        <v/>
      </c>
      <c r="AH494" s="127" t="e">
        <f>(AF494/Calculator!$B$10)*Calculator!$B$9</f>
        <v>#DIV/0!</v>
      </c>
      <c r="AI494" s="144" t="str">
        <f t="shared" si="15"/>
        <v/>
      </c>
    </row>
    <row r="495" spans="32:35" ht="15.75" customHeight="1">
      <c r="AF495" s="127">
        <f t="shared" si="14"/>
        <v>0</v>
      </c>
      <c r="AG495" s="127" t="str">
        <f>IF(AA495=0,"",Calculator!$B$6)</f>
        <v/>
      </c>
      <c r="AH495" s="127" t="e">
        <f>(AF495/Calculator!$B$10)*Calculator!$B$9</f>
        <v>#DIV/0!</v>
      </c>
      <c r="AI495" s="144" t="str">
        <f t="shared" si="15"/>
        <v/>
      </c>
    </row>
    <row r="496" spans="32:35" ht="15.75" customHeight="1">
      <c r="AF496" s="127">
        <f t="shared" si="14"/>
        <v>0</v>
      </c>
      <c r="AG496" s="127" t="str">
        <f>IF(AA496=0,"",Calculator!$B$6)</f>
        <v/>
      </c>
      <c r="AH496" s="127" t="e">
        <f>(AF496/Calculator!$B$10)*Calculator!$B$9</f>
        <v>#DIV/0!</v>
      </c>
      <c r="AI496" s="144" t="str">
        <f t="shared" si="15"/>
        <v/>
      </c>
    </row>
    <row r="497" spans="32:35" ht="15.75" customHeight="1">
      <c r="AF497" s="127">
        <f t="shared" si="14"/>
        <v>0</v>
      </c>
      <c r="AG497" s="127" t="str">
        <f>IF(AA497=0,"",Calculator!$B$6)</f>
        <v/>
      </c>
      <c r="AH497" s="127" t="e">
        <f>(AF497/Calculator!$B$10)*Calculator!$B$9</f>
        <v>#DIV/0!</v>
      </c>
      <c r="AI497" s="144" t="str">
        <f t="shared" si="15"/>
        <v/>
      </c>
    </row>
    <row r="498" spans="32:35" ht="15.75" customHeight="1">
      <c r="AF498" s="127">
        <f t="shared" si="14"/>
        <v>0</v>
      </c>
      <c r="AG498" s="127" t="str">
        <f>IF(AA498=0,"",Calculator!$B$6)</f>
        <v/>
      </c>
      <c r="AH498" s="127" t="e">
        <f>(AF498/Calculator!$B$10)*Calculator!$B$9</f>
        <v>#DIV/0!</v>
      </c>
      <c r="AI498" s="144" t="str">
        <f t="shared" si="15"/>
        <v/>
      </c>
    </row>
    <row r="499" spans="32:35" ht="15.75" customHeight="1">
      <c r="AF499" s="127">
        <f t="shared" si="14"/>
        <v>0</v>
      </c>
      <c r="AG499" s="127" t="str">
        <f>IF(AA499=0,"",Calculator!$B$6)</f>
        <v/>
      </c>
      <c r="AH499" s="127" t="e">
        <f>(AF499/Calculator!$B$10)*Calculator!$B$9</f>
        <v>#DIV/0!</v>
      </c>
      <c r="AI499" s="144" t="str">
        <f t="shared" si="15"/>
        <v/>
      </c>
    </row>
    <row r="500" spans="32:35" ht="15.75" customHeight="1">
      <c r="AF500" s="127">
        <f t="shared" si="14"/>
        <v>0</v>
      </c>
      <c r="AG500" s="127" t="str">
        <f>IF(AA500=0,"",Calculator!$B$6)</f>
        <v/>
      </c>
      <c r="AH500" s="127" t="e">
        <f>(AF500/Calculator!$B$10)*Calculator!$B$9</f>
        <v>#DIV/0!</v>
      </c>
      <c r="AI500" s="144" t="str">
        <f t="shared" si="15"/>
        <v/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D5D57D-D0B2-9648-B35D-F4B5D096E0D6}">
  <sheetPr codeName="Sheet11">
    <tabColor rgb="FFFFFF00"/>
    <outlinePr summaryBelow="0" summaryRight="0"/>
  </sheetPr>
  <dimension ref="A1:AI500"/>
  <sheetViews>
    <sheetView zoomScaleNormal="100" workbookViewId="0">
      <selection activeCell="AG65" sqref="AG65"/>
    </sheetView>
  </sheetViews>
  <sheetFormatPr defaultColWidth="12.69921875" defaultRowHeight="15.75" customHeight="1"/>
  <cols>
    <col min="1" max="1" width="19" style="128" customWidth="1"/>
    <col min="2" max="2" width="13.69921875" style="128" customWidth="1"/>
    <col min="3" max="3" width="7.796875" style="128" customWidth="1"/>
    <col min="4" max="4" width="15.796875" style="128" customWidth="1"/>
    <col min="5" max="5" width="31.69921875" style="128" customWidth="1"/>
    <col min="6" max="6" width="7.69921875" style="128" customWidth="1"/>
    <col min="7" max="8" width="12.69921875" style="128"/>
    <col min="9" max="11" width="7.69921875" style="128" customWidth="1"/>
    <col min="12" max="12" width="12.69921875" style="128"/>
    <col min="13" max="23" width="13.69921875" style="128" customWidth="1"/>
    <col min="24" max="24" width="19" style="128" customWidth="1"/>
    <col min="25" max="27" width="13.69921875" style="128" customWidth="1"/>
    <col min="28" max="28" width="9.5" style="128" customWidth="1"/>
    <col min="29" max="31" width="15.796875" style="128" customWidth="1"/>
    <col min="32" max="34" width="17.19921875" style="140" customWidth="1"/>
    <col min="35" max="16384" width="12.69921875" style="126"/>
  </cols>
  <sheetData>
    <row r="1" spans="1:35" ht="15.75" customHeight="1">
      <c r="A1" s="124"/>
      <c r="B1" s="124"/>
      <c r="C1" s="124"/>
      <c r="D1" s="124"/>
      <c r="E1" s="124"/>
      <c r="F1" s="124"/>
      <c r="G1" s="124"/>
      <c r="H1" s="124"/>
      <c r="I1" s="124"/>
      <c r="J1" s="124"/>
      <c r="K1" s="124"/>
      <c r="L1" s="124"/>
      <c r="M1" s="124"/>
      <c r="N1" s="124"/>
      <c r="O1" s="124"/>
      <c r="P1" s="124"/>
      <c r="Q1" s="124"/>
      <c r="R1" s="124"/>
      <c r="S1" s="124"/>
      <c r="T1" s="124"/>
      <c r="U1" s="124"/>
      <c r="V1" s="124"/>
      <c r="W1" s="124"/>
      <c r="X1" s="124"/>
      <c r="Y1" s="124"/>
      <c r="Z1" s="124"/>
      <c r="AA1" s="124"/>
      <c r="AB1" s="124"/>
      <c r="AC1" s="124"/>
      <c r="AD1" s="124"/>
      <c r="AE1" s="124"/>
      <c r="AF1" s="125"/>
      <c r="AG1" s="125"/>
      <c r="AH1" s="125"/>
    </row>
    <row r="2" spans="1:35" ht="13.8">
      <c r="A2" s="124"/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P2" s="124"/>
      <c r="Q2" s="124"/>
      <c r="R2" s="124"/>
      <c r="S2" s="124"/>
      <c r="T2" s="124"/>
      <c r="U2" s="124"/>
      <c r="V2" s="124"/>
      <c r="W2" s="124"/>
      <c r="X2" s="124"/>
      <c r="Y2" s="124"/>
      <c r="Z2" s="124"/>
      <c r="AA2" s="124"/>
      <c r="AB2" s="124"/>
      <c r="AC2" s="124"/>
      <c r="AD2" s="124"/>
      <c r="AE2" s="124"/>
      <c r="AF2" s="127"/>
      <c r="AG2" s="127"/>
      <c r="AH2" s="127"/>
    </row>
    <row r="3" spans="1:35" ht="13.8">
      <c r="A3" s="124"/>
      <c r="B3" s="124"/>
      <c r="C3" s="124"/>
      <c r="D3" s="124"/>
      <c r="E3" s="124"/>
      <c r="F3" s="124"/>
      <c r="G3" s="124"/>
      <c r="H3" s="124"/>
      <c r="I3" s="124"/>
      <c r="J3" s="124"/>
      <c r="K3" s="124"/>
      <c r="L3" s="124"/>
      <c r="M3" s="124"/>
      <c r="N3" s="124"/>
      <c r="O3" s="124"/>
      <c r="P3" s="124"/>
      <c r="Q3" s="124"/>
      <c r="R3" s="124"/>
      <c r="S3" s="124"/>
      <c r="T3" s="124"/>
      <c r="U3" s="124"/>
      <c r="V3" s="124"/>
      <c r="W3" s="124"/>
      <c r="X3" s="124"/>
      <c r="Y3" s="124"/>
      <c r="Z3" s="124"/>
      <c r="AA3" s="124"/>
      <c r="AB3" s="124"/>
      <c r="AC3" s="124"/>
      <c r="AD3" s="124"/>
      <c r="AE3" s="124"/>
      <c r="AF3" s="142"/>
      <c r="AG3" s="142"/>
      <c r="AH3" s="142"/>
    </row>
    <row r="4" spans="1:35" ht="13.8">
      <c r="A4" s="124"/>
      <c r="B4" s="124"/>
      <c r="C4" s="124"/>
      <c r="D4" s="124"/>
      <c r="E4" s="124"/>
      <c r="F4" s="124"/>
      <c r="G4" s="124"/>
      <c r="H4" s="124"/>
      <c r="I4" s="124"/>
      <c r="J4" s="124"/>
      <c r="K4" s="124"/>
      <c r="L4" s="124"/>
      <c r="M4" s="124"/>
      <c r="N4" s="124"/>
      <c r="O4" s="124"/>
      <c r="P4" s="124"/>
      <c r="Q4" s="124"/>
      <c r="R4" s="124"/>
      <c r="S4" s="124"/>
      <c r="T4" s="124"/>
      <c r="U4" s="124"/>
      <c r="V4" s="124"/>
      <c r="W4" s="124"/>
      <c r="X4" s="124"/>
      <c r="Y4" s="124"/>
      <c r="Z4" s="124"/>
      <c r="AA4" s="124"/>
      <c r="AB4" s="124"/>
      <c r="AC4" s="124"/>
      <c r="AD4" s="124"/>
      <c r="AE4" s="124"/>
      <c r="AF4" s="125"/>
      <c r="AG4" s="125"/>
      <c r="AH4" s="125"/>
    </row>
    <row r="5" spans="1:35" ht="15.75" customHeight="1">
      <c r="AF5" s="129"/>
      <c r="AG5" s="129"/>
      <c r="AH5" s="129"/>
    </row>
    <row r="6" spans="1:35" ht="15.75" customHeight="1">
      <c r="A6" s="130"/>
      <c r="B6" s="130"/>
      <c r="C6" s="130"/>
      <c r="D6" s="130"/>
      <c r="E6" s="131"/>
      <c r="F6" s="130"/>
      <c r="G6" s="130"/>
      <c r="H6" s="130"/>
      <c r="I6" s="130"/>
      <c r="J6" s="130"/>
      <c r="K6" s="130"/>
      <c r="L6" s="130"/>
      <c r="M6" s="130"/>
      <c r="N6" s="130"/>
      <c r="O6" s="130"/>
      <c r="P6" s="130"/>
      <c r="Q6" s="130"/>
      <c r="R6" s="130"/>
      <c r="S6" s="130"/>
      <c r="T6" s="130"/>
      <c r="U6" s="130"/>
      <c r="V6" s="130"/>
      <c r="W6" s="130"/>
      <c r="X6" s="130"/>
      <c r="Y6" s="130"/>
      <c r="Z6" s="130"/>
      <c r="AA6" s="130"/>
      <c r="AB6" s="130"/>
      <c r="AC6" s="130"/>
      <c r="AD6" s="130"/>
      <c r="AE6" s="130"/>
      <c r="AF6" s="142"/>
      <c r="AG6" s="142"/>
      <c r="AH6" s="142"/>
    </row>
    <row r="7" spans="1:35" ht="15.75" customHeight="1">
      <c r="AF7" s="129"/>
      <c r="AG7" s="129"/>
      <c r="AH7" s="129"/>
    </row>
    <row r="8" spans="1:35" ht="13.8">
      <c r="A8" s="132"/>
      <c r="B8" s="132"/>
      <c r="C8" s="132"/>
      <c r="D8" s="124"/>
      <c r="E8" s="132"/>
      <c r="F8" s="132"/>
      <c r="G8" s="132"/>
      <c r="H8" s="132"/>
      <c r="I8" s="132"/>
      <c r="J8" s="132"/>
      <c r="K8" s="132"/>
      <c r="L8" s="132"/>
      <c r="M8" s="132"/>
      <c r="N8" s="132"/>
      <c r="O8" s="132"/>
      <c r="P8" s="132"/>
      <c r="Q8" s="132"/>
      <c r="R8" s="132"/>
      <c r="S8" s="132"/>
      <c r="T8" s="132"/>
      <c r="U8" s="132"/>
      <c r="V8" s="132"/>
      <c r="W8" s="132"/>
      <c r="X8" s="132"/>
      <c r="Y8" s="132"/>
      <c r="Z8" s="132"/>
      <c r="AA8" s="132"/>
      <c r="AB8" s="132"/>
      <c r="AC8" s="132"/>
      <c r="AD8" s="132"/>
      <c r="AE8" s="132"/>
      <c r="AF8" s="133" t="s">
        <v>265</v>
      </c>
      <c r="AG8" s="133" t="s">
        <v>295</v>
      </c>
      <c r="AH8" s="133" t="s">
        <v>266</v>
      </c>
      <c r="AI8" s="133" t="s">
        <v>267</v>
      </c>
    </row>
    <row r="9" spans="1:35" ht="13.8">
      <c r="A9" s="134"/>
      <c r="B9" s="135"/>
      <c r="C9" s="136"/>
      <c r="D9" s="136"/>
      <c r="E9" s="136"/>
      <c r="F9" s="134"/>
      <c r="G9" s="136"/>
      <c r="H9" s="136"/>
      <c r="I9" s="136"/>
      <c r="J9" s="137"/>
      <c r="K9" s="137"/>
      <c r="L9" s="137"/>
      <c r="M9" s="137"/>
      <c r="N9" s="137"/>
      <c r="O9" s="137"/>
      <c r="P9" s="137"/>
      <c r="Q9" s="137"/>
      <c r="R9" s="137"/>
      <c r="S9" s="137"/>
      <c r="T9" s="137"/>
      <c r="U9" s="137"/>
      <c r="V9" s="137"/>
      <c r="W9" s="137"/>
      <c r="X9" s="137"/>
      <c r="Y9" s="137"/>
      <c r="Z9" s="137"/>
      <c r="AA9" s="137"/>
      <c r="AB9" s="136"/>
      <c r="AC9" s="136"/>
      <c r="AD9" s="136"/>
      <c r="AE9" s="136"/>
      <c r="AF9" s="127">
        <f>IFERROR(AA9*AG9,0)</f>
        <v>0</v>
      </c>
      <c r="AG9" s="127" t="str">
        <f>IF(AA9=0,"",Calculator!$B$7)</f>
        <v/>
      </c>
      <c r="AH9" s="127" t="e">
        <f>(AF9/Calculator!$B$10)*Calculator!$B$9</f>
        <v>#DIV/0!</v>
      </c>
      <c r="AI9" s="126" t="str">
        <f>IF(ISBLANK(AA9),"","RS Means")</f>
        <v/>
      </c>
    </row>
    <row r="10" spans="1:35" ht="13.8">
      <c r="A10" s="134"/>
      <c r="B10" s="135"/>
      <c r="C10" s="136"/>
      <c r="D10" s="136"/>
      <c r="E10" s="136"/>
      <c r="F10" s="134"/>
      <c r="G10" s="136"/>
      <c r="H10" s="136"/>
      <c r="I10" s="136"/>
      <c r="J10" s="137"/>
      <c r="K10" s="137"/>
      <c r="L10" s="137"/>
      <c r="M10" s="137"/>
      <c r="N10" s="137"/>
      <c r="O10" s="137"/>
      <c r="P10" s="137"/>
      <c r="Q10" s="137"/>
      <c r="R10" s="137"/>
      <c r="S10" s="137"/>
      <c r="T10" s="137"/>
      <c r="U10" s="137"/>
      <c r="V10" s="137"/>
      <c r="W10" s="137"/>
      <c r="X10" s="137"/>
      <c r="Y10" s="137"/>
      <c r="Z10" s="137"/>
      <c r="AA10" s="137"/>
      <c r="AB10" s="136"/>
      <c r="AC10" s="136"/>
      <c r="AD10" s="136"/>
      <c r="AE10" s="136"/>
      <c r="AF10" s="127">
        <f t="shared" ref="AF10:AF73" si="0">IFERROR(AA10*AG10,0)</f>
        <v>0</v>
      </c>
      <c r="AG10" s="127" t="str">
        <f>IF(AA10=0,"",Calculator!$B$7)</f>
        <v/>
      </c>
      <c r="AH10" s="127" t="e">
        <f>(AF10/Calculator!$B$10)*Calculator!$B$9</f>
        <v>#DIV/0!</v>
      </c>
      <c r="AI10" s="126" t="str">
        <f t="shared" ref="AI10:AI73" si="1">IF(ISBLANK(AA10),"","RS Means")</f>
        <v/>
      </c>
    </row>
    <row r="11" spans="1:35" ht="13.8">
      <c r="A11" s="134"/>
      <c r="B11" s="135"/>
      <c r="C11" s="136"/>
      <c r="D11" s="136"/>
      <c r="E11" s="136"/>
      <c r="F11" s="134"/>
      <c r="G11" s="136"/>
      <c r="H11" s="136"/>
      <c r="I11" s="136"/>
      <c r="J11" s="137"/>
      <c r="K11" s="137"/>
      <c r="L11" s="137"/>
      <c r="M11" s="137"/>
      <c r="N11" s="137"/>
      <c r="O11" s="137"/>
      <c r="P11" s="137"/>
      <c r="Q11" s="137"/>
      <c r="R11" s="137"/>
      <c r="S11" s="137"/>
      <c r="T11" s="137"/>
      <c r="U11" s="137"/>
      <c r="V11" s="137"/>
      <c r="W11" s="137"/>
      <c r="X11" s="137"/>
      <c r="Y11" s="137"/>
      <c r="Z11" s="137"/>
      <c r="AA11" s="137"/>
      <c r="AB11" s="136"/>
      <c r="AC11" s="136"/>
      <c r="AD11" s="136"/>
      <c r="AE11" s="136"/>
      <c r="AF11" s="127">
        <f t="shared" si="0"/>
        <v>0</v>
      </c>
      <c r="AG11" s="127" t="str">
        <f>IF(AA11=0,"",Calculator!$B$7)</f>
        <v/>
      </c>
      <c r="AH11" s="127" t="e">
        <f>(AF11/Calculator!$B$10)*Calculator!$B$9</f>
        <v>#DIV/0!</v>
      </c>
      <c r="AI11" s="126" t="str">
        <f t="shared" si="1"/>
        <v/>
      </c>
    </row>
    <row r="12" spans="1:35" ht="13.8">
      <c r="A12" s="134"/>
      <c r="B12" s="135"/>
      <c r="C12" s="136"/>
      <c r="D12" s="136"/>
      <c r="E12" s="136"/>
      <c r="F12" s="134"/>
      <c r="G12" s="136"/>
      <c r="H12" s="136"/>
      <c r="I12" s="136"/>
      <c r="J12" s="137"/>
      <c r="K12" s="137"/>
      <c r="L12" s="137"/>
      <c r="M12" s="137"/>
      <c r="N12" s="137"/>
      <c r="O12" s="137"/>
      <c r="P12" s="137"/>
      <c r="Q12" s="137"/>
      <c r="R12" s="137"/>
      <c r="S12" s="137"/>
      <c r="T12" s="137"/>
      <c r="U12" s="137"/>
      <c r="V12" s="137"/>
      <c r="W12" s="137"/>
      <c r="X12" s="137"/>
      <c r="Y12" s="137"/>
      <c r="Z12" s="137"/>
      <c r="AA12" s="137"/>
      <c r="AB12" s="136"/>
      <c r="AC12" s="136"/>
      <c r="AD12" s="136"/>
      <c r="AE12" s="136"/>
      <c r="AF12" s="127">
        <f t="shared" si="0"/>
        <v>0</v>
      </c>
      <c r="AG12" s="127" t="str">
        <f>IF(AA12=0,"",Calculator!$B$7)</f>
        <v/>
      </c>
      <c r="AH12" s="127" t="e">
        <f>(AF12/Calculator!$B$10)*Calculator!$B$9</f>
        <v>#DIV/0!</v>
      </c>
      <c r="AI12" s="126" t="str">
        <f t="shared" si="1"/>
        <v/>
      </c>
    </row>
    <row r="13" spans="1:35" ht="13.8">
      <c r="A13" s="134"/>
      <c r="B13" s="135"/>
      <c r="C13" s="136"/>
      <c r="D13" s="136"/>
      <c r="E13" s="136"/>
      <c r="F13" s="134"/>
      <c r="G13" s="136"/>
      <c r="H13" s="136"/>
      <c r="I13" s="136"/>
      <c r="J13" s="137"/>
      <c r="K13" s="137"/>
      <c r="L13" s="137"/>
      <c r="M13" s="137"/>
      <c r="N13" s="137"/>
      <c r="O13" s="137"/>
      <c r="P13" s="137"/>
      <c r="Q13" s="137"/>
      <c r="R13" s="137"/>
      <c r="S13" s="137"/>
      <c r="T13" s="137"/>
      <c r="U13" s="137"/>
      <c r="V13" s="137"/>
      <c r="W13" s="137"/>
      <c r="X13" s="137"/>
      <c r="Y13" s="137"/>
      <c r="Z13" s="137"/>
      <c r="AA13" s="137"/>
      <c r="AB13" s="136"/>
      <c r="AC13" s="136"/>
      <c r="AD13" s="136"/>
      <c r="AE13" s="136"/>
      <c r="AF13" s="127">
        <f t="shared" si="0"/>
        <v>0</v>
      </c>
      <c r="AG13" s="127" t="str">
        <f>IF(AA13=0,"",Calculator!$B$7)</f>
        <v/>
      </c>
      <c r="AH13" s="127" t="e">
        <f>(AF13/Calculator!$B$10)*Calculator!$B$9</f>
        <v>#DIV/0!</v>
      </c>
      <c r="AI13" s="126" t="str">
        <f t="shared" si="1"/>
        <v/>
      </c>
    </row>
    <row r="14" spans="1:35" ht="13.8">
      <c r="A14" s="134"/>
      <c r="B14" s="135"/>
      <c r="C14" s="136"/>
      <c r="D14" s="136"/>
      <c r="E14" s="136"/>
      <c r="F14" s="134"/>
      <c r="G14" s="136"/>
      <c r="H14" s="136"/>
      <c r="I14" s="136"/>
      <c r="J14" s="137"/>
      <c r="K14" s="137"/>
      <c r="L14" s="137"/>
      <c r="M14" s="137"/>
      <c r="N14" s="137"/>
      <c r="O14" s="137"/>
      <c r="P14" s="137"/>
      <c r="Q14" s="137"/>
      <c r="R14" s="137"/>
      <c r="S14" s="137"/>
      <c r="T14" s="137"/>
      <c r="U14" s="137"/>
      <c r="V14" s="137"/>
      <c r="W14" s="137"/>
      <c r="X14" s="137"/>
      <c r="Y14" s="137"/>
      <c r="Z14" s="137"/>
      <c r="AA14" s="137"/>
      <c r="AB14" s="136"/>
      <c r="AC14" s="136"/>
      <c r="AD14" s="136"/>
      <c r="AE14" s="136"/>
      <c r="AF14" s="127">
        <f t="shared" si="0"/>
        <v>0</v>
      </c>
      <c r="AG14" s="127" t="str">
        <f>IF(AA14=0,"",Calculator!$B$7)</f>
        <v/>
      </c>
      <c r="AH14" s="127" t="e">
        <f>(AF14/Calculator!$B$10)*Calculator!$B$9</f>
        <v>#DIV/0!</v>
      </c>
      <c r="AI14" s="126" t="str">
        <f t="shared" si="1"/>
        <v/>
      </c>
    </row>
    <row r="15" spans="1:35" ht="13.8">
      <c r="A15" s="134"/>
      <c r="B15" s="135"/>
      <c r="C15" s="136"/>
      <c r="D15" s="136"/>
      <c r="E15" s="136"/>
      <c r="F15" s="134"/>
      <c r="G15" s="136"/>
      <c r="H15" s="136"/>
      <c r="I15" s="136"/>
      <c r="J15" s="137"/>
      <c r="K15" s="137"/>
      <c r="L15" s="137"/>
      <c r="M15" s="137"/>
      <c r="N15" s="137"/>
      <c r="O15" s="137"/>
      <c r="P15" s="137"/>
      <c r="Q15" s="137"/>
      <c r="R15" s="137"/>
      <c r="S15" s="137"/>
      <c r="T15" s="137"/>
      <c r="U15" s="137"/>
      <c r="V15" s="137"/>
      <c r="W15" s="137"/>
      <c r="X15" s="137"/>
      <c r="Y15" s="137"/>
      <c r="Z15" s="137"/>
      <c r="AA15" s="137"/>
      <c r="AB15" s="136"/>
      <c r="AC15" s="136"/>
      <c r="AD15" s="136"/>
      <c r="AE15" s="136"/>
      <c r="AF15" s="127">
        <f t="shared" si="0"/>
        <v>0</v>
      </c>
      <c r="AG15" s="127" t="str">
        <f>IF(AA15=0,"",Calculator!$B$7)</f>
        <v/>
      </c>
      <c r="AH15" s="127" t="e">
        <f>(AF15/Calculator!$B$10)*Calculator!$B$9</f>
        <v>#DIV/0!</v>
      </c>
      <c r="AI15" s="126" t="str">
        <f t="shared" si="1"/>
        <v/>
      </c>
    </row>
    <row r="16" spans="1:35" ht="13.8">
      <c r="A16" s="134"/>
      <c r="B16" s="135"/>
      <c r="C16" s="136"/>
      <c r="D16" s="136"/>
      <c r="E16" s="136"/>
      <c r="F16" s="134"/>
      <c r="G16" s="136"/>
      <c r="H16" s="136"/>
      <c r="I16" s="136"/>
      <c r="J16" s="137"/>
      <c r="K16" s="137"/>
      <c r="L16" s="137"/>
      <c r="M16" s="137"/>
      <c r="N16" s="137"/>
      <c r="O16" s="137"/>
      <c r="P16" s="137"/>
      <c r="Q16" s="137"/>
      <c r="R16" s="137"/>
      <c r="S16" s="137"/>
      <c r="T16" s="137"/>
      <c r="U16" s="137"/>
      <c r="V16" s="137"/>
      <c r="W16" s="137"/>
      <c r="X16" s="137"/>
      <c r="Y16" s="137"/>
      <c r="Z16" s="137"/>
      <c r="AA16" s="137"/>
      <c r="AB16" s="136"/>
      <c r="AC16" s="136"/>
      <c r="AD16" s="136"/>
      <c r="AE16" s="136"/>
      <c r="AF16" s="127">
        <f t="shared" si="0"/>
        <v>0</v>
      </c>
      <c r="AG16" s="127" t="str">
        <f>IF(AA16=0,"",Calculator!$B$7)</f>
        <v/>
      </c>
      <c r="AH16" s="127" t="e">
        <f>(AF16/Calculator!$B$10)*Calculator!$B$9</f>
        <v>#DIV/0!</v>
      </c>
      <c r="AI16" s="126" t="str">
        <f t="shared" si="1"/>
        <v/>
      </c>
    </row>
    <row r="17" spans="1:35" ht="13.8">
      <c r="A17" s="134"/>
      <c r="B17" s="135"/>
      <c r="C17" s="136"/>
      <c r="D17" s="136"/>
      <c r="E17" s="136"/>
      <c r="F17" s="134"/>
      <c r="G17" s="136"/>
      <c r="H17" s="136"/>
      <c r="I17" s="136"/>
      <c r="J17" s="137"/>
      <c r="K17" s="137"/>
      <c r="L17" s="137"/>
      <c r="M17" s="137"/>
      <c r="N17" s="137"/>
      <c r="O17" s="137"/>
      <c r="P17" s="137"/>
      <c r="Q17" s="137"/>
      <c r="R17" s="137"/>
      <c r="S17" s="137"/>
      <c r="T17" s="137"/>
      <c r="U17" s="137"/>
      <c r="V17" s="137"/>
      <c r="W17" s="137"/>
      <c r="X17" s="137"/>
      <c r="Y17" s="137"/>
      <c r="Z17" s="137"/>
      <c r="AA17" s="137"/>
      <c r="AB17" s="136"/>
      <c r="AC17" s="136"/>
      <c r="AD17" s="136"/>
      <c r="AE17" s="136"/>
      <c r="AF17" s="127">
        <f t="shared" si="0"/>
        <v>0</v>
      </c>
      <c r="AG17" s="127" t="str">
        <f>IF(AA17=0,"",Calculator!$B$7)</f>
        <v/>
      </c>
      <c r="AH17" s="127" t="e">
        <f>(AF17/Calculator!$B$10)*Calculator!$B$9</f>
        <v>#DIV/0!</v>
      </c>
      <c r="AI17" s="126" t="str">
        <f t="shared" si="1"/>
        <v/>
      </c>
    </row>
    <row r="18" spans="1:35" ht="13.8">
      <c r="A18" s="134"/>
      <c r="B18" s="135"/>
      <c r="C18" s="136"/>
      <c r="D18" s="136"/>
      <c r="E18" s="136"/>
      <c r="F18" s="134"/>
      <c r="G18" s="136"/>
      <c r="H18" s="136"/>
      <c r="I18" s="136"/>
      <c r="J18" s="137"/>
      <c r="K18" s="137"/>
      <c r="L18" s="137"/>
      <c r="M18" s="137"/>
      <c r="N18" s="137"/>
      <c r="O18" s="137"/>
      <c r="P18" s="137"/>
      <c r="Q18" s="137"/>
      <c r="R18" s="137"/>
      <c r="S18" s="137"/>
      <c r="T18" s="137"/>
      <c r="U18" s="137"/>
      <c r="V18" s="137"/>
      <c r="W18" s="137"/>
      <c r="X18" s="137"/>
      <c r="Y18" s="137"/>
      <c r="Z18" s="137"/>
      <c r="AA18" s="137"/>
      <c r="AB18" s="136"/>
      <c r="AC18" s="136"/>
      <c r="AD18" s="136"/>
      <c r="AE18" s="136"/>
      <c r="AF18" s="127">
        <f t="shared" si="0"/>
        <v>0</v>
      </c>
      <c r="AG18" s="127" t="str">
        <f>IF(AA18=0,"",Calculator!$B$7)</f>
        <v/>
      </c>
      <c r="AH18" s="127" t="e">
        <f>(AF18/Calculator!$B$10)*Calculator!$B$9</f>
        <v>#DIV/0!</v>
      </c>
      <c r="AI18" s="126" t="str">
        <f t="shared" si="1"/>
        <v/>
      </c>
    </row>
    <row r="19" spans="1:35" ht="13.8">
      <c r="A19" s="134"/>
      <c r="B19" s="135"/>
      <c r="C19" s="136"/>
      <c r="D19" s="136"/>
      <c r="E19" s="136"/>
      <c r="F19" s="134"/>
      <c r="G19" s="136"/>
      <c r="H19" s="136"/>
      <c r="I19" s="136"/>
      <c r="J19" s="137"/>
      <c r="K19" s="137"/>
      <c r="L19" s="137"/>
      <c r="M19" s="137"/>
      <c r="N19" s="137"/>
      <c r="O19" s="137"/>
      <c r="P19" s="137"/>
      <c r="Q19" s="137"/>
      <c r="R19" s="137"/>
      <c r="S19" s="137"/>
      <c r="T19" s="137"/>
      <c r="U19" s="137"/>
      <c r="V19" s="137"/>
      <c r="W19" s="137"/>
      <c r="X19" s="137"/>
      <c r="Y19" s="137"/>
      <c r="Z19" s="137"/>
      <c r="AA19" s="137"/>
      <c r="AB19" s="136"/>
      <c r="AC19" s="136"/>
      <c r="AD19" s="136"/>
      <c r="AE19" s="136"/>
      <c r="AF19" s="127">
        <f t="shared" si="0"/>
        <v>0</v>
      </c>
      <c r="AG19" s="127" t="str">
        <f>IF(AA19=0,"",Calculator!$B$7)</f>
        <v/>
      </c>
      <c r="AH19" s="127" t="e">
        <f>(AF19/Calculator!$B$10)*Calculator!$B$9</f>
        <v>#DIV/0!</v>
      </c>
      <c r="AI19" s="126" t="str">
        <f t="shared" si="1"/>
        <v/>
      </c>
    </row>
    <row r="20" spans="1:35" ht="13.8">
      <c r="A20" s="134"/>
      <c r="B20" s="135"/>
      <c r="C20" s="136"/>
      <c r="D20" s="136"/>
      <c r="E20" s="136"/>
      <c r="F20" s="134"/>
      <c r="G20" s="136"/>
      <c r="H20" s="136"/>
      <c r="I20" s="136"/>
      <c r="J20" s="137"/>
      <c r="K20" s="137"/>
      <c r="L20" s="137"/>
      <c r="M20" s="137"/>
      <c r="N20" s="137"/>
      <c r="O20" s="137"/>
      <c r="P20" s="137"/>
      <c r="Q20" s="137"/>
      <c r="R20" s="137"/>
      <c r="S20" s="137"/>
      <c r="T20" s="137"/>
      <c r="U20" s="137"/>
      <c r="V20" s="137"/>
      <c r="W20" s="137"/>
      <c r="X20" s="137"/>
      <c r="Y20" s="137"/>
      <c r="Z20" s="137"/>
      <c r="AA20" s="137"/>
      <c r="AB20" s="136"/>
      <c r="AC20" s="136"/>
      <c r="AD20" s="136"/>
      <c r="AE20" s="136"/>
      <c r="AF20" s="127">
        <f t="shared" si="0"/>
        <v>0</v>
      </c>
      <c r="AG20" s="127" t="str">
        <f>IF(AA20=0,"",Calculator!$B$7)</f>
        <v/>
      </c>
      <c r="AH20" s="127" t="e">
        <f>(AF20/Calculator!$B$10)*Calculator!$B$9</f>
        <v>#DIV/0!</v>
      </c>
      <c r="AI20" s="126" t="str">
        <f t="shared" si="1"/>
        <v/>
      </c>
    </row>
    <row r="21" spans="1:35" ht="13.8">
      <c r="A21" s="134"/>
      <c r="B21" s="135"/>
      <c r="C21" s="136"/>
      <c r="D21" s="136"/>
      <c r="E21" s="136"/>
      <c r="F21" s="134"/>
      <c r="G21" s="136"/>
      <c r="H21" s="136"/>
      <c r="I21" s="136"/>
      <c r="J21" s="137"/>
      <c r="K21" s="137"/>
      <c r="L21" s="137"/>
      <c r="M21" s="137"/>
      <c r="N21" s="137"/>
      <c r="O21" s="137"/>
      <c r="P21" s="137"/>
      <c r="Q21" s="137"/>
      <c r="R21" s="137"/>
      <c r="S21" s="137"/>
      <c r="T21" s="137"/>
      <c r="U21" s="137"/>
      <c r="V21" s="137"/>
      <c r="W21" s="137"/>
      <c r="X21" s="137"/>
      <c r="Y21" s="137"/>
      <c r="Z21" s="137"/>
      <c r="AA21" s="137"/>
      <c r="AB21" s="136"/>
      <c r="AC21" s="136"/>
      <c r="AD21" s="136"/>
      <c r="AE21" s="136"/>
      <c r="AF21" s="127">
        <f t="shared" si="0"/>
        <v>0</v>
      </c>
      <c r="AG21" s="127" t="str">
        <f>IF(AA21=0,"",Calculator!$B$7)</f>
        <v/>
      </c>
      <c r="AH21" s="127" t="e">
        <f>(AF21/Calculator!$B$10)*Calculator!$B$9</f>
        <v>#DIV/0!</v>
      </c>
      <c r="AI21" s="126" t="str">
        <f t="shared" si="1"/>
        <v/>
      </c>
    </row>
    <row r="22" spans="1:35" ht="13.8">
      <c r="A22" s="134"/>
      <c r="B22" s="135"/>
      <c r="C22" s="136"/>
      <c r="D22" s="136"/>
      <c r="E22" s="136"/>
      <c r="F22" s="134"/>
      <c r="G22" s="136"/>
      <c r="H22" s="136"/>
      <c r="I22" s="136"/>
      <c r="J22" s="137"/>
      <c r="K22" s="137"/>
      <c r="L22" s="137"/>
      <c r="M22" s="137"/>
      <c r="N22" s="137"/>
      <c r="O22" s="137"/>
      <c r="P22" s="137"/>
      <c r="Q22" s="137"/>
      <c r="R22" s="137"/>
      <c r="S22" s="137"/>
      <c r="T22" s="137"/>
      <c r="U22" s="137"/>
      <c r="V22" s="137"/>
      <c r="W22" s="137"/>
      <c r="X22" s="137"/>
      <c r="Y22" s="137"/>
      <c r="Z22" s="137"/>
      <c r="AA22" s="137"/>
      <c r="AB22" s="136"/>
      <c r="AC22" s="136"/>
      <c r="AD22" s="136"/>
      <c r="AE22" s="136"/>
      <c r="AF22" s="127">
        <f t="shared" si="0"/>
        <v>0</v>
      </c>
      <c r="AG22" s="127" t="str">
        <f>IF(AA22=0,"",Calculator!$B$7)</f>
        <v/>
      </c>
      <c r="AH22" s="127" t="e">
        <f>(AF22/Calculator!$B$10)*Calculator!$B$9</f>
        <v>#DIV/0!</v>
      </c>
      <c r="AI22" s="126" t="str">
        <f t="shared" si="1"/>
        <v/>
      </c>
    </row>
    <row r="23" spans="1:35" ht="13.8">
      <c r="A23" s="134"/>
      <c r="B23" s="135"/>
      <c r="C23" s="136"/>
      <c r="D23" s="136"/>
      <c r="E23" s="136"/>
      <c r="F23" s="134"/>
      <c r="G23" s="136"/>
      <c r="H23" s="136"/>
      <c r="I23" s="136"/>
      <c r="J23" s="137"/>
      <c r="K23" s="137"/>
      <c r="L23" s="137"/>
      <c r="M23" s="137"/>
      <c r="N23" s="137"/>
      <c r="O23" s="137"/>
      <c r="P23" s="137"/>
      <c r="Q23" s="137"/>
      <c r="R23" s="137"/>
      <c r="S23" s="137"/>
      <c r="T23" s="137"/>
      <c r="U23" s="137"/>
      <c r="V23" s="137"/>
      <c r="W23" s="137"/>
      <c r="X23" s="137"/>
      <c r="Y23" s="137"/>
      <c r="Z23" s="137"/>
      <c r="AA23" s="137"/>
      <c r="AB23" s="136"/>
      <c r="AC23" s="136"/>
      <c r="AD23" s="136"/>
      <c r="AE23" s="136"/>
      <c r="AF23" s="127">
        <f t="shared" si="0"/>
        <v>0</v>
      </c>
      <c r="AG23" s="127" t="str">
        <f>IF(AA23=0,"",Calculator!$B$7)</f>
        <v/>
      </c>
      <c r="AH23" s="127" t="e">
        <f>(AF23/Calculator!$B$10)*Calculator!$B$9</f>
        <v>#DIV/0!</v>
      </c>
      <c r="AI23" s="126" t="str">
        <f t="shared" si="1"/>
        <v/>
      </c>
    </row>
    <row r="24" spans="1:35" ht="13.8">
      <c r="A24" s="134"/>
      <c r="B24" s="135"/>
      <c r="C24" s="136"/>
      <c r="D24" s="136"/>
      <c r="E24" s="136"/>
      <c r="F24" s="134"/>
      <c r="G24" s="136"/>
      <c r="H24" s="136"/>
      <c r="I24" s="136"/>
      <c r="J24" s="137"/>
      <c r="K24" s="137"/>
      <c r="L24" s="137"/>
      <c r="M24" s="137"/>
      <c r="N24" s="137"/>
      <c r="O24" s="137"/>
      <c r="P24" s="137"/>
      <c r="Q24" s="137"/>
      <c r="R24" s="137"/>
      <c r="S24" s="137"/>
      <c r="T24" s="137"/>
      <c r="U24" s="137"/>
      <c r="V24" s="137"/>
      <c r="W24" s="137"/>
      <c r="X24" s="137"/>
      <c r="Y24" s="137"/>
      <c r="Z24" s="137"/>
      <c r="AA24" s="137"/>
      <c r="AB24" s="136"/>
      <c r="AC24" s="136"/>
      <c r="AD24" s="136"/>
      <c r="AE24" s="136"/>
      <c r="AF24" s="127">
        <f t="shared" si="0"/>
        <v>0</v>
      </c>
      <c r="AG24" s="127" t="str">
        <f>IF(AA24=0,"",Calculator!$B$7)</f>
        <v/>
      </c>
      <c r="AH24" s="127" t="e">
        <f>(AF24/Calculator!$B$10)*Calculator!$B$9</f>
        <v>#DIV/0!</v>
      </c>
      <c r="AI24" s="126" t="str">
        <f t="shared" si="1"/>
        <v/>
      </c>
    </row>
    <row r="25" spans="1:35" ht="13.8">
      <c r="A25" s="134"/>
      <c r="B25" s="135"/>
      <c r="C25" s="136"/>
      <c r="D25" s="136"/>
      <c r="E25" s="136"/>
      <c r="F25" s="134"/>
      <c r="G25" s="136"/>
      <c r="H25" s="136"/>
      <c r="I25" s="136"/>
      <c r="J25" s="137"/>
      <c r="K25" s="137"/>
      <c r="L25" s="137"/>
      <c r="M25" s="137"/>
      <c r="N25" s="137"/>
      <c r="O25" s="137"/>
      <c r="P25" s="137"/>
      <c r="Q25" s="137"/>
      <c r="R25" s="137"/>
      <c r="S25" s="137"/>
      <c r="T25" s="137"/>
      <c r="U25" s="137"/>
      <c r="V25" s="137"/>
      <c r="W25" s="137"/>
      <c r="X25" s="137"/>
      <c r="Y25" s="137"/>
      <c r="Z25" s="137"/>
      <c r="AA25" s="137"/>
      <c r="AB25" s="136"/>
      <c r="AC25" s="136"/>
      <c r="AD25" s="136"/>
      <c r="AE25" s="136"/>
      <c r="AF25" s="127">
        <f t="shared" si="0"/>
        <v>0</v>
      </c>
      <c r="AG25" s="127" t="str">
        <f>IF(AA25=0,"",Calculator!$B$7)</f>
        <v/>
      </c>
      <c r="AH25" s="127" t="e">
        <f>(AF25/Calculator!$B$10)*Calculator!$B$9</f>
        <v>#DIV/0!</v>
      </c>
      <c r="AI25" s="126" t="str">
        <f t="shared" si="1"/>
        <v/>
      </c>
    </row>
    <row r="26" spans="1:35" ht="13.8">
      <c r="A26" s="134"/>
      <c r="B26" s="135"/>
      <c r="C26" s="136"/>
      <c r="D26" s="136"/>
      <c r="E26" s="136"/>
      <c r="F26" s="134"/>
      <c r="G26" s="136"/>
      <c r="H26" s="136"/>
      <c r="I26" s="136"/>
      <c r="J26" s="137"/>
      <c r="K26" s="137"/>
      <c r="L26" s="137"/>
      <c r="M26" s="137"/>
      <c r="N26" s="137"/>
      <c r="O26" s="137"/>
      <c r="P26" s="137"/>
      <c r="Q26" s="137"/>
      <c r="R26" s="137"/>
      <c r="S26" s="137"/>
      <c r="T26" s="137"/>
      <c r="U26" s="137"/>
      <c r="V26" s="137"/>
      <c r="W26" s="137"/>
      <c r="X26" s="137"/>
      <c r="Y26" s="137"/>
      <c r="Z26" s="137"/>
      <c r="AA26" s="137"/>
      <c r="AB26" s="136"/>
      <c r="AC26" s="136"/>
      <c r="AD26" s="136"/>
      <c r="AE26" s="136"/>
      <c r="AF26" s="127">
        <f t="shared" si="0"/>
        <v>0</v>
      </c>
      <c r="AG26" s="127" t="str">
        <f>IF(AA26=0,"",Calculator!$B$7)</f>
        <v/>
      </c>
      <c r="AH26" s="127" t="e">
        <f>(AF26/Calculator!$B$10)*Calculator!$B$9</f>
        <v>#DIV/0!</v>
      </c>
      <c r="AI26" s="126" t="str">
        <f t="shared" si="1"/>
        <v/>
      </c>
    </row>
    <row r="27" spans="1:35" ht="13.8">
      <c r="A27" s="134"/>
      <c r="B27" s="135"/>
      <c r="C27" s="136"/>
      <c r="D27" s="136"/>
      <c r="E27" s="136"/>
      <c r="F27" s="134"/>
      <c r="G27" s="136"/>
      <c r="H27" s="136"/>
      <c r="I27" s="136"/>
      <c r="J27" s="137"/>
      <c r="K27" s="137"/>
      <c r="L27" s="137"/>
      <c r="M27" s="137"/>
      <c r="N27" s="137"/>
      <c r="O27" s="137"/>
      <c r="P27" s="137"/>
      <c r="Q27" s="137"/>
      <c r="R27" s="137"/>
      <c r="S27" s="137"/>
      <c r="T27" s="137"/>
      <c r="U27" s="137"/>
      <c r="V27" s="137"/>
      <c r="W27" s="137"/>
      <c r="X27" s="137"/>
      <c r="Y27" s="137"/>
      <c r="Z27" s="137"/>
      <c r="AA27" s="137"/>
      <c r="AB27" s="136"/>
      <c r="AC27" s="136"/>
      <c r="AD27" s="136"/>
      <c r="AE27" s="136"/>
      <c r="AF27" s="127">
        <f t="shared" si="0"/>
        <v>0</v>
      </c>
      <c r="AG27" s="127" t="str">
        <f>IF(AA27=0,"",Calculator!$B$7)</f>
        <v/>
      </c>
      <c r="AH27" s="127" t="e">
        <f>(AF27/Calculator!$B$10)*Calculator!$B$9</f>
        <v>#DIV/0!</v>
      </c>
      <c r="AI27" s="126" t="str">
        <f t="shared" si="1"/>
        <v/>
      </c>
    </row>
    <row r="28" spans="1:35" ht="13.8">
      <c r="A28" s="134"/>
      <c r="B28" s="135"/>
      <c r="C28" s="136"/>
      <c r="D28" s="136"/>
      <c r="E28" s="136"/>
      <c r="F28" s="134"/>
      <c r="G28" s="136"/>
      <c r="H28" s="136"/>
      <c r="I28" s="136"/>
      <c r="J28" s="137"/>
      <c r="K28" s="137"/>
      <c r="L28" s="137"/>
      <c r="M28" s="137"/>
      <c r="N28" s="137"/>
      <c r="O28" s="137"/>
      <c r="P28" s="137"/>
      <c r="Q28" s="137"/>
      <c r="R28" s="137"/>
      <c r="S28" s="137"/>
      <c r="T28" s="137"/>
      <c r="U28" s="137"/>
      <c r="V28" s="137"/>
      <c r="W28" s="137"/>
      <c r="X28" s="137"/>
      <c r="Y28" s="137"/>
      <c r="Z28" s="137"/>
      <c r="AA28" s="137"/>
      <c r="AB28" s="136"/>
      <c r="AC28" s="136"/>
      <c r="AD28" s="136"/>
      <c r="AE28" s="136"/>
      <c r="AF28" s="127">
        <f t="shared" si="0"/>
        <v>0</v>
      </c>
      <c r="AG28" s="127" t="str">
        <f>IF(AA28=0,"",Calculator!$B$7)</f>
        <v/>
      </c>
      <c r="AH28" s="127" t="e">
        <f>(AF28/Calculator!$B$10)*Calculator!$B$9</f>
        <v>#DIV/0!</v>
      </c>
      <c r="AI28" s="126" t="str">
        <f t="shared" si="1"/>
        <v/>
      </c>
    </row>
    <row r="29" spans="1:35" ht="13.8">
      <c r="A29" s="134"/>
      <c r="B29" s="135"/>
      <c r="C29" s="136"/>
      <c r="D29" s="136"/>
      <c r="E29" s="136"/>
      <c r="F29" s="134"/>
      <c r="G29" s="136"/>
      <c r="H29" s="136"/>
      <c r="I29" s="136"/>
      <c r="J29" s="137"/>
      <c r="K29" s="137"/>
      <c r="L29" s="137"/>
      <c r="M29" s="137"/>
      <c r="N29" s="137"/>
      <c r="O29" s="137"/>
      <c r="P29" s="137"/>
      <c r="Q29" s="137"/>
      <c r="R29" s="137"/>
      <c r="S29" s="137"/>
      <c r="T29" s="137"/>
      <c r="U29" s="137"/>
      <c r="V29" s="137"/>
      <c r="W29" s="137"/>
      <c r="X29" s="137"/>
      <c r="Y29" s="137"/>
      <c r="Z29" s="137"/>
      <c r="AA29" s="137"/>
      <c r="AB29" s="136"/>
      <c r="AC29" s="136"/>
      <c r="AD29" s="136"/>
      <c r="AE29" s="136"/>
      <c r="AF29" s="127">
        <f t="shared" si="0"/>
        <v>0</v>
      </c>
      <c r="AG29" s="127" t="str">
        <f>IF(AA29=0,"",Calculator!$B$7)</f>
        <v/>
      </c>
      <c r="AH29" s="127" t="e">
        <f>(AF29/Calculator!$B$10)*Calculator!$B$9</f>
        <v>#DIV/0!</v>
      </c>
      <c r="AI29" s="126" t="str">
        <f t="shared" si="1"/>
        <v/>
      </c>
    </row>
    <row r="30" spans="1:35" ht="13.8">
      <c r="A30" s="134"/>
      <c r="B30" s="135"/>
      <c r="C30" s="136"/>
      <c r="D30" s="136"/>
      <c r="E30" s="136"/>
      <c r="F30" s="134"/>
      <c r="G30" s="136"/>
      <c r="H30" s="136"/>
      <c r="I30" s="136"/>
      <c r="J30" s="137"/>
      <c r="K30" s="137"/>
      <c r="L30" s="137"/>
      <c r="M30" s="137"/>
      <c r="N30" s="137"/>
      <c r="O30" s="137"/>
      <c r="P30" s="137"/>
      <c r="Q30" s="137"/>
      <c r="R30" s="137"/>
      <c r="S30" s="137"/>
      <c r="T30" s="137"/>
      <c r="U30" s="137"/>
      <c r="V30" s="137"/>
      <c r="W30" s="137"/>
      <c r="X30" s="137"/>
      <c r="Y30" s="137"/>
      <c r="Z30" s="137"/>
      <c r="AA30" s="137"/>
      <c r="AB30" s="136"/>
      <c r="AC30" s="136"/>
      <c r="AD30" s="136"/>
      <c r="AE30" s="136"/>
      <c r="AF30" s="127">
        <f t="shared" si="0"/>
        <v>0</v>
      </c>
      <c r="AG30" s="127" t="str">
        <f>IF(AA30=0,"",Calculator!$B$7)</f>
        <v/>
      </c>
      <c r="AH30" s="127" t="e">
        <f>(AF30/Calculator!$B$10)*Calculator!$B$9</f>
        <v>#DIV/0!</v>
      </c>
      <c r="AI30" s="126" t="str">
        <f t="shared" si="1"/>
        <v/>
      </c>
    </row>
    <row r="31" spans="1:35" ht="13.8">
      <c r="A31" s="134"/>
      <c r="B31" s="135"/>
      <c r="C31" s="136"/>
      <c r="D31" s="136"/>
      <c r="E31" s="136"/>
      <c r="F31" s="134"/>
      <c r="G31" s="136"/>
      <c r="H31" s="136"/>
      <c r="I31" s="136"/>
      <c r="J31" s="137"/>
      <c r="K31" s="137"/>
      <c r="L31" s="137"/>
      <c r="M31" s="137"/>
      <c r="N31" s="137"/>
      <c r="O31" s="137"/>
      <c r="P31" s="137"/>
      <c r="Q31" s="137"/>
      <c r="R31" s="137"/>
      <c r="S31" s="137"/>
      <c r="T31" s="137"/>
      <c r="U31" s="137"/>
      <c r="V31" s="137"/>
      <c r="W31" s="137"/>
      <c r="X31" s="137"/>
      <c r="Y31" s="137"/>
      <c r="Z31" s="137"/>
      <c r="AA31" s="137"/>
      <c r="AB31" s="136"/>
      <c r="AC31" s="136"/>
      <c r="AD31" s="136"/>
      <c r="AE31" s="136"/>
      <c r="AF31" s="127">
        <f t="shared" si="0"/>
        <v>0</v>
      </c>
      <c r="AG31" s="127" t="str">
        <f>IF(AA31=0,"",Calculator!$B$7)</f>
        <v/>
      </c>
      <c r="AH31" s="127" t="e">
        <f>(AF31/Calculator!$B$10)*Calculator!$B$9</f>
        <v>#DIV/0!</v>
      </c>
      <c r="AI31" s="126" t="str">
        <f t="shared" si="1"/>
        <v/>
      </c>
    </row>
    <row r="32" spans="1:35" ht="13.8">
      <c r="A32" s="134"/>
      <c r="B32" s="135"/>
      <c r="C32" s="136"/>
      <c r="D32" s="136"/>
      <c r="E32" s="136"/>
      <c r="F32" s="134"/>
      <c r="G32" s="136"/>
      <c r="H32" s="136"/>
      <c r="I32" s="136"/>
      <c r="J32" s="137"/>
      <c r="K32" s="137"/>
      <c r="L32" s="137"/>
      <c r="M32" s="137"/>
      <c r="N32" s="137"/>
      <c r="O32" s="137"/>
      <c r="P32" s="137"/>
      <c r="Q32" s="137"/>
      <c r="R32" s="137"/>
      <c r="S32" s="137"/>
      <c r="T32" s="137"/>
      <c r="U32" s="137"/>
      <c r="V32" s="137"/>
      <c r="W32" s="137"/>
      <c r="X32" s="137"/>
      <c r="Y32" s="137"/>
      <c r="Z32" s="137"/>
      <c r="AA32" s="137"/>
      <c r="AB32" s="136"/>
      <c r="AC32" s="136"/>
      <c r="AD32" s="136"/>
      <c r="AE32" s="136"/>
      <c r="AF32" s="127">
        <f t="shared" si="0"/>
        <v>0</v>
      </c>
      <c r="AG32" s="127" t="str">
        <f>IF(AA32=0,"",Calculator!$B$7)</f>
        <v/>
      </c>
      <c r="AH32" s="127" t="e">
        <f>(AF32/Calculator!$B$10)*Calculator!$B$9</f>
        <v>#DIV/0!</v>
      </c>
      <c r="AI32" s="126" t="str">
        <f t="shared" si="1"/>
        <v/>
      </c>
    </row>
    <row r="33" spans="1:35" ht="13.8">
      <c r="A33" s="134"/>
      <c r="B33" s="135"/>
      <c r="C33" s="136"/>
      <c r="D33" s="136"/>
      <c r="E33" s="136"/>
      <c r="F33" s="134"/>
      <c r="G33" s="136"/>
      <c r="H33" s="136"/>
      <c r="I33" s="136"/>
      <c r="J33" s="137"/>
      <c r="K33" s="137"/>
      <c r="L33" s="137"/>
      <c r="M33" s="137"/>
      <c r="N33" s="137"/>
      <c r="O33" s="137"/>
      <c r="P33" s="137"/>
      <c r="Q33" s="137"/>
      <c r="R33" s="137"/>
      <c r="S33" s="137"/>
      <c r="T33" s="137"/>
      <c r="U33" s="137"/>
      <c r="V33" s="137"/>
      <c r="W33" s="137"/>
      <c r="X33" s="137"/>
      <c r="Y33" s="137"/>
      <c r="Z33" s="137"/>
      <c r="AA33" s="137"/>
      <c r="AB33" s="136"/>
      <c r="AC33" s="136"/>
      <c r="AD33" s="136"/>
      <c r="AE33" s="136"/>
      <c r="AF33" s="127">
        <f t="shared" si="0"/>
        <v>0</v>
      </c>
      <c r="AG33" s="127" t="str">
        <f>IF(AA33=0,"",Calculator!$B$7)</f>
        <v/>
      </c>
      <c r="AH33" s="127" t="e">
        <f>(AF33/Calculator!$B$10)*Calculator!$B$9</f>
        <v>#DIV/0!</v>
      </c>
      <c r="AI33" s="126" t="str">
        <f t="shared" si="1"/>
        <v/>
      </c>
    </row>
    <row r="34" spans="1:35" ht="13.8">
      <c r="A34" s="134"/>
      <c r="B34" s="135"/>
      <c r="C34" s="136"/>
      <c r="D34" s="136"/>
      <c r="E34" s="136"/>
      <c r="F34" s="134"/>
      <c r="G34" s="136"/>
      <c r="H34" s="136"/>
      <c r="I34" s="136"/>
      <c r="J34" s="137"/>
      <c r="K34" s="137"/>
      <c r="L34" s="137"/>
      <c r="M34" s="137"/>
      <c r="N34" s="137"/>
      <c r="O34" s="137"/>
      <c r="P34" s="137"/>
      <c r="Q34" s="137"/>
      <c r="R34" s="137"/>
      <c r="S34" s="137"/>
      <c r="T34" s="137"/>
      <c r="U34" s="137"/>
      <c r="V34" s="137"/>
      <c r="W34" s="137"/>
      <c r="X34" s="137"/>
      <c r="Y34" s="137"/>
      <c r="Z34" s="137"/>
      <c r="AA34" s="137"/>
      <c r="AB34" s="136"/>
      <c r="AC34" s="136"/>
      <c r="AD34" s="136"/>
      <c r="AE34" s="136"/>
      <c r="AF34" s="127">
        <f t="shared" si="0"/>
        <v>0</v>
      </c>
      <c r="AG34" s="127" t="str">
        <f>IF(AA34=0,"",Calculator!$B$7)</f>
        <v/>
      </c>
      <c r="AH34" s="127" t="e">
        <f>(AF34/Calculator!$B$10)*Calculator!$B$9</f>
        <v>#DIV/0!</v>
      </c>
      <c r="AI34" s="126" t="str">
        <f t="shared" si="1"/>
        <v/>
      </c>
    </row>
    <row r="35" spans="1:35" ht="13.8">
      <c r="A35" s="134"/>
      <c r="B35" s="135"/>
      <c r="C35" s="136"/>
      <c r="D35" s="136"/>
      <c r="E35" s="136"/>
      <c r="F35" s="134"/>
      <c r="G35" s="136"/>
      <c r="H35" s="136"/>
      <c r="I35" s="136"/>
      <c r="J35" s="137"/>
      <c r="K35" s="137"/>
      <c r="L35" s="137"/>
      <c r="M35" s="137"/>
      <c r="N35" s="137"/>
      <c r="O35" s="137"/>
      <c r="P35" s="137"/>
      <c r="Q35" s="137"/>
      <c r="R35" s="137"/>
      <c r="S35" s="137"/>
      <c r="T35" s="137"/>
      <c r="U35" s="137"/>
      <c r="V35" s="137"/>
      <c r="W35" s="137"/>
      <c r="X35" s="137"/>
      <c r="Y35" s="137"/>
      <c r="Z35" s="137"/>
      <c r="AA35" s="137"/>
      <c r="AB35" s="136"/>
      <c r="AC35" s="136"/>
      <c r="AD35" s="136"/>
      <c r="AE35" s="136"/>
      <c r="AF35" s="127">
        <f t="shared" si="0"/>
        <v>0</v>
      </c>
      <c r="AG35" s="127" t="str">
        <f>IF(AA35=0,"",Calculator!$B$7)</f>
        <v/>
      </c>
      <c r="AH35" s="127" t="e">
        <f>(AF35/Calculator!$B$10)*Calculator!$B$9</f>
        <v>#DIV/0!</v>
      </c>
      <c r="AI35" s="126" t="str">
        <f t="shared" si="1"/>
        <v/>
      </c>
    </row>
    <row r="36" spans="1:35" ht="13.8">
      <c r="A36" s="134"/>
      <c r="B36" s="135"/>
      <c r="C36" s="136"/>
      <c r="D36" s="136"/>
      <c r="E36" s="136"/>
      <c r="F36" s="134"/>
      <c r="G36" s="136"/>
      <c r="H36" s="136"/>
      <c r="I36" s="136"/>
      <c r="J36" s="137"/>
      <c r="K36" s="137"/>
      <c r="L36" s="137"/>
      <c r="M36" s="137"/>
      <c r="N36" s="137"/>
      <c r="O36" s="137"/>
      <c r="P36" s="137"/>
      <c r="Q36" s="137"/>
      <c r="R36" s="137"/>
      <c r="S36" s="137"/>
      <c r="T36" s="137"/>
      <c r="U36" s="137"/>
      <c r="V36" s="137"/>
      <c r="W36" s="137"/>
      <c r="X36" s="137"/>
      <c r="Y36" s="137"/>
      <c r="Z36" s="137"/>
      <c r="AA36" s="137"/>
      <c r="AB36" s="136"/>
      <c r="AC36" s="136"/>
      <c r="AD36" s="136"/>
      <c r="AE36" s="136"/>
      <c r="AF36" s="127">
        <f t="shared" si="0"/>
        <v>0</v>
      </c>
      <c r="AG36" s="127" t="str">
        <f>IF(AA36=0,"",Calculator!$B$7)</f>
        <v/>
      </c>
      <c r="AH36" s="127" t="e">
        <f>(AF36/Calculator!$B$10)*Calculator!$B$9</f>
        <v>#DIV/0!</v>
      </c>
      <c r="AI36" s="126" t="str">
        <f t="shared" si="1"/>
        <v/>
      </c>
    </row>
    <row r="37" spans="1:35" ht="13.8">
      <c r="A37" s="134"/>
      <c r="B37" s="135"/>
      <c r="C37" s="136"/>
      <c r="D37" s="136"/>
      <c r="E37" s="136"/>
      <c r="F37" s="134"/>
      <c r="G37" s="136"/>
      <c r="H37" s="136"/>
      <c r="I37" s="136"/>
      <c r="J37" s="137"/>
      <c r="K37" s="137"/>
      <c r="L37" s="137"/>
      <c r="M37" s="137"/>
      <c r="N37" s="137"/>
      <c r="O37" s="137"/>
      <c r="P37" s="137"/>
      <c r="Q37" s="137"/>
      <c r="R37" s="137"/>
      <c r="S37" s="137"/>
      <c r="T37" s="137"/>
      <c r="U37" s="137"/>
      <c r="V37" s="137"/>
      <c r="W37" s="137"/>
      <c r="X37" s="137"/>
      <c r="Y37" s="137"/>
      <c r="Z37" s="137"/>
      <c r="AA37" s="137"/>
      <c r="AB37" s="136"/>
      <c r="AC37" s="136"/>
      <c r="AD37" s="136"/>
      <c r="AE37" s="136"/>
      <c r="AF37" s="127">
        <f t="shared" si="0"/>
        <v>0</v>
      </c>
      <c r="AG37" s="127" t="str">
        <f>IF(AA37=0,"",Calculator!$B$7)</f>
        <v/>
      </c>
      <c r="AH37" s="127" t="e">
        <f>(AF37/Calculator!$B$10)*Calculator!$B$9</f>
        <v>#DIV/0!</v>
      </c>
      <c r="AI37" s="126" t="str">
        <f t="shared" si="1"/>
        <v/>
      </c>
    </row>
    <row r="38" spans="1:35" ht="13.8">
      <c r="A38" s="134"/>
      <c r="B38" s="135"/>
      <c r="C38" s="136"/>
      <c r="D38" s="136"/>
      <c r="E38" s="136"/>
      <c r="F38" s="134"/>
      <c r="G38" s="136"/>
      <c r="H38" s="136"/>
      <c r="I38" s="136"/>
      <c r="J38" s="137"/>
      <c r="K38" s="137"/>
      <c r="L38" s="137"/>
      <c r="M38" s="137"/>
      <c r="N38" s="137"/>
      <c r="O38" s="137"/>
      <c r="P38" s="137"/>
      <c r="Q38" s="137"/>
      <c r="R38" s="137"/>
      <c r="S38" s="137"/>
      <c r="T38" s="137"/>
      <c r="U38" s="137"/>
      <c r="V38" s="137"/>
      <c r="W38" s="137"/>
      <c r="X38" s="137"/>
      <c r="Y38" s="137"/>
      <c r="Z38" s="137"/>
      <c r="AA38" s="137"/>
      <c r="AB38" s="136"/>
      <c r="AC38" s="136"/>
      <c r="AD38" s="136"/>
      <c r="AE38" s="136"/>
      <c r="AF38" s="127">
        <f t="shared" si="0"/>
        <v>0</v>
      </c>
      <c r="AG38" s="127" t="str">
        <f>IF(AA38=0,"",Calculator!$B$7)</f>
        <v/>
      </c>
      <c r="AH38" s="127" t="e">
        <f>(AF38/Calculator!$B$10)*Calculator!$B$9</f>
        <v>#DIV/0!</v>
      </c>
      <c r="AI38" s="126" t="str">
        <f t="shared" si="1"/>
        <v/>
      </c>
    </row>
    <row r="39" spans="1:35" ht="13.8">
      <c r="A39" s="134"/>
      <c r="B39" s="135"/>
      <c r="C39" s="136"/>
      <c r="D39" s="136"/>
      <c r="E39" s="136"/>
      <c r="F39" s="134"/>
      <c r="G39" s="136"/>
      <c r="H39" s="136"/>
      <c r="I39" s="136"/>
      <c r="J39" s="137"/>
      <c r="K39" s="137"/>
      <c r="L39" s="137"/>
      <c r="M39" s="137"/>
      <c r="N39" s="137"/>
      <c r="O39" s="137"/>
      <c r="P39" s="137"/>
      <c r="Q39" s="137"/>
      <c r="R39" s="137"/>
      <c r="S39" s="137"/>
      <c r="T39" s="137"/>
      <c r="U39" s="137"/>
      <c r="V39" s="137"/>
      <c r="W39" s="137"/>
      <c r="X39" s="137"/>
      <c r="Y39" s="137"/>
      <c r="Z39" s="137"/>
      <c r="AA39" s="137"/>
      <c r="AB39" s="136"/>
      <c r="AC39" s="136"/>
      <c r="AD39" s="136"/>
      <c r="AE39" s="136"/>
      <c r="AF39" s="127">
        <f t="shared" si="0"/>
        <v>0</v>
      </c>
      <c r="AG39" s="127" t="str">
        <f>IF(AA39=0,"",Calculator!$B$7)</f>
        <v/>
      </c>
      <c r="AH39" s="127" t="e">
        <f>(AF39/Calculator!$B$10)*Calculator!$B$9</f>
        <v>#DIV/0!</v>
      </c>
      <c r="AI39" s="126" t="str">
        <f t="shared" si="1"/>
        <v/>
      </c>
    </row>
    <row r="40" spans="1:35" ht="13.8">
      <c r="A40" s="134"/>
      <c r="B40" s="135"/>
      <c r="C40" s="136"/>
      <c r="D40" s="136"/>
      <c r="E40" s="136"/>
      <c r="F40" s="134"/>
      <c r="G40" s="136"/>
      <c r="H40" s="136"/>
      <c r="I40" s="136"/>
      <c r="J40" s="137"/>
      <c r="K40" s="137"/>
      <c r="L40" s="137"/>
      <c r="M40" s="137"/>
      <c r="N40" s="137"/>
      <c r="O40" s="137"/>
      <c r="P40" s="137"/>
      <c r="Q40" s="137"/>
      <c r="R40" s="137"/>
      <c r="S40" s="137"/>
      <c r="T40" s="137"/>
      <c r="U40" s="137"/>
      <c r="V40" s="137"/>
      <c r="W40" s="137"/>
      <c r="X40" s="137"/>
      <c r="Y40" s="137"/>
      <c r="Z40" s="137"/>
      <c r="AA40" s="137"/>
      <c r="AB40" s="136"/>
      <c r="AC40" s="136"/>
      <c r="AD40" s="136"/>
      <c r="AE40" s="136"/>
      <c r="AF40" s="127">
        <f t="shared" si="0"/>
        <v>0</v>
      </c>
      <c r="AG40" s="127" t="str">
        <f>IF(AA40=0,"",Calculator!$B$7)</f>
        <v/>
      </c>
      <c r="AH40" s="127" t="e">
        <f>(AF40/Calculator!$B$10)*Calculator!$B$9</f>
        <v>#DIV/0!</v>
      </c>
      <c r="AI40" s="126" t="str">
        <f t="shared" si="1"/>
        <v/>
      </c>
    </row>
    <row r="41" spans="1:35" ht="13.8">
      <c r="A41" s="134"/>
      <c r="B41" s="135"/>
      <c r="C41" s="136"/>
      <c r="D41" s="136"/>
      <c r="E41" s="136"/>
      <c r="F41" s="134"/>
      <c r="G41" s="136"/>
      <c r="H41" s="136"/>
      <c r="I41" s="136"/>
      <c r="J41" s="137"/>
      <c r="K41" s="137"/>
      <c r="L41" s="137"/>
      <c r="M41" s="137"/>
      <c r="N41" s="137"/>
      <c r="O41" s="137"/>
      <c r="P41" s="137"/>
      <c r="Q41" s="137"/>
      <c r="R41" s="137"/>
      <c r="S41" s="137"/>
      <c r="T41" s="137"/>
      <c r="U41" s="137"/>
      <c r="V41" s="137"/>
      <c r="W41" s="137"/>
      <c r="X41" s="137"/>
      <c r="Y41" s="137"/>
      <c r="Z41" s="137"/>
      <c r="AA41" s="137"/>
      <c r="AB41" s="136"/>
      <c r="AC41" s="136"/>
      <c r="AD41" s="136"/>
      <c r="AE41" s="136"/>
      <c r="AF41" s="127">
        <f t="shared" si="0"/>
        <v>0</v>
      </c>
      <c r="AG41" s="127" t="str">
        <f>IF(AA41=0,"",Calculator!$B$7)</f>
        <v/>
      </c>
      <c r="AH41" s="127" t="e">
        <f>(AF41/Calculator!$B$10)*Calculator!$B$9</f>
        <v>#DIV/0!</v>
      </c>
      <c r="AI41" s="126" t="str">
        <f t="shared" si="1"/>
        <v/>
      </c>
    </row>
    <row r="42" spans="1:35" ht="13.8">
      <c r="A42" s="134"/>
      <c r="B42" s="135"/>
      <c r="C42" s="136"/>
      <c r="D42" s="136"/>
      <c r="E42" s="136"/>
      <c r="F42" s="134"/>
      <c r="G42" s="136"/>
      <c r="H42" s="136"/>
      <c r="I42" s="136"/>
      <c r="J42" s="137"/>
      <c r="K42" s="137"/>
      <c r="L42" s="137"/>
      <c r="M42" s="137"/>
      <c r="N42" s="137"/>
      <c r="O42" s="137"/>
      <c r="P42" s="137"/>
      <c r="Q42" s="137"/>
      <c r="R42" s="137"/>
      <c r="S42" s="137"/>
      <c r="T42" s="137"/>
      <c r="U42" s="137"/>
      <c r="V42" s="137"/>
      <c r="W42" s="137"/>
      <c r="X42" s="137"/>
      <c r="Y42" s="137"/>
      <c r="Z42" s="137"/>
      <c r="AA42" s="137"/>
      <c r="AB42" s="136"/>
      <c r="AC42" s="136"/>
      <c r="AD42" s="136"/>
      <c r="AE42" s="136"/>
      <c r="AF42" s="127">
        <f t="shared" si="0"/>
        <v>0</v>
      </c>
      <c r="AG42" s="127" t="str">
        <f>IF(AA42=0,"",Calculator!$B$7)</f>
        <v/>
      </c>
      <c r="AH42" s="127" t="e">
        <f>(AF42/Calculator!$B$10)*Calculator!$B$9</f>
        <v>#DIV/0!</v>
      </c>
      <c r="AI42" s="126" t="str">
        <f t="shared" si="1"/>
        <v/>
      </c>
    </row>
    <row r="43" spans="1:35" ht="13.8">
      <c r="A43" s="134"/>
      <c r="B43" s="135"/>
      <c r="C43" s="136"/>
      <c r="D43" s="136"/>
      <c r="E43" s="136"/>
      <c r="F43" s="134"/>
      <c r="G43" s="136"/>
      <c r="H43" s="136"/>
      <c r="I43" s="136"/>
      <c r="J43" s="137"/>
      <c r="K43" s="137"/>
      <c r="L43" s="137"/>
      <c r="M43" s="137"/>
      <c r="N43" s="137"/>
      <c r="O43" s="137"/>
      <c r="P43" s="137"/>
      <c r="Q43" s="137"/>
      <c r="R43" s="137"/>
      <c r="S43" s="137"/>
      <c r="T43" s="137"/>
      <c r="U43" s="137"/>
      <c r="V43" s="137"/>
      <c r="W43" s="137"/>
      <c r="X43" s="137"/>
      <c r="Y43" s="137"/>
      <c r="Z43" s="137"/>
      <c r="AA43" s="137"/>
      <c r="AB43" s="136"/>
      <c r="AC43" s="136"/>
      <c r="AD43" s="136"/>
      <c r="AE43" s="136"/>
      <c r="AF43" s="127">
        <f t="shared" si="0"/>
        <v>0</v>
      </c>
      <c r="AG43" s="127" t="str">
        <f>IF(AA43=0,"",Calculator!$B$7)</f>
        <v/>
      </c>
      <c r="AH43" s="127" t="e">
        <f>(AF43/Calculator!$B$10)*Calculator!$B$9</f>
        <v>#DIV/0!</v>
      </c>
      <c r="AI43" s="126" t="str">
        <f t="shared" si="1"/>
        <v/>
      </c>
    </row>
    <row r="44" spans="1:35" ht="13.8">
      <c r="A44" s="134"/>
      <c r="B44" s="135"/>
      <c r="C44" s="136"/>
      <c r="D44" s="136"/>
      <c r="E44" s="136"/>
      <c r="F44" s="134"/>
      <c r="G44" s="136"/>
      <c r="H44" s="136"/>
      <c r="I44" s="136"/>
      <c r="J44" s="137"/>
      <c r="K44" s="137"/>
      <c r="L44" s="137"/>
      <c r="M44" s="137"/>
      <c r="N44" s="137"/>
      <c r="O44" s="137"/>
      <c r="P44" s="137"/>
      <c r="Q44" s="137"/>
      <c r="R44" s="137"/>
      <c r="S44" s="137"/>
      <c r="T44" s="137"/>
      <c r="U44" s="137"/>
      <c r="V44" s="137"/>
      <c r="W44" s="137"/>
      <c r="X44" s="137"/>
      <c r="Y44" s="137"/>
      <c r="Z44" s="137"/>
      <c r="AA44" s="137"/>
      <c r="AB44" s="136"/>
      <c r="AC44" s="136"/>
      <c r="AD44" s="136"/>
      <c r="AE44" s="136"/>
      <c r="AF44" s="127">
        <f t="shared" si="0"/>
        <v>0</v>
      </c>
      <c r="AG44" s="127" t="str">
        <f>IF(AA44=0,"",Calculator!$B$7)</f>
        <v/>
      </c>
      <c r="AH44" s="127" t="e">
        <f>(AF44/Calculator!$B$10)*Calculator!$B$9</f>
        <v>#DIV/0!</v>
      </c>
      <c r="AI44" s="126" t="str">
        <f t="shared" si="1"/>
        <v/>
      </c>
    </row>
    <row r="45" spans="1:35" ht="13.8">
      <c r="A45" s="134"/>
      <c r="B45" s="135"/>
      <c r="C45" s="136"/>
      <c r="D45" s="136"/>
      <c r="E45" s="136"/>
      <c r="F45" s="134"/>
      <c r="G45" s="136"/>
      <c r="H45" s="136"/>
      <c r="I45" s="136"/>
      <c r="J45" s="137"/>
      <c r="K45" s="137"/>
      <c r="L45" s="137"/>
      <c r="M45" s="137"/>
      <c r="N45" s="137"/>
      <c r="O45" s="137"/>
      <c r="P45" s="137"/>
      <c r="Q45" s="137"/>
      <c r="R45" s="137"/>
      <c r="S45" s="137"/>
      <c r="T45" s="137"/>
      <c r="U45" s="137"/>
      <c r="V45" s="137"/>
      <c r="W45" s="137"/>
      <c r="X45" s="137"/>
      <c r="Y45" s="137"/>
      <c r="Z45" s="137"/>
      <c r="AA45" s="137"/>
      <c r="AB45" s="136"/>
      <c r="AC45" s="136"/>
      <c r="AD45" s="136"/>
      <c r="AE45" s="136"/>
      <c r="AF45" s="127">
        <f t="shared" si="0"/>
        <v>0</v>
      </c>
      <c r="AG45" s="127" t="str">
        <f>IF(AA45=0,"",Calculator!$B$7)</f>
        <v/>
      </c>
      <c r="AH45" s="127" t="e">
        <f>(AF45/Calculator!$B$10)*Calculator!$B$9</f>
        <v>#DIV/0!</v>
      </c>
      <c r="AI45" s="126" t="str">
        <f t="shared" si="1"/>
        <v/>
      </c>
    </row>
    <row r="46" spans="1:35" ht="13.8">
      <c r="A46" s="134"/>
      <c r="B46" s="135"/>
      <c r="C46" s="136"/>
      <c r="D46" s="136"/>
      <c r="E46" s="136"/>
      <c r="F46" s="134"/>
      <c r="G46" s="136"/>
      <c r="H46" s="136"/>
      <c r="I46" s="136"/>
      <c r="J46" s="137"/>
      <c r="K46" s="137"/>
      <c r="L46" s="137"/>
      <c r="M46" s="137"/>
      <c r="N46" s="137"/>
      <c r="O46" s="137"/>
      <c r="P46" s="137"/>
      <c r="Q46" s="137"/>
      <c r="R46" s="137"/>
      <c r="S46" s="137"/>
      <c r="T46" s="137"/>
      <c r="U46" s="137"/>
      <c r="V46" s="137"/>
      <c r="W46" s="137"/>
      <c r="X46" s="137"/>
      <c r="Y46" s="137"/>
      <c r="Z46" s="137"/>
      <c r="AA46" s="137"/>
      <c r="AB46" s="136"/>
      <c r="AC46" s="136"/>
      <c r="AD46" s="136"/>
      <c r="AE46" s="136"/>
      <c r="AF46" s="127">
        <f t="shared" si="0"/>
        <v>0</v>
      </c>
      <c r="AG46" s="127" t="str">
        <f>IF(AA46=0,"",Calculator!$B$7)</f>
        <v/>
      </c>
      <c r="AH46" s="127" t="e">
        <f>(AF46/Calculator!$B$10)*Calculator!$B$9</f>
        <v>#DIV/0!</v>
      </c>
      <c r="AI46" s="126" t="str">
        <f t="shared" si="1"/>
        <v/>
      </c>
    </row>
    <row r="47" spans="1:35" ht="13.8">
      <c r="A47" s="134"/>
      <c r="B47" s="135"/>
      <c r="C47" s="136"/>
      <c r="D47" s="136"/>
      <c r="E47" s="136"/>
      <c r="F47" s="134"/>
      <c r="G47" s="136"/>
      <c r="H47" s="136"/>
      <c r="I47" s="136"/>
      <c r="J47" s="137"/>
      <c r="K47" s="137"/>
      <c r="L47" s="137"/>
      <c r="M47" s="137"/>
      <c r="N47" s="137"/>
      <c r="O47" s="137"/>
      <c r="P47" s="137"/>
      <c r="Q47" s="137"/>
      <c r="R47" s="137"/>
      <c r="S47" s="137"/>
      <c r="T47" s="137"/>
      <c r="U47" s="137"/>
      <c r="V47" s="137"/>
      <c r="W47" s="137"/>
      <c r="X47" s="137"/>
      <c r="Y47" s="137"/>
      <c r="Z47" s="137"/>
      <c r="AA47" s="137"/>
      <c r="AB47" s="136"/>
      <c r="AC47" s="136"/>
      <c r="AD47" s="136"/>
      <c r="AE47" s="136"/>
      <c r="AF47" s="127">
        <f t="shared" si="0"/>
        <v>0</v>
      </c>
      <c r="AG47" s="127" t="str">
        <f>IF(AA47=0,"",Calculator!$B$7)</f>
        <v/>
      </c>
      <c r="AH47" s="127" t="e">
        <f>(AF47/Calculator!$B$10)*Calculator!$B$9</f>
        <v>#DIV/0!</v>
      </c>
      <c r="AI47" s="126" t="str">
        <f t="shared" si="1"/>
        <v/>
      </c>
    </row>
    <row r="48" spans="1:35" ht="13.8">
      <c r="AF48" s="127">
        <f t="shared" si="0"/>
        <v>0</v>
      </c>
      <c r="AG48" s="127" t="str">
        <f>IF(AA48=0,"",Calculator!$B$7)</f>
        <v/>
      </c>
      <c r="AH48" s="127" t="e">
        <f>(AF48/Calculator!$B$10)*Calculator!$B$9</f>
        <v>#DIV/0!</v>
      </c>
      <c r="AI48" s="126" t="str">
        <f t="shared" si="1"/>
        <v/>
      </c>
    </row>
    <row r="49" spans="1:35" ht="13.8">
      <c r="A49" s="138"/>
      <c r="M49" s="139"/>
      <c r="N49" s="139"/>
      <c r="O49" s="139"/>
      <c r="P49" s="139"/>
      <c r="Q49" s="139"/>
      <c r="R49" s="139"/>
      <c r="S49" s="139"/>
      <c r="T49" s="139"/>
      <c r="U49" s="139"/>
      <c r="V49" s="139"/>
      <c r="W49" s="139"/>
      <c r="X49" s="139"/>
      <c r="Y49" s="139"/>
      <c r="Z49" s="139"/>
      <c r="AA49" s="139"/>
      <c r="AF49" s="127">
        <f t="shared" si="0"/>
        <v>0</v>
      </c>
      <c r="AG49" s="127" t="str">
        <f>IF(AA49=0,"",Calculator!$B$7)</f>
        <v/>
      </c>
      <c r="AH49" s="127" t="e">
        <f>(AF49/Calculator!$B$10)*Calculator!$B$9</f>
        <v>#DIV/0!</v>
      </c>
      <c r="AI49" s="126" t="str">
        <f t="shared" si="1"/>
        <v/>
      </c>
    </row>
    <row r="50" spans="1:35" ht="13.8">
      <c r="AF50" s="127">
        <f t="shared" si="0"/>
        <v>0</v>
      </c>
      <c r="AG50" s="127" t="str">
        <f>IF(AA50=0,"",Calculator!$B$7)</f>
        <v/>
      </c>
      <c r="AH50" s="127" t="e">
        <f>(AF50/Calculator!$B$10)*Calculator!$B$9</f>
        <v>#DIV/0!</v>
      </c>
      <c r="AI50" s="126" t="str">
        <f t="shared" si="1"/>
        <v/>
      </c>
    </row>
    <row r="51" spans="1:35" ht="13.8">
      <c r="AF51" s="127">
        <f t="shared" si="0"/>
        <v>0</v>
      </c>
      <c r="AG51" s="127" t="str">
        <f>IF(AA51=0,"",Calculator!$B$7)</f>
        <v/>
      </c>
      <c r="AH51" s="127" t="e">
        <f>(AF51/Calculator!$B$10)*Calculator!$B$9</f>
        <v>#DIV/0!</v>
      </c>
      <c r="AI51" s="126" t="str">
        <f t="shared" si="1"/>
        <v/>
      </c>
    </row>
    <row r="52" spans="1:35" ht="13.8">
      <c r="AF52" s="127">
        <f t="shared" si="0"/>
        <v>0</v>
      </c>
      <c r="AG52" s="127" t="str">
        <f>IF(AA52=0,"",Calculator!$B$7)</f>
        <v/>
      </c>
      <c r="AH52" s="127" t="e">
        <f>(AF52/Calculator!$B$10)*Calculator!$B$9</f>
        <v>#DIV/0!</v>
      </c>
      <c r="AI52" s="126" t="str">
        <f t="shared" si="1"/>
        <v/>
      </c>
    </row>
    <row r="53" spans="1:35" ht="15.6">
      <c r="A53" s="130"/>
      <c r="B53" s="130"/>
      <c r="C53" s="130"/>
      <c r="D53" s="130"/>
      <c r="E53" s="131"/>
      <c r="F53" s="130"/>
      <c r="G53" s="130"/>
      <c r="H53" s="130"/>
      <c r="I53" s="130"/>
      <c r="J53" s="130"/>
      <c r="K53" s="130"/>
      <c r="L53" s="130"/>
      <c r="M53" s="130"/>
      <c r="N53" s="130"/>
      <c r="O53" s="130"/>
      <c r="P53" s="130"/>
      <c r="Q53" s="130"/>
      <c r="R53" s="130"/>
      <c r="S53" s="130"/>
      <c r="T53" s="130"/>
      <c r="U53" s="130"/>
      <c r="V53" s="130"/>
      <c r="W53" s="130"/>
      <c r="X53" s="130"/>
      <c r="Y53" s="130"/>
      <c r="Z53" s="130"/>
      <c r="AA53" s="130"/>
      <c r="AB53" s="130"/>
      <c r="AC53" s="130"/>
      <c r="AD53" s="130"/>
      <c r="AE53" s="130"/>
      <c r="AF53" s="127">
        <f t="shared" si="0"/>
        <v>0</v>
      </c>
      <c r="AG53" s="127" t="str">
        <f>IF(AA53=0,"",Calculator!$B$7)</f>
        <v/>
      </c>
      <c r="AH53" s="127" t="e">
        <f>(AF53/Calculator!$B$10)*Calculator!$B$9</f>
        <v>#DIV/0!</v>
      </c>
      <c r="AI53" s="126" t="str">
        <f t="shared" si="1"/>
        <v/>
      </c>
    </row>
    <row r="54" spans="1:35" ht="13.8">
      <c r="A54" s="132"/>
      <c r="B54" s="132"/>
      <c r="C54" s="132"/>
      <c r="D54" s="124"/>
      <c r="E54" s="132"/>
      <c r="F54" s="132"/>
      <c r="G54" s="132"/>
      <c r="H54" s="132"/>
      <c r="I54" s="132"/>
      <c r="J54" s="132"/>
      <c r="K54" s="132"/>
      <c r="L54" s="132"/>
      <c r="M54" s="132"/>
      <c r="N54" s="132"/>
      <c r="O54" s="132"/>
      <c r="P54" s="132"/>
      <c r="Q54" s="132"/>
      <c r="R54" s="132"/>
      <c r="S54" s="132"/>
      <c r="T54" s="132"/>
      <c r="U54" s="132"/>
      <c r="V54" s="132"/>
      <c r="W54" s="132"/>
      <c r="X54" s="132"/>
      <c r="Y54" s="132"/>
      <c r="Z54" s="132"/>
      <c r="AA54" s="132"/>
      <c r="AB54" s="132"/>
      <c r="AC54" s="132"/>
      <c r="AD54" s="132"/>
      <c r="AE54" s="132"/>
      <c r="AF54" s="127">
        <f t="shared" si="0"/>
        <v>0</v>
      </c>
      <c r="AG54" s="127" t="str">
        <f>IF(AA54=0,"",Calculator!$B$7)</f>
        <v/>
      </c>
      <c r="AH54" s="127" t="e">
        <f>(AF54/Calculator!$B$10)*Calculator!$B$9</f>
        <v>#DIV/0!</v>
      </c>
      <c r="AI54" s="126" t="str">
        <f t="shared" si="1"/>
        <v/>
      </c>
    </row>
    <row r="55" spans="1:35" ht="13.8">
      <c r="A55" s="134"/>
      <c r="B55" s="135"/>
      <c r="C55" s="136"/>
      <c r="D55" s="136"/>
      <c r="E55" s="136"/>
      <c r="F55" s="134"/>
      <c r="G55" s="136"/>
      <c r="H55" s="136"/>
      <c r="I55" s="134"/>
      <c r="J55" s="137"/>
      <c r="K55" s="137"/>
      <c r="L55" s="137"/>
      <c r="M55" s="137"/>
      <c r="N55" s="137"/>
      <c r="O55" s="137"/>
      <c r="P55" s="137"/>
      <c r="Q55" s="137"/>
      <c r="R55" s="137"/>
      <c r="S55" s="137"/>
      <c r="T55" s="137"/>
      <c r="U55" s="137"/>
      <c r="V55" s="137"/>
      <c r="W55" s="137"/>
      <c r="X55" s="137"/>
      <c r="Y55" s="137"/>
      <c r="Z55" s="137"/>
      <c r="AA55" s="137"/>
      <c r="AB55" s="136"/>
      <c r="AC55" s="136"/>
      <c r="AD55" s="136"/>
      <c r="AE55" s="136"/>
      <c r="AF55" s="127">
        <f t="shared" si="0"/>
        <v>0</v>
      </c>
      <c r="AG55" s="127" t="str">
        <f>IF(AA55=0,"",Calculator!$B$7)</f>
        <v/>
      </c>
      <c r="AH55" s="127" t="e">
        <f>(AF55/Calculator!$B$10)*Calculator!$B$9</f>
        <v>#DIV/0!</v>
      </c>
      <c r="AI55" s="126" t="str">
        <f t="shared" si="1"/>
        <v/>
      </c>
    </row>
    <row r="56" spans="1:35" ht="13.8">
      <c r="A56" s="134"/>
      <c r="B56" s="135"/>
      <c r="C56" s="136"/>
      <c r="D56" s="136"/>
      <c r="E56" s="136"/>
      <c r="F56" s="134"/>
      <c r="G56" s="136"/>
      <c r="H56" s="136"/>
      <c r="I56" s="134"/>
      <c r="J56" s="137"/>
      <c r="K56" s="137"/>
      <c r="L56" s="137"/>
      <c r="M56" s="137"/>
      <c r="N56" s="137"/>
      <c r="O56" s="137"/>
      <c r="P56" s="137"/>
      <c r="Q56" s="137"/>
      <c r="R56" s="137"/>
      <c r="S56" s="137"/>
      <c r="T56" s="137"/>
      <c r="U56" s="137"/>
      <c r="V56" s="137"/>
      <c r="W56" s="137"/>
      <c r="X56" s="137"/>
      <c r="Y56" s="137"/>
      <c r="Z56" s="137"/>
      <c r="AA56" s="137"/>
      <c r="AB56" s="136"/>
      <c r="AC56" s="136"/>
      <c r="AD56" s="136"/>
      <c r="AE56" s="136"/>
      <c r="AF56" s="127">
        <f t="shared" si="0"/>
        <v>0</v>
      </c>
      <c r="AG56" s="127" t="str">
        <f>IF(AA56=0,"",Calculator!$B$7)</f>
        <v/>
      </c>
      <c r="AH56" s="127" t="e">
        <f>(AF56/Calculator!$B$10)*Calculator!$B$9</f>
        <v>#DIV/0!</v>
      </c>
      <c r="AI56" s="126" t="str">
        <f t="shared" si="1"/>
        <v/>
      </c>
    </row>
    <row r="57" spans="1:35" ht="13.8">
      <c r="A57" s="134"/>
      <c r="B57" s="135"/>
      <c r="C57" s="136"/>
      <c r="D57" s="136"/>
      <c r="E57" s="136"/>
      <c r="F57" s="134"/>
      <c r="G57" s="136"/>
      <c r="H57" s="136"/>
      <c r="I57" s="134"/>
      <c r="J57" s="137"/>
      <c r="K57" s="137"/>
      <c r="L57" s="137"/>
      <c r="M57" s="137"/>
      <c r="N57" s="137"/>
      <c r="O57" s="137"/>
      <c r="P57" s="137"/>
      <c r="Q57" s="137"/>
      <c r="R57" s="137"/>
      <c r="S57" s="137"/>
      <c r="T57" s="137"/>
      <c r="U57" s="137"/>
      <c r="V57" s="137"/>
      <c r="W57" s="137"/>
      <c r="X57" s="137"/>
      <c r="Y57" s="137"/>
      <c r="Z57" s="137"/>
      <c r="AA57" s="137"/>
      <c r="AB57" s="136"/>
      <c r="AC57" s="136"/>
      <c r="AD57" s="136"/>
      <c r="AE57" s="136"/>
      <c r="AF57" s="127">
        <f t="shared" si="0"/>
        <v>0</v>
      </c>
      <c r="AG57" s="127" t="str">
        <f>IF(AA57=0,"",Calculator!$B$7)</f>
        <v/>
      </c>
      <c r="AH57" s="127" t="e">
        <f>(AF57/Calculator!$B$10)*Calculator!$B$9</f>
        <v>#DIV/0!</v>
      </c>
      <c r="AI57" s="126" t="str">
        <f t="shared" si="1"/>
        <v/>
      </c>
    </row>
    <row r="58" spans="1:35" ht="13.8">
      <c r="A58" s="134"/>
      <c r="B58" s="135"/>
      <c r="C58" s="136"/>
      <c r="D58" s="136"/>
      <c r="E58" s="136"/>
      <c r="F58" s="134"/>
      <c r="G58" s="136"/>
      <c r="H58" s="136"/>
      <c r="I58" s="134"/>
      <c r="J58" s="137"/>
      <c r="K58" s="137"/>
      <c r="L58" s="137"/>
      <c r="M58" s="137"/>
      <c r="N58" s="137"/>
      <c r="O58" s="137"/>
      <c r="P58" s="137"/>
      <c r="Q58" s="137"/>
      <c r="R58" s="137"/>
      <c r="S58" s="137"/>
      <c r="T58" s="137"/>
      <c r="U58" s="137"/>
      <c r="V58" s="137"/>
      <c r="W58" s="137"/>
      <c r="X58" s="137"/>
      <c r="Y58" s="137"/>
      <c r="Z58" s="137"/>
      <c r="AA58" s="137"/>
      <c r="AB58" s="136"/>
      <c r="AC58" s="136"/>
      <c r="AD58" s="136"/>
      <c r="AE58" s="136"/>
      <c r="AF58" s="127">
        <f t="shared" si="0"/>
        <v>0</v>
      </c>
      <c r="AG58" s="127" t="str">
        <f>IF(AA58=0,"",Calculator!$B$7)</f>
        <v/>
      </c>
      <c r="AH58" s="127" t="e">
        <f>(AF58/Calculator!$B$10)*Calculator!$B$9</f>
        <v>#DIV/0!</v>
      </c>
      <c r="AI58" s="126" t="str">
        <f t="shared" si="1"/>
        <v/>
      </c>
    </row>
    <row r="59" spans="1:35" ht="13.8">
      <c r="A59" s="134"/>
      <c r="B59" s="135"/>
      <c r="C59" s="136"/>
      <c r="D59" s="136"/>
      <c r="E59" s="136"/>
      <c r="F59" s="134"/>
      <c r="G59" s="136"/>
      <c r="H59" s="136"/>
      <c r="I59" s="134"/>
      <c r="J59" s="137"/>
      <c r="K59" s="137"/>
      <c r="L59" s="137"/>
      <c r="M59" s="137"/>
      <c r="N59" s="137"/>
      <c r="O59" s="137"/>
      <c r="P59" s="137"/>
      <c r="Q59" s="137"/>
      <c r="R59" s="137"/>
      <c r="S59" s="137"/>
      <c r="T59" s="137"/>
      <c r="U59" s="137"/>
      <c r="V59" s="137"/>
      <c r="W59" s="137"/>
      <c r="X59" s="137"/>
      <c r="Y59" s="137"/>
      <c r="Z59" s="137"/>
      <c r="AA59" s="137"/>
      <c r="AB59" s="136"/>
      <c r="AC59" s="136"/>
      <c r="AD59" s="136"/>
      <c r="AE59" s="136"/>
      <c r="AF59" s="127">
        <f t="shared" si="0"/>
        <v>0</v>
      </c>
      <c r="AG59" s="127" t="str">
        <f>IF(AA59=0,"",Calculator!$B$7)</f>
        <v/>
      </c>
      <c r="AH59" s="127" t="e">
        <f>(AF59/Calculator!$B$10)*Calculator!$B$9</f>
        <v>#DIV/0!</v>
      </c>
      <c r="AI59" s="126" t="str">
        <f t="shared" si="1"/>
        <v/>
      </c>
    </row>
    <row r="60" spans="1:35" ht="13.8">
      <c r="A60" s="134"/>
      <c r="B60" s="135"/>
      <c r="C60" s="136"/>
      <c r="D60" s="136"/>
      <c r="E60" s="136"/>
      <c r="F60" s="134"/>
      <c r="G60" s="136"/>
      <c r="H60" s="136"/>
      <c r="I60" s="134"/>
      <c r="J60" s="137"/>
      <c r="K60" s="137"/>
      <c r="L60" s="137"/>
      <c r="M60" s="137"/>
      <c r="N60" s="137"/>
      <c r="O60" s="137"/>
      <c r="P60" s="137"/>
      <c r="Q60" s="137"/>
      <c r="R60" s="137"/>
      <c r="S60" s="137"/>
      <c r="T60" s="137"/>
      <c r="U60" s="137"/>
      <c r="V60" s="137"/>
      <c r="W60" s="137"/>
      <c r="X60" s="137"/>
      <c r="Y60" s="137"/>
      <c r="Z60" s="137"/>
      <c r="AA60" s="137"/>
      <c r="AB60" s="136"/>
      <c r="AC60" s="136"/>
      <c r="AD60" s="136"/>
      <c r="AE60" s="136"/>
      <c r="AF60" s="127">
        <f t="shared" si="0"/>
        <v>0</v>
      </c>
      <c r="AG60" s="127" t="str">
        <f>IF(AA60=0,"",Calculator!$B$7)</f>
        <v/>
      </c>
      <c r="AH60" s="127" t="e">
        <f>(AF60/Calculator!$B$10)*Calculator!$B$9</f>
        <v>#DIV/0!</v>
      </c>
      <c r="AI60" s="126" t="str">
        <f t="shared" si="1"/>
        <v/>
      </c>
    </row>
    <row r="61" spans="1:35" ht="13.8">
      <c r="AF61" s="127">
        <f t="shared" si="0"/>
        <v>0</v>
      </c>
      <c r="AG61" s="127" t="str">
        <f>IF(AA61=0,"",Calculator!$B$7)</f>
        <v/>
      </c>
      <c r="AH61" s="127" t="e">
        <f>(AF61/Calculator!$B$10)*Calculator!$B$9</f>
        <v>#DIV/0!</v>
      </c>
      <c r="AI61" s="126" t="str">
        <f t="shared" si="1"/>
        <v/>
      </c>
    </row>
    <row r="62" spans="1:35" ht="13.8">
      <c r="A62" s="138"/>
      <c r="M62" s="139"/>
      <c r="N62" s="139"/>
      <c r="O62" s="139"/>
      <c r="P62" s="139"/>
      <c r="Q62" s="139"/>
      <c r="R62" s="139"/>
      <c r="S62" s="139"/>
      <c r="T62" s="139"/>
      <c r="U62" s="139"/>
      <c r="V62" s="139"/>
      <c r="W62" s="139"/>
      <c r="X62" s="139"/>
      <c r="Y62" s="139"/>
      <c r="Z62" s="139"/>
      <c r="AA62" s="139"/>
      <c r="AF62" s="127">
        <f t="shared" si="0"/>
        <v>0</v>
      </c>
      <c r="AG62" s="127" t="str">
        <f>IF(AA62=0,"",Calculator!$B$7)</f>
        <v/>
      </c>
      <c r="AH62" s="127" t="e">
        <f>(AF62/Calculator!$B$10)*Calculator!$B$9</f>
        <v>#DIV/0!</v>
      </c>
      <c r="AI62" s="126" t="str">
        <f t="shared" si="1"/>
        <v/>
      </c>
    </row>
    <row r="63" spans="1:35" ht="13.8">
      <c r="AF63" s="127">
        <f t="shared" si="0"/>
        <v>0</v>
      </c>
      <c r="AG63" s="127" t="str">
        <f>IF(AA63=0,"",Calculator!$B$7)</f>
        <v/>
      </c>
      <c r="AH63" s="127" t="e">
        <f>(AF63/Calculator!$B$10)*Calculator!$B$9</f>
        <v>#DIV/0!</v>
      </c>
      <c r="AI63" s="126" t="str">
        <f t="shared" si="1"/>
        <v/>
      </c>
    </row>
    <row r="64" spans="1:35" ht="13.8">
      <c r="A64" s="138"/>
      <c r="M64" s="139"/>
      <c r="N64" s="139"/>
      <c r="O64" s="139"/>
      <c r="P64" s="139"/>
      <c r="Q64" s="139"/>
      <c r="R64" s="139"/>
      <c r="S64" s="139"/>
      <c r="T64" s="139"/>
      <c r="U64" s="139"/>
      <c r="V64" s="139"/>
      <c r="W64" s="139"/>
      <c r="X64" s="139"/>
      <c r="Y64" s="139"/>
      <c r="Z64" s="139"/>
      <c r="AA64" s="139"/>
      <c r="AF64" s="127">
        <f t="shared" si="0"/>
        <v>0</v>
      </c>
      <c r="AG64" s="127" t="str">
        <f>IF(AA64=0,"",Calculator!$B$7)</f>
        <v/>
      </c>
      <c r="AH64" s="127" t="e">
        <f>(AF64/Calculator!$B$10)*Calculator!$B$9</f>
        <v>#DIV/0!</v>
      </c>
      <c r="AI64" s="126" t="str">
        <f t="shared" si="1"/>
        <v/>
      </c>
    </row>
    <row r="65" spans="32:35" ht="13.8">
      <c r="AF65" s="127">
        <f t="shared" si="0"/>
        <v>0</v>
      </c>
      <c r="AG65" s="127" t="str">
        <f>IF(AA65=0,"",Calculator!$B$7)</f>
        <v/>
      </c>
      <c r="AH65" s="127" t="e">
        <f>(AF65/Calculator!$B$10)*Calculator!$B$9</f>
        <v>#DIV/0!</v>
      </c>
      <c r="AI65" s="126" t="str">
        <f t="shared" si="1"/>
        <v/>
      </c>
    </row>
    <row r="66" spans="32:35" ht="13.8">
      <c r="AF66" s="127">
        <f t="shared" si="0"/>
        <v>0</v>
      </c>
      <c r="AG66" s="127" t="str">
        <f>IF(AA66=0,"",Calculator!$B$7)</f>
        <v/>
      </c>
      <c r="AH66" s="127" t="e">
        <f>(AF66/Calculator!$B$10)*Calculator!$B$9</f>
        <v>#DIV/0!</v>
      </c>
      <c r="AI66" s="126" t="str">
        <f t="shared" si="1"/>
        <v/>
      </c>
    </row>
    <row r="67" spans="32:35" ht="13.8">
      <c r="AF67" s="127">
        <f t="shared" si="0"/>
        <v>0</v>
      </c>
      <c r="AG67" s="127" t="str">
        <f>IF(AA67=0,"",Calculator!$B$7)</f>
        <v/>
      </c>
      <c r="AH67" s="127" t="e">
        <f>(AF67/Calculator!$B$10)*Calculator!$B$9</f>
        <v>#DIV/0!</v>
      </c>
      <c r="AI67" s="126" t="str">
        <f t="shared" si="1"/>
        <v/>
      </c>
    </row>
    <row r="68" spans="32:35" ht="13.8">
      <c r="AF68" s="127">
        <f t="shared" si="0"/>
        <v>0</v>
      </c>
      <c r="AG68" s="127" t="str">
        <f>IF(AA68=0,"",Calculator!$B$7)</f>
        <v/>
      </c>
      <c r="AH68" s="127" t="e">
        <f>(AF68/Calculator!$B$10)*Calculator!$B$9</f>
        <v>#DIV/0!</v>
      </c>
      <c r="AI68" s="126" t="str">
        <f t="shared" si="1"/>
        <v/>
      </c>
    </row>
    <row r="69" spans="32:35" ht="13.8">
      <c r="AF69" s="127">
        <f t="shared" si="0"/>
        <v>0</v>
      </c>
      <c r="AG69" s="127" t="str">
        <f>IF(AA69=0,"",Calculator!$B$7)</f>
        <v/>
      </c>
      <c r="AH69" s="127" t="e">
        <f>(AF69/Calculator!$B$10)*Calculator!$B$9</f>
        <v>#DIV/0!</v>
      </c>
      <c r="AI69" s="126" t="str">
        <f t="shared" si="1"/>
        <v/>
      </c>
    </row>
    <row r="70" spans="32:35" ht="13.8">
      <c r="AF70" s="127">
        <f t="shared" si="0"/>
        <v>0</v>
      </c>
      <c r="AG70" s="127" t="str">
        <f>IF(AA70=0,"",Calculator!$B$7)</f>
        <v/>
      </c>
      <c r="AH70" s="127" t="e">
        <f>(AF70/Calculator!$B$10)*Calculator!$B$9</f>
        <v>#DIV/0!</v>
      </c>
      <c r="AI70" s="126" t="str">
        <f t="shared" si="1"/>
        <v/>
      </c>
    </row>
    <row r="71" spans="32:35" ht="13.8">
      <c r="AF71" s="127">
        <f t="shared" si="0"/>
        <v>0</v>
      </c>
      <c r="AG71" s="127" t="str">
        <f>IF(AA71=0,"",Calculator!$B$7)</f>
        <v/>
      </c>
      <c r="AH71" s="127" t="e">
        <f>(AF71/Calculator!$B$10)*Calculator!$B$9</f>
        <v>#DIV/0!</v>
      </c>
      <c r="AI71" s="126" t="str">
        <f t="shared" si="1"/>
        <v/>
      </c>
    </row>
    <row r="72" spans="32:35" ht="13.8">
      <c r="AF72" s="127">
        <f t="shared" si="0"/>
        <v>0</v>
      </c>
      <c r="AG72" s="127" t="str">
        <f>IF(AA72=0,"",Calculator!$B$7)</f>
        <v/>
      </c>
      <c r="AH72" s="127" t="e">
        <f>(AF72/Calculator!$B$10)*Calculator!$B$9</f>
        <v>#DIV/0!</v>
      </c>
      <c r="AI72" s="126" t="str">
        <f t="shared" si="1"/>
        <v/>
      </c>
    </row>
    <row r="73" spans="32:35" ht="13.8">
      <c r="AF73" s="127">
        <f t="shared" si="0"/>
        <v>0</v>
      </c>
      <c r="AG73" s="127" t="str">
        <f>IF(AA73=0,"",Calculator!$B$7)</f>
        <v/>
      </c>
      <c r="AH73" s="127" t="e">
        <f>(AF73/Calculator!$B$10)*Calculator!$B$9</f>
        <v>#DIV/0!</v>
      </c>
      <c r="AI73" s="126" t="str">
        <f t="shared" si="1"/>
        <v/>
      </c>
    </row>
    <row r="74" spans="32:35" ht="13.8">
      <c r="AF74" s="127">
        <f t="shared" ref="AF74:AF137" si="2">IFERROR(AA74*AG74,0)</f>
        <v>0</v>
      </c>
      <c r="AG74" s="127" t="str">
        <f>IF(AA74=0,"",Calculator!$B$7)</f>
        <v/>
      </c>
      <c r="AH74" s="127" t="e">
        <f>(AF74/Calculator!$B$10)*Calculator!$B$9</f>
        <v>#DIV/0!</v>
      </c>
      <c r="AI74" s="126" t="str">
        <f t="shared" ref="AI74:AI137" si="3">IF(ISBLANK(AA74),"","RS Means")</f>
        <v/>
      </c>
    </row>
    <row r="75" spans="32:35" ht="13.8">
      <c r="AF75" s="127">
        <f t="shared" si="2"/>
        <v>0</v>
      </c>
      <c r="AG75" s="127" t="str">
        <f>IF(AA75=0,"",Calculator!$B$7)</f>
        <v/>
      </c>
      <c r="AH75" s="127" t="e">
        <f>(AF75/Calculator!$B$10)*Calculator!$B$9</f>
        <v>#DIV/0!</v>
      </c>
      <c r="AI75" s="126" t="str">
        <f t="shared" si="3"/>
        <v/>
      </c>
    </row>
    <row r="76" spans="32:35" ht="13.8">
      <c r="AF76" s="127">
        <f t="shared" si="2"/>
        <v>0</v>
      </c>
      <c r="AG76" s="127" t="str">
        <f>IF(AA76=0,"",Calculator!$B$7)</f>
        <v/>
      </c>
      <c r="AH76" s="127" t="e">
        <f>(AF76/Calculator!$B$10)*Calculator!$B$9</f>
        <v>#DIV/0!</v>
      </c>
      <c r="AI76" s="126" t="str">
        <f t="shared" si="3"/>
        <v/>
      </c>
    </row>
    <row r="77" spans="32:35" ht="13.8">
      <c r="AF77" s="127">
        <f t="shared" si="2"/>
        <v>0</v>
      </c>
      <c r="AG77" s="127" t="str">
        <f>IF(AA77=0,"",Calculator!$B$7)</f>
        <v/>
      </c>
      <c r="AH77" s="127" t="e">
        <f>(AF77/Calculator!$B$10)*Calculator!$B$9</f>
        <v>#DIV/0!</v>
      </c>
      <c r="AI77" s="126" t="str">
        <f t="shared" si="3"/>
        <v/>
      </c>
    </row>
    <row r="78" spans="32:35" ht="13.8">
      <c r="AF78" s="127">
        <f t="shared" si="2"/>
        <v>0</v>
      </c>
      <c r="AG78" s="127" t="str">
        <f>IF(AA78=0,"",Calculator!$B$7)</f>
        <v/>
      </c>
      <c r="AH78" s="127" t="e">
        <f>(AF78/Calculator!$B$10)*Calculator!$B$9</f>
        <v>#DIV/0!</v>
      </c>
      <c r="AI78" s="126" t="str">
        <f t="shared" si="3"/>
        <v/>
      </c>
    </row>
    <row r="79" spans="32:35" ht="13.8">
      <c r="AF79" s="127">
        <f t="shared" si="2"/>
        <v>0</v>
      </c>
      <c r="AG79" s="127" t="str">
        <f>IF(AA79=0,"",Calculator!$B$7)</f>
        <v/>
      </c>
      <c r="AH79" s="127" t="e">
        <f>(AF79/Calculator!$B$10)*Calculator!$B$9</f>
        <v>#DIV/0!</v>
      </c>
      <c r="AI79" s="126" t="str">
        <f t="shared" si="3"/>
        <v/>
      </c>
    </row>
    <row r="80" spans="32:35" ht="13.8">
      <c r="AF80" s="127">
        <f t="shared" si="2"/>
        <v>0</v>
      </c>
      <c r="AG80" s="127" t="str">
        <f>IF(AA80=0,"",Calculator!$B$7)</f>
        <v/>
      </c>
      <c r="AH80" s="127" t="e">
        <f>(AF80/Calculator!$B$10)*Calculator!$B$9</f>
        <v>#DIV/0!</v>
      </c>
      <c r="AI80" s="126" t="str">
        <f t="shared" si="3"/>
        <v/>
      </c>
    </row>
    <row r="81" spans="32:35" ht="13.8">
      <c r="AF81" s="127">
        <f t="shared" si="2"/>
        <v>0</v>
      </c>
      <c r="AG81" s="127" t="str">
        <f>IF(AA81=0,"",Calculator!$B$7)</f>
        <v/>
      </c>
      <c r="AH81" s="127" t="e">
        <f>(AF81/Calculator!$B$10)*Calculator!$B$9</f>
        <v>#DIV/0!</v>
      </c>
      <c r="AI81" s="126" t="str">
        <f t="shared" si="3"/>
        <v/>
      </c>
    </row>
    <row r="82" spans="32:35" ht="13.8">
      <c r="AF82" s="127">
        <f t="shared" si="2"/>
        <v>0</v>
      </c>
      <c r="AG82" s="127" t="str">
        <f>IF(AA82=0,"",Calculator!$B$7)</f>
        <v/>
      </c>
      <c r="AH82" s="127" t="e">
        <f>(AF82/Calculator!$B$10)*Calculator!$B$9</f>
        <v>#DIV/0!</v>
      </c>
      <c r="AI82" s="126" t="str">
        <f t="shared" si="3"/>
        <v/>
      </c>
    </row>
    <row r="83" spans="32:35" ht="13.8">
      <c r="AF83" s="127">
        <f t="shared" si="2"/>
        <v>0</v>
      </c>
      <c r="AG83" s="127" t="str">
        <f>IF(AA83=0,"",Calculator!$B$7)</f>
        <v/>
      </c>
      <c r="AH83" s="127" t="e">
        <f>(AF83/Calculator!$B$10)*Calculator!$B$9</f>
        <v>#DIV/0!</v>
      </c>
      <c r="AI83" s="126" t="str">
        <f t="shared" si="3"/>
        <v/>
      </c>
    </row>
    <row r="84" spans="32:35" ht="13.8">
      <c r="AF84" s="127">
        <f t="shared" si="2"/>
        <v>0</v>
      </c>
      <c r="AG84" s="127" t="str">
        <f>IF(AA84=0,"",Calculator!$B$7)</f>
        <v/>
      </c>
      <c r="AH84" s="127" t="e">
        <f>(AF84/Calculator!$B$10)*Calculator!$B$9</f>
        <v>#DIV/0!</v>
      </c>
      <c r="AI84" s="126" t="str">
        <f t="shared" si="3"/>
        <v/>
      </c>
    </row>
    <row r="85" spans="32:35" ht="13.8">
      <c r="AF85" s="127">
        <f t="shared" si="2"/>
        <v>0</v>
      </c>
      <c r="AG85" s="127" t="str">
        <f>IF(AA85=0,"",Calculator!$B$7)</f>
        <v/>
      </c>
      <c r="AH85" s="127" t="e">
        <f>(AF85/Calculator!$B$10)*Calculator!$B$9</f>
        <v>#DIV/0!</v>
      </c>
      <c r="AI85" s="126" t="str">
        <f t="shared" si="3"/>
        <v/>
      </c>
    </row>
    <row r="86" spans="32:35" ht="13.8">
      <c r="AF86" s="127">
        <f t="shared" si="2"/>
        <v>0</v>
      </c>
      <c r="AG86" s="127" t="str">
        <f>IF(AA86=0,"",Calculator!$B$7)</f>
        <v/>
      </c>
      <c r="AH86" s="127" t="e">
        <f>(AF86/Calculator!$B$10)*Calculator!$B$9</f>
        <v>#DIV/0!</v>
      </c>
      <c r="AI86" s="126" t="str">
        <f t="shared" si="3"/>
        <v/>
      </c>
    </row>
    <row r="87" spans="32:35" ht="13.8">
      <c r="AF87" s="127">
        <f t="shared" si="2"/>
        <v>0</v>
      </c>
      <c r="AG87" s="127" t="str">
        <f>IF(AA87=0,"",Calculator!$B$7)</f>
        <v/>
      </c>
      <c r="AH87" s="127" t="e">
        <f>(AF87/Calculator!$B$10)*Calculator!$B$9</f>
        <v>#DIV/0!</v>
      </c>
      <c r="AI87" s="126" t="str">
        <f t="shared" si="3"/>
        <v/>
      </c>
    </row>
    <row r="88" spans="32:35" ht="13.8">
      <c r="AF88" s="127">
        <f t="shared" si="2"/>
        <v>0</v>
      </c>
      <c r="AG88" s="127" t="str">
        <f>IF(AA88=0,"",Calculator!$B$7)</f>
        <v/>
      </c>
      <c r="AH88" s="127" t="e">
        <f>(AF88/Calculator!$B$10)*Calculator!$B$9</f>
        <v>#DIV/0!</v>
      </c>
      <c r="AI88" s="126" t="str">
        <f t="shared" si="3"/>
        <v/>
      </c>
    </row>
    <row r="89" spans="32:35" ht="13.8">
      <c r="AF89" s="127">
        <f t="shared" si="2"/>
        <v>0</v>
      </c>
      <c r="AG89" s="127" t="str">
        <f>IF(AA89=0,"",Calculator!$B$7)</f>
        <v/>
      </c>
      <c r="AH89" s="127" t="e">
        <f>(AF89/Calculator!$B$10)*Calculator!$B$9</f>
        <v>#DIV/0!</v>
      </c>
      <c r="AI89" s="126" t="str">
        <f t="shared" si="3"/>
        <v/>
      </c>
    </row>
    <row r="90" spans="32:35" ht="13.8">
      <c r="AF90" s="127">
        <f t="shared" si="2"/>
        <v>0</v>
      </c>
      <c r="AG90" s="127" t="str">
        <f>IF(AA90=0,"",Calculator!$B$7)</f>
        <v/>
      </c>
      <c r="AH90" s="127" t="e">
        <f>(AF90/Calculator!$B$10)*Calculator!$B$9</f>
        <v>#DIV/0!</v>
      </c>
      <c r="AI90" s="126" t="str">
        <f t="shared" si="3"/>
        <v/>
      </c>
    </row>
    <row r="91" spans="32:35" ht="13.8">
      <c r="AF91" s="127">
        <f t="shared" si="2"/>
        <v>0</v>
      </c>
      <c r="AG91" s="127" t="str">
        <f>IF(AA91=0,"",Calculator!$B$7)</f>
        <v/>
      </c>
      <c r="AH91" s="127" t="e">
        <f>(AF91/Calculator!$B$10)*Calculator!$B$9</f>
        <v>#DIV/0!</v>
      </c>
      <c r="AI91" s="126" t="str">
        <f t="shared" si="3"/>
        <v/>
      </c>
    </row>
    <row r="92" spans="32:35" ht="13.8">
      <c r="AF92" s="127">
        <f t="shared" si="2"/>
        <v>0</v>
      </c>
      <c r="AG92" s="127" t="str">
        <f>IF(AA92=0,"",Calculator!$B$7)</f>
        <v/>
      </c>
      <c r="AH92" s="127" t="e">
        <f>(AF92/Calculator!$B$10)*Calculator!$B$9</f>
        <v>#DIV/0!</v>
      </c>
      <c r="AI92" s="126" t="str">
        <f t="shared" si="3"/>
        <v/>
      </c>
    </row>
    <row r="93" spans="32:35" ht="13.8">
      <c r="AF93" s="127">
        <f t="shared" si="2"/>
        <v>0</v>
      </c>
      <c r="AG93" s="127" t="str">
        <f>IF(AA93=0,"",Calculator!$B$7)</f>
        <v/>
      </c>
      <c r="AH93" s="127" t="e">
        <f>(AF93/Calculator!$B$10)*Calculator!$B$9</f>
        <v>#DIV/0!</v>
      </c>
      <c r="AI93" s="126" t="str">
        <f t="shared" si="3"/>
        <v/>
      </c>
    </row>
    <row r="94" spans="32:35" ht="13.8">
      <c r="AF94" s="127">
        <f t="shared" si="2"/>
        <v>0</v>
      </c>
      <c r="AG94" s="127" t="str">
        <f>IF(AA94=0,"",Calculator!$B$7)</f>
        <v/>
      </c>
      <c r="AH94" s="127" t="e">
        <f>(AF94/Calculator!$B$10)*Calculator!$B$9</f>
        <v>#DIV/0!</v>
      </c>
      <c r="AI94" s="126" t="str">
        <f t="shared" si="3"/>
        <v/>
      </c>
    </row>
    <row r="95" spans="32:35" ht="13.8">
      <c r="AF95" s="127">
        <f t="shared" si="2"/>
        <v>0</v>
      </c>
      <c r="AG95" s="127" t="str">
        <f>IF(AA95=0,"",Calculator!$B$7)</f>
        <v/>
      </c>
      <c r="AH95" s="127" t="e">
        <f>(AF95/Calculator!$B$10)*Calculator!$B$9</f>
        <v>#DIV/0!</v>
      </c>
      <c r="AI95" s="126" t="str">
        <f t="shared" si="3"/>
        <v/>
      </c>
    </row>
    <row r="96" spans="32:35" ht="13.8">
      <c r="AF96" s="127">
        <f t="shared" si="2"/>
        <v>0</v>
      </c>
      <c r="AG96" s="127" t="str">
        <f>IF(AA96=0,"",Calculator!$B$7)</f>
        <v/>
      </c>
      <c r="AH96" s="127" t="e">
        <f>(AF96/Calculator!$B$10)*Calculator!$B$9</f>
        <v>#DIV/0!</v>
      </c>
      <c r="AI96" s="126" t="str">
        <f t="shared" si="3"/>
        <v/>
      </c>
    </row>
    <row r="97" spans="32:35" ht="13.8">
      <c r="AF97" s="127">
        <f t="shared" si="2"/>
        <v>0</v>
      </c>
      <c r="AG97" s="127" t="str">
        <f>IF(AA97=0,"",Calculator!$B$7)</f>
        <v/>
      </c>
      <c r="AH97" s="127" t="e">
        <f>(AF97/Calculator!$B$10)*Calculator!$B$9</f>
        <v>#DIV/0!</v>
      </c>
      <c r="AI97" s="126" t="str">
        <f t="shared" si="3"/>
        <v/>
      </c>
    </row>
    <row r="98" spans="32:35" ht="13.8">
      <c r="AF98" s="127">
        <f t="shared" si="2"/>
        <v>0</v>
      </c>
      <c r="AG98" s="127" t="str">
        <f>IF(AA98=0,"",Calculator!$B$7)</f>
        <v/>
      </c>
      <c r="AH98" s="127" t="e">
        <f>(AF98/Calculator!$B$10)*Calculator!$B$9</f>
        <v>#DIV/0!</v>
      </c>
      <c r="AI98" s="126" t="str">
        <f t="shared" si="3"/>
        <v/>
      </c>
    </row>
    <row r="99" spans="32:35" ht="13.8">
      <c r="AF99" s="127">
        <f t="shared" si="2"/>
        <v>0</v>
      </c>
      <c r="AG99" s="127" t="str">
        <f>IF(AA99=0,"",Calculator!$B$7)</f>
        <v/>
      </c>
      <c r="AH99" s="127" t="e">
        <f>(AF99/Calculator!$B$10)*Calculator!$B$9</f>
        <v>#DIV/0!</v>
      </c>
      <c r="AI99" s="126" t="str">
        <f t="shared" si="3"/>
        <v/>
      </c>
    </row>
    <row r="100" spans="32:35" ht="13.8">
      <c r="AF100" s="127">
        <f t="shared" si="2"/>
        <v>0</v>
      </c>
      <c r="AG100" s="127" t="str">
        <f>IF(AA100=0,"",Calculator!$B$7)</f>
        <v/>
      </c>
      <c r="AH100" s="127" t="e">
        <f>(AF100/Calculator!$B$10)*Calculator!$B$9</f>
        <v>#DIV/0!</v>
      </c>
      <c r="AI100" s="126" t="str">
        <f t="shared" si="3"/>
        <v/>
      </c>
    </row>
    <row r="101" spans="32:35" ht="13.8">
      <c r="AF101" s="127">
        <f t="shared" si="2"/>
        <v>0</v>
      </c>
      <c r="AG101" s="127" t="str">
        <f>IF(AA101=0,"",Calculator!$B$7)</f>
        <v/>
      </c>
      <c r="AH101" s="127" t="e">
        <f>(AF101/Calculator!$B$10)*Calculator!$B$9</f>
        <v>#DIV/0!</v>
      </c>
      <c r="AI101" s="126" t="str">
        <f t="shared" si="3"/>
        <v/>
      </c>
    </row>
    <row r="102" spans="32:35" ht="13.8">
      <c r="AF102" s="127">
        <f t="shared" si="2"/>
        <v>0</v>
      </c>
      <c r="AG102" s="127" t="str">
        <f>IF(AA102=0,"",Calculator!$B$7)</f>
        <v/>
      </c>
      <c r="AH102" s="127" t="e">
        <f>(AF102/Calculator!$B$10)*Calculator!$B$9</f>
        <v>#DIV/0!</v>
      </c>
      <c r="AI102" s="126" t="str">
        <f t="shared" si="3"/>
        <v/>
      </c>
    </row>
    <row r="103" spans="32:35" ht="13.8">
      <c r="AF103" s="127">
        <f t="shared" si="2"/>
        <v>0</v>
      </c>
      <c r="AG103" s="127" t="str">
        <f>IF(AA103=0,"",Calculator!$B$7)</f>
        <v/>
      </c>
      <c r="AH103" s="127" t="e">
        <f>(AF103/Calculator!$B$10)*Calculator!$B$9</f>
        <v>#DIV/0!</v>
      </c>
      <c r="AI103" s="126" t="str">
        <f t="shared" si="3"/>
        <v/>
      </c>
    </row>
    <row r="104" spans="32:35" ht="13.8">
      <c r="AF104" s="127">
        <f t="shared" si="2"/>
        <v>0</v>
      </c>
      <c r="AG104" s="127" t="str">
        <f>IF(AA104=0,"",Calculator!$B$7)</f>
        <v/>
      </c>
      <c r="AH104" s="127" t="e">
        <f>(AF104/Calculator!$B$10)*Calculator!$B$9</f>
        <v>#DIV/0!</v>
      </c>
      <c r="AI104" s="126" t="str">
        <f t="shared" si="3"/>
        <v/>
      </c>
    </row>
    <row r="105" spans="32:35" ht="13.8">
      <c r="AF105" s="127">
        <f t="shared" si="2"/>
        <v>0</v>
      </c>
      <c r="AG105" s="127" t="str">
        <f>IF(AA105=0,"",Calculator!$B$7)</f>
        <v/>
      </c>
      <c r="AH105" s="127" t="e">
        <f>(AF105/Calculator!$B$10)*Calculator!$B$9</f>
        <v>#DIV/0!</v>
      </c>
      <c r="AI105" s="126" t="str">
        <f t="shared" si="3"/>
        <v/>
      </c>
    </row>
    <row r="106" spans="32:35" ht="13.8">
      <c r="AF106" s="127">
        <f t="shared" si="2"/>
        <v>0</v>
      </c>
      <c r="AG106" s="127" t="str">
        <f>IF(AA106=0,"",Calculator!$B$7)</f>
        <v/>
      </c>
      <c r="AH106" s="127" t="e">
        <f>(AF106/Calculator!$B$10)*Calculator!$B$9</f>
        <v>#DIV/0!</v>
      </c>
      <c r="AI106" s="126" t="str">
        <f t="shared" si="3"/>
        <v/>
      </c>
    </row>
    <row r="107" spans="32:35" ht="13.8">
      <c r="AF107" s="127">
        <f t="shared" si="2"/>
        <v>0</v>
      </c>
      <c r="AG107" s="127" t="str">
        <f>IF(AA107=0,"",Calculator!$B$7)</f>
        <v/>
      </c>
      <c r="AH107" s="127" t="e">
        <f>(AF107/Calculator!$B$10)*Calculator!$B$9</f>
        <v>#DIV/0!</v>
      </c>
      <c r="AI107" s="126" t="str">
        <f t="shared" si="3"/>
        <v/>
      </c>
    </row>
    <row r="108" spans="32:35" ht="13.8">
      <c r="AF108" s="127">
        <f t="shared" si="2"/>
        <v>0</v>
      </c>
      <c r="AG108" s="127" t="str">
        <f>IF(AA108=0,"",Calculator!$B$7)</f>
        <v/>
      </c>
      <c r="AH108" s="127" t="e">
        <f>(AF108/Calculator!$B$10)*Calculator!$B$9</f>
        <v>#DIV/0!</v>
      </c>
      <c r="AI108" s="126" t="str">
        <f t="shared" si="3"/>
        <v/>
      </c>
    </row>
    <row r="109" spans="32:35" ht="13.8">
      <c r="AF109" s="127">
        <f t="shared" si="2"/>
        <v>0</v>
      </c>
      <c r="AG109" s="127" t="str">
        <f>IF(AA109=0,"",Calculator!$B$7)</f>
        <v/>
      </c>
      <c r="AH109" s="127" t="e">
        <f>(AF109/Calculator!$B$10)*Calculator!$B$9</f>
        <v>#DIV/0!</v>
      </c>
      <c r="AI109" s="126" t="str">
        <f t="shared" si="3"/>
        <v/>
      </c>
    </row>
    <row r="110" spans="32:35" ht="13.8">
      <c r="AF110" s="127">
        <f t="shared" si="2"/>
        <v>0</v>
      </c>
      <c r="AG110" s="127" t="str">
        <f>IF(AA110=0,"",Calculator!$B$7)</f>
        <v/>
      </c>
      <c r="AH110" s="127" t="e">
        <f>(AF110/Calculator!$B$10)*Calculator!$B$9</f>
        <v>#DIV/0!</v>
      </c>
      <c r="AI110" s="126" t="str">
        <f t="shared" si="3"/>
        <v/>
      </c>
    </row>
    <row r="111" spans="32:35" ht="13.8">
      <c r="AF111" s="127">
        <f t="shared" si="2"/>
        <v>0</v>
      </c>
      <c r="AG111" s="127" t="str">
        <f>IF(AA111=0,"",Calculator!$B$7)</f>
        <v/>
      </c>
      <c r="AH111" s="127" t="e">
        <f>(AF111/Calculator!$B$10)*Calculator!$B$9</f>
        <v>#DIV/0!</v>
      </c>
      <c r="AI111" s="126" t="str">
        <f t="shared" si="3"/>
        <v/>
      </c>
    </row>
    <row r="112" spans="32:35" ht="13.8">
      <c r="AF112" s="127">
        <f t="shared" si="2"/>
        <v>0</v>
      </c>
      <c r="AG112" s="127" t="str">
        <f>IF(AA112=0,"",Calculator!$B$7)</f>
        <v/>
      </c>
      <c r="AH112" s="127" t="e">
        <f>(AF112/Calculator!$B$10)*Calculator!$B$9</f>
        <v>#DIV/0!</v>
      </c>
      <c r="AI112" s="126" t="str">
        <f t="shared" si="3"/>
        <v/>
      </c>
    </row>
    <row r="113" spans="32:35" ht="13.8">
      <c r="AF113" s="127">
        <f t="shared" si="2"/>
        <v>0</v>
      </c>
      <c r="AG113" s="127" t="str">
        <f>IF(AA113=0,"",Calculator!$B$7)</f>
        <v/>
      </c>
      <c r="AH113" s="127" t="e">
        <f>(AF113/Calculator!$B$10)*Calculator!$B$9</f>
        <v>#DIV/0!</v>
      </c>
      <c r="AI113" s="126" t="str">
        <f t="shared" si="3"/>
        <v/>
      </c>
    </row>
    <row r="114" spans="32:35" ht="13.8">
      <c r="AF114" s="127">
        <f t="shared" si="2"/>
        <v>0</v>
      </c>
      <c r="AG114" s="127" t="str">
        <f>IF(AA114=0,"",Calculator!$B$7)</f>
        <v/>
      </c>
      <c r="AH114" s="127" t="e">
        <f>(AF114/Calculator!$B$10)*Calculator!$B$9</f>
        <v>#DIV/0!</v>
      </c>
      <c r="AI114" s="126" t="str">
        <f t="shared" si="3"/>
        <v/>
      </c>
    </row>
    <row r="115" spans="32:35" ht="13.8">
      <c r="AF115" s="127">
        <f t="shared" si="2"/>
        <v>0</v>
      </c>
      <c r="AG115" s="127" t="str">
        <f>IF(AA115=0,"",Calculator!$B$7)</f>
        <v/>
      </c>
      <c r="AH115" s="127" t="e">
        <f>(AF115/Calculator!$B$10)*Calculator!$B$9</f>
        <v>#DIV/0!</v>
      </c>
      <c r="AI115" s="126" t="str">
        <f t="shared" si="3"/>
        <v/>
      </c>
    </row>
    <row r="116" spans="32:35" ht="13.8">
      <c r="AF116" s="127">
        <f t="shared" si="2"/>
        <v>0</v>
      </c>
      <c r="AG116" s="127" t="str">
        <f>IF(AA116=0,"",Calculator!$B$7)</f>
        <v/>
      </c>
      <c r="AH116" s="127" t="e">
        <f>(AF116/Calculator!$B$10)*Calculator!$B$9</f>
        <v>#DIV/0!</v>
      </c>
      <c r="AI116" s="126" t="str">
        <f t="shared" si="3"/>
        <v/>
      </c>
    </row>
    <row r="117" spans="32:35" ht="13.8">
      <c r="AF117" s="127">
        <f t="shared" si="2"/>
        <v>0</v>
      </c>
      <c r="AG117" s="127" t="str">
        <f>IF(AA117=0,"",Calculator!$B$7)</f>
        <v/>
      </c>
      <c r="AH117" s="127" t="e">
        <f>(AF117/Calculator!$B$10)*Calculator!$B$9</f>
        <v>#DIV/0!</v>
      </c>
      <c r="AI117" s="126" t="str">
        <f t="shared" si="3"/>
        <v/>
      </c>
    </row>
    <row r="118" spans="32:35" ht="13.8">
      <c r="AF118" s="127">
        <f t="shared" si="2"/>
        <v>0</v>
      </c>
      <c r="AG118" s="127" t="str">
        <f>IF(AA118=0,"",Calculator!$B$7)</f>
        <v/>
      </c>
      <c r="AH118" s="127" t="e">
        <f>(AF118/Calculator!$B$10)*Calculator!$B$9</f>
        <v>#DIV/0!</v>
      </c>
      <c r="AI118" s="126" t="str">
        <f t="shared" si="3"/>
        <v/>
      </c>
    </row>
    <row r="119" spans="32:35" ht="13.8">
      <c r="AF119" s="127">
        <f t="shared" si="2"/>
        <v>0</v>
      </c>
      <c r="AG119" s="127" t="str">
        <f>IF(AA119=0,"",Calculator!$B$7)</f>
        <v/>
      </c>
      <c r="AH119" s="127" t="e">
        <f>(AF119/Calculator!$B$10)*Calculator!$B$9</f>
        <v>#DIV/0!</v>
      </c>
      <c r="AI119" s="126" t="str">
        <f t="shared" si="3"/>
        <v/>
      </c>
    </row>
    <row r="120" spans="32:35" ht="13.8">
      <c r="AF120" s="127">
        <f t="shared" si="2"/>
        <v>0</v>
      </c>
      <c r="AG120" s="127" t="str">
        <f>IF(AA120=0,"",Calculator!$B$7)</f>
        <v/>
      </c>
      <c r="AH120" s="127" t="e">
        <f>(AF120/Calculator!$B$10)*Calculator!$B$9</f>
        <v>#DIV/0!</v>
      </c>
      <c r="AI120" s="126" t="str">
        <f t="shared" si="3"/>
        <v/>
      </c>
    </row>
    <row r="121" spans="32:35" ht="13.8">
      <c r="AF121" s="127">
        <f t="shared" si="2"/>
        <v>0</v>
      </c>
      <c r="AG121" s="127" t="str">
        <f>IF(AA121=0,"",Calculator!$B$7)</f>
        <v/>
      </c>
      <c r="AH121" s="127" t="e">
        <f>(AF121/Calculator!$B$10)*Calculator!$B$9</f>
        <v>#DIV/0!</v>
      </c>
      <c r="AI121" s="126" t="str">
        <f t="shared" si="3"/>
        <v/>
      </c>
    </row>
    <row r="122" spans="32:35" ht="13.8">
      <c r="AF122" s="127">
        <f t="shared" si="2"/>
        <v>0</v>
      </c>
      <c r="AG122" s="127" t="str">
        <f>IF(AA122=0,"",Calculator!$B$7)</f>
        <v/>
      </c>
      <c r="AH122" s="127" t="e">
        <f>(AF122/Calculator!$B$10)*Calculator!$B$9</f>
        <v>#DIV/0!</v>
      </c>
      <c r="AI122" s="126" t="str">
        <f t="shared" si="3"/>
        <v/>
      </c>
    </row>
    <row r="123" spans="32:35" ht="13.8">
      <c r="AF123" s="127">
        <f t="shared" si="2"/>
        <v>0</v>
      </c>
      <c r="AG123" s="127" t="str">
        <f>IF(AA123=0,"",Calculator!$B$7)</f>
        <v/>
      </c>
      <c r="AH123" s="127" t="e">
        <f>(AF123/Calculator!$B$10)*Calculator!$B$9</f>
        <v>#DIV/0!</v>
      </c>
      <c r="AI123" s="126" t="str">
        <f t="shared" si="3"/>
        <v/>
      </c>
    </row>
    <row r="124" spans="32:35" ht="13.8">
      <c r="AF124" s="127">
        <f t="shared" si="2"/>
        <v>0</v>
      </c>
      <c r="AG124" s="127" t="str">
        <f>IF(AA124=0,"",Calculator!$B$7)</f>
        <v/>
      </c>
      <c r="AH124" s="127" t="e">
        <f>(AF124/Calculator!$B$10)*Calculator!$B$9</f>
        <v>#DIV/0!</v>
      </c>
      <c r="AI124" s="126" t="str">
        <f t="shared" si="3"/>
        <v/>
      </c>
    </row>
    <row r="125" spans="32:35" ht="13.8">
      <c r="AF125" s="127">
        <f t="shared" si="2"/>
        <v>0</v>
      </c>
      <c r="AG125" s="127" t="str">
        <f>IF(AA125=0,"",Calculator!$B$7)</f>
        <v/>
      </c>
      <c r="AH125" s="127" t="e">
        <f>(AF125/Calculator!$B$10)*Calculator!$B$9</f>
        <v>#DIV/0!</v>
      </c>
      <c r="AI125" s="126" t="str">
        <f t="shared" si="3"/>
        <v/>
      </c>
    </row>
    <row r="126" spans="32:35" ht="13.8">
      <c r="AF126" s="127">
        <f t="shared" si="2"/>
        <v>0</v>
      </c>
      <c r="AG126" s="127" t="str">
        <f>IF(AA126=0,"",Calculator!$B$7)</f>
        <v/>
      </c>
      <c r="AH126" s="127" t="e">
        <f>(AF126/Calculator!$B$10)*Calculator!$B$9</f>
        <v>#DIV/0!</v>
      </c>
      <c r="AI126" s="126" t="str">
        <f t="shared" si="3"/>
        <v/>
      </c>
    </row>
    <row r="127" spans="32:35" ht="13.8">
      <c r="AF127" s="127">
        <f t="shared" si="2"/>
        <v>0</v>
      </c>
      <c r="AG127" s="127" t="str">
        <f>IF(AA127=0,"",Calculator!$B$7)</f>
        <v/>
      </c>
      <c r="AH127" s="127" t="e">
        <f>(AF127/Calculator!$B$10)*Calculator!$B$9</f>
        <v>#DIV/0!</v>
      </c>
      <c r="AI127" s="126" t="str">
        <f t="shared" si="3"/>
        <v/>
      </c>
    </row>
    <row r="128" spans="32:35" ht="13.8">
      <c r="AF128" s="127">
        <f t="shared" si="2"/>
        <v>0</v>
      </c>
      <c r="AG128" s="127" t="str">
        <f>IF(AA128=0,"",Calculator!$B$7)</f>
        <v/>
      </c>
      <c r="AH128" s="127" t="e">
        <f>(AF128/Calculator!$B$10)*Calculator!$B$9</f>
        <v>#DIV/0!</v>
      </c>
      <c r="AI128" s="126" t="str">
        <f t="shared" si="3"/>
        <v/>
      </c>
    </row>
    <row r="129" spans="32:35" ht="13.8">
      <c r="AF129" s="127">
        <f t="shared" si="2"/>
        <v>0</v>
      </c>
      <c r="AG129" s="127" t="str">
        <f>IF(AA129=0,"",Calculator!$B$7)</f>
        <v/>
      </c>
      <c r="AH129" s="127" t="e">
        <f>(AF129/Calculator!$B$10)*Calculator!$B$9</f>
        <v>#DIV/0!</v>
      </c>
      <c r="AI129" s="126" t="str">
        <f t="shared" si="3"/>
        <v/>
      </c>
    </row>
    <row r="130" spans="32:35" ht="13.8">
      <c r="AF130" s="127">
        <f t="shared" si="2"/>
        <v>0</v>
      </c>
      <c r="AG130" s="127" t="str">
        <f>IF(AA130=0,"",Calculator!$B$7)</f>
        <v/>
      </c>
      <c r="AH130" s="127" t="e">
        <f>(AF130/Calculator!$B$10)*Calculator!$B$9</f>
        <v>#DIV/0!</v>
      </c>
      <c r="AI130" s="126" t="str">
        <f t="shared" si="3"/>
        <v/>
      </c>
    </row>
    <row r="131" spans="32:35" ht="13.8">
      <c r="AF131" s="127">
        <f t="shared" si="2"/>
        <v>0</v>
      </c>
      <c r="AG131" s="127" t="str">
        <f>IF(AA131=0,"",Calculator!$B$7)</f>
        <v/>
      </c>
      <c r="AH131" s="127" t="e">
        <f>(AF131/Calculator!$B$10)*Calculator!$B$9</f>
        <v>#DIV/0!</v>
      </c>
      <c r="AI131" s="126" t="str">
        <f t="shared" si="3"/>
        <v/>
      </c>
    </row>
    <row r="132" spans="32:35" ht="13.8">
      <c r="AF132" s="127">
        <f t="shared" si="2"/>
        <v>0</v>
      </c>
      <c r="AG132" s="127" t="str">
        <f>IF(AA132=0,"",Calculator!$B$7)</f>
        <v/>
      </c>
      <c r="AH132" s="127" t="e">
        <f>(AF132/Calculator!$B$10)*Calculator!$B$9</f>
        <v>#DIV/0!</v>
      </c>
      <c r="AI132" s="126" t="str">
        <f t="shared" si="3"/>
        <v/>
      </c>
    </row>
    <row r="133" spans="32:35" ht="13.8">
      <c r="AF133" s="127">
        <f t="shared" si="2"/>
        <v>0</v>
      </c>
      <c r="AG133" s="127" t="str">
        <f>IF(AA133=0,"",Calculator!$B$7)</f>
        <v/>
      </c>
      <c r="AH133" s="127" t="e">
        <f>(AF133/Calculator!$B$10)*Calculator!$B$9</f>
        <v>#DIV/0!</v>
      </c>
      <c r="AI133" s="126" t="str">
        <f t="shared" si="3"/>
        <v/>
      </c>
    </row>
    <row r="134" spans="32:35" ht="13.8">
      <c r="AF134" s="127">
        <f t="shared" si="2"/>
        <v>0</v>
      </c>
      <c r="AG134" s="127" t="str">
        <f>IF(AA134=0,"",Calculator!$B$7)</f>
        <v/>
      </c>
      <c r="AH134" s="127" t="e">
        <f>(AF134/Calculator!$B$10)*Calculator!$B$9</f>
        <v>#DIV/0!</v>
      </c>
      <c r="AI134" s="126" t="str">
        <f t="shared" si="3"/>
        <v/>
      </c>
    </row>
    <row r="135" spans="32:35" ht="13.8">
      <c r="AF135" s="127">
        <f t="shared" si="2"/>
        <v>0</v>
      </c>
      <c r="AG135" s="127" t="str">
        <f>IF(AA135=0,"",Calculator!$B$7)</f>
        <v/>
      </c>
      <c r="AH135" s="127" t="e">
        <f>(AF135/Calculator!$B$10)*Calculator!$B$9</f>
        <v>#DIV/0!</v>
      </c>
      <c r="AI135" s="126" t="str">
        <f t="shared" si="3"/>
        <v/>
      </c>
    </row>
    <row r="136" spans="32:35" ht="13.8">
      <c r="AF136" s="127">
        <f t="shared" si="2"/>
        <v>0</v>
      </c>
      <c r="AG136" s="127" t="str">
        <f>IF(AA136=0,"",Calculator!$B$7)</f>
        <v/>
      </c>
      <c r="AH136" s="127" t="e">
        <f>(AF136/Calculator!$B$10)*Calculator!$B$9</f>
        <v>#DIV/0!</v>
      </c>
      <c r="AI136" s="126" t="str">
        <f t="shared" si="3"/>
        <v/>
      </c>
    </row>
    <row r="137" spans="32:35" ht="13.8">
      <c r="AF137" s="127">
        <f t="shared" si="2"/>
        <v>0</v>
      </c>
      <c r="AG137" s="127" t="str">
        <f>IF(AA137=0,"",Calculator!$B$7)</f>
        <v/>
      </c>
      <c r="AH137" s="127" t="e">
        <f>(AF137/Calculator!$B$10)*Calculator!$B$9</f>
        <v>#DIV/0!</v>
      </c>
      <c r="AI137" s="126" t="str">
        <f t="shared" si="3"/>
        <v/>
      </c>
    </row>
    <row r="138" spans="32:35" ht="13.8">
      <c r="AF138" s="127">
        <f t="shared" ref="AF138:AF201" si="4">IFERROR(AA138*AG138,0)</f>
        <v>0</v>
      </c>
      <c r="AG138" s="127" t="str">
        <f>IF(AA138=0,"",Calculator!$B$7)</f>
        <v/>
      </c>
      <c r="AH138" s="127" t="e">
        <f>(AF138/Calculator!$B$10)*Calculator!$B$9</f>
        <v>#DIV/0!</v>
      </c>
      <c r="AI138" s="126" t="str">
        <f t="shared" ref="AI138:AI201" si="5">IF(ISBLANK(AA138),"","RS Means")</f>
        <v/>
      </c>
    </row>
    <row r="139" spans="32:35" ht="13.8">
      <c r="AF139" s="127">
        <f t="shared" si="4"/>
        <v>0</v>
      </c>
      <c r="AG139" s="127" t="str">
        <f>IF(AA139=0,"",Calculator!$B$7)</f>
        <v/>
      </c>
      <c r="AH139" s="127" t="e">
        <f>(AF139/Calculator!$B$10)*Calculator!$B$9</f>
        <v>#DIV/0!</v>
      </c>
      <c r="AI139" s="126" t="str">
        <f t="shared" si="5"/>
        <v/>
      </c>
    </row>
    <row r="140" spans="32:35" ht="13.8">
      <c r="AF140" s="127">
        <f t="shared" si="4"/>
        <v>0</v>
      </c>
      <c r="AG140" s="127" t="str">
        <f>IF(AA140=0,"",Calculator!$B$7)</f>
        <v/>
      </c>
      <c r="AH140" s="127" t="e">
        <f>(AF140/Calculator!$B$10)*Calculator!$B$9</f>
        <v>#DIV/0!</v>
      </c>
      <c r="AI140" s="126" t="str">
        <f t="shared" si="5"/>
        <v/>
      </c>
    </row>
    <row r="141" spans="32:35" ht="13.8">
      <c r="AF141" s="127">
        <f t="shared" si="4"/>
        <v>0</v>
      </c>
      <c r="AG141" s="127" t="str">
        <f>IF(AA141=0,"",Calculator!$B$7)</f>
        <v/>
      </c>
      <c r="AH141" s="127" t="e">
        <f>(AF141/Calculator!$B$10)*Calculator!$B$9</f>
        <v>#DIV/0!</v>
      </c>
      <c r="AI141" s="126" t="str">
        <f t="shared" si="5"/>
        <v/>
      </c>
    </row>
    <row r="142" spans="32:35" ht="13.8">
      <c r="AF142" s="127">
        <f t="shared" si="4"/>
        <v>0</v>
      </c>
      <c r="AG142" s="127" t="str">
        <f>IF(AA142=0,"",Calculator!$B$7)</f>
        <v/>
      </c>
      <c r="AH142" s="127" t="e">
        <f>(AF142/Calculator!$B$10)*Calculator!$B$9</f>
        <v>#DIV/0!</v>
      </c>
      <c r="AI142" s="126" t="str">
        <f t="shared" si="5"/>
        <v/>
      </c>
    </row>
    <row r="143" spans="32:35" ht="13.8">
      <c r="AF143" s="127">
        <f t="shared" si="4"/>
        <v>0</v>
      </c>
      <c r="AG143" s="127" t="str">
        <f>IF(AA143=0,"",Calculator!$B$7)</f>
        <v/>
      </c>
      <c r="AH143" s="127" t="e">
        <f>(AF143/Calculator!$B$10)*Calculator!$B$9</f>
        <v>#DIV/0!</v>
      </c>
      <c r="AI143" s="126" t="str">
        <f t="shared" si="5"/>
        <v/>
      </c>
    </row>
    <row r="144" spans="32:35" ht="13.8">
      <c r="AF144" s="127">
        <f t="shared" si="4"/>
        <v>0</v>
      </c>
      <c r="AG144" s="127" t="str">
        <f>IF(AA144=0,"",Calculator!$B$7)</f>
        <v/>
      </c>
      <c r="AH144" s="127" t="e">
        <f>(AF144/Calculator!$B$10)*Calculator!$B$9</f>
        <v>#DIV/0!</v>
      </c>
      <c r="AI144" s="126" t="str">
        <f t="shared" si="5"/>
        <v/>
      </c>
    </row>
    <row r="145" spans="32:35" ht="13.8">
      <c r="AF145" s="127">
        <f t="shared" si="4"/>
        <v>0</v>
      </c>
      <c r="AG145" s="127" t="str">
        <f>IF(AA145=0,"",Calculator!$B$7)</f>
        <v/>
      </c>
      <c r="AH145" s="127" t="e">
        <f>(AF145/Calculator!$B$10)*Calculator!$B$9</f>
        <v>#DIV/0!</v>
      </c>
      <c r="AI145" s="126" t="str">
        <f t="shared" si="5"/>
        <v/>
      </c>
    </row>
    <row r="146" spans="32:35" ht="13.8">
      <c r="AF146" s="127">
        <f t="shared" si="4"/>
        <v>0</v>
      </c>
      <c r="AG146" s="127" t="str">
        <f>IF(AA146=0,"",Calculator!$B$7)</f>
        <v/>
      </c>
      <c r="AH146" s="127" t="e">
        <f>(AF146/Calculator!$B$10)*Calculator!$B$9</f>
        <v>#DIV/0!</v>
      </c>
      <c r="AI146" s="126" t="str">
        <f t="shared" si="5"/>
        <v/>
      </c>
    </row>
    <row r="147" spans="32:35" ht="13.8">
      <c r="AF147" s="127">
        <f t="shared" si="4"/>
        <v>0</v>
      </c>
      <c r="AG147" s="127" t="str">
        <f>IF(AA147=0,"",Calculator!$B$7)</f>
        <v/>
      </c>
      <c r="AH147" s="127" t="e">
        <f>(AF147/Calculator!$B$10)*Calculator!$B$9</f>
        <v>#DIV/0!</v>
      </c>
      <c r="AI147" s="126" t="str">
        <f t="shared" si="5"/>
        <v/>
      </c>
    </row>
    <row r="148" spans="32:35" ht="13.8">
      <c r="AF148" s="127">
        <f t="shared" si="4"/>
        <v>0</v>
      </c>
      <c r="AG148" s="127" t="str">
        <f>IF(AA148=0,"",Calculator!$B$7)</f>
        <v/>
      </c>
      <c r="AH148" s="127" t="e">
        <f>(AF148/Calculator!$B$10)*Calculator!$B$9</f>
        <v>#DIV/0!</v>
      </c>
      <c r="AI148" s="126" t="str">
        <f t="shared" si="5"/>
        <v/>
      </c>
    </row>
    <row r="149" spans="32:35" ht="15.75" customHeight="1">
      <c r="AF149" s="127">
        <f t="shared" si="4"/>
        <v>0</v>
      </c>
      <c r="AG149" s="127" t="str">
        <f>IF(AA149=0,"",Calculator!$B$7)</f>
        <v/>
      </c>
      <c r="AH149" s="127" t="e">
        <f>(AF149/Calculator!$B$10)*Calculator!$B$9</f>
        <v>#DIV/0!</v>
      </c>
      <c r="AI149" s="126" t="str">
        <f t="shared" si="5"/>
        <v/>
      </c>
    </row>
    <row r="150" spans="32:35" ht="15.75" customHeight="1">
      <c r="AF150" s="127">
        <f t="shared" si="4"/>
        <v>0</v>
      </c>
      <c r="AG150" s="127" t="str">
        <f>IF(AA150=0,"",Calculator!$B$7)</f>
        <v/>
      </c>
      <c r="AH150" s="127" t="e">
        <f>(AF150/Calculator!$B$10)*Calculator!$B$9</f>
        <v>#DIV/0!</v>
      </c>
      <c r="AI150" s="126" t="str">
        <f t="shared" si="5"/>
        <v/>
      </c>
    </row>
    <row r="151" spans="32:35" ht="15.75" customHeight="1">
      <c r="AF151" s="127">
        <f t="shared" si="4"/>
        <v>0</v>
      </c>
      <c r="AG151" s="127" t="str">
        <f>IF(AA151=0,"",Calculator!$B$7)</f>
        <v/>
      </c>
      <c r="AH151" s="127" t="e">
        <f>(AF151/Calculator!$B$10)*Calculator!$B$9</f>
        <v>#DIV/0!</v>
      </c>
      <c r="AI151" s="126" t="str">
        <f t="shared" si="5"/>
        <v/>
      </c>
    </row>
    <row r="152" spans="32:35" ht="15.75" customHeight="1">
      <c r="AF152" s="127">
        <f t="shared" si="4"/>
        <v>0</v>
      </c>
      <c r="AG152" s="127" t="str">
        <f>IF(AA152=0,"",Calculator!$B$7)</f>
        <v/>
      </c>
      <c r="AH152" s="127" t="e">
        <f>(AF152/Calculator!$B$10)*Calculator!$B$9</f>
        <v>#DIV/0!</v>
      </c>
      <c r="AI152" s="126" t="str">
        <f t="shared" si="5"/>
        <v/>
      </c>
    </row>
    <row r="153" spans="32:35" ht="15.75" customHeight="1">
      <c r="AF153" s="127">
        <f t="shared" si="4"/>
        <v>0</v>
      </c>
      <c r="AG153" s="127" t="str">
        <f>IF(AA153=0,"",Calculator!$B$7)</f>
        <v/>
      </c>
      <c r="AH153" s="127" t="e">
        <f>(AF153/Calculator!$B$10)*Calculator!$B$9</f>
        <v>#DIV/0!</v>
      </c>
      <c r="AI153" s="126" t="str">
        <f t="shared" si="5"/>
        <v/>
      </c>
    </row>
    <row r="154" spans="32:35" ht="15.75" customHeight="1">
      <c r="AF154" s="127">
        <f t="shared" si="4"/>
        <v>0</v>
      </c>
      <c r="AG154" s="127" t="str">
        <f>IF(AA154=0,"",Calculator!$B$7)</f>
        <v/>
      </c>
      <c r="AH154" s="127" t="e">
        <f>(AF154/Calculator!$B$10)*Calculator!$B$9</f>
        <v>#DIV/0!</v>
      </c>
      <c r="AI154" s="126" t="str">
        <f t="shared" si="5"/>
        <v/>
      </c>
    </row>
    <row r="155" spans="32:35" ht="15.75" customHeight="1">
      <c r="AF155" s="127">
        <f t="shared" si="4"/>
        <v>0</v>
      </c>
      <c r="AG155" s="127" t="str">
        <f>IF(AA155=0,"",Calculator!$B$7)</f>
        <v/>
      </c>
      <c r="AH155" s="127" t="e">
        <f>(AF155/Calculator!$B$10)*Calculator!$B$9</f>
        <v>#DIV/0!</v>
      </c>
      <c r="AI155" s="126" t="str">
        <f t="shared" si="5"/>
        <v/>
      </c>
    </row>
    <row r="156" spans="32:35" ht="15.75" customHeight="1">
      <c r="AF156" s="127">
        <f t="shared" si="4"/>
        <v>0</v>
      </c>
      <c r="AG156" s="127" t="str">
        <f>IF(AA156=0,"",Calculator!$B$7)</f>
        <v/>
      </c>
      <c r="AH156" s="127" t="e">
        <f>(AF156/Calculator!$B$10)*Calculator!$B$9</f>
        <v>#DIV/0!</v>
      </c>
      <c r="AI156" s="126" t="str">
        <f t="shared" si="5"/>
        <v/>
      </c>
    </row>
    <row r="157" spans="32:35" ht="15.75" customHeight="1">
      <c r="AF157" s="127">
        <f t="shared" si="4"/>
        <v>0</v>
      </c>
      <c r="AG157" s="127" t="str">
        <f>IF(AA157=0,"",Calculator!$B$7)</f>
        <v/>
      </c>
      <c r="AH157" s="127" t="e">
        <f>(AF157/Calculator!$B$10)*Calculator!$B$9</f>
        <v>#DIV/0!</v>
      </c>
      <c r="AI157" s="126" t="str">
        <f t="shared" si="5"/>
        <v/>
      </c>
    </row>
    <row r="158" spans="32:35" ht="15.75" customHeight="1">
      <c r="AF158" s="127">
        <f t="shared" si="4"/>
        <v>0</v>
      </c>
      <c r="AG158" s="127" t="str">
        <f>IF(AA158=0,"",Calculator!$B$7)</f>
        <v/>
      </c>
      <c r="AH158" s="127" t="e">
        <f>(AF158/Calculator!$B$10)*Calculator!$B$9</f>
        <v>#DIV/0!</v>
      </c>
      <c r="AI158" s="126" t="str">
        <f t="shared" si="5"/>
        <v/>
      </c>
    </row>
    <row r="159" spans="32:35" ht="15.75" customHeight="1">
      <c r="AF159" s="127">
        <f t="shared" si="4"/>
        <v>0</v>
      </c>
      <c r="AG159" s="127" t="str">
        <f>IF(AA159=0,"",Calculator!$B$7)</f>
        <v/>
      </c>
      <c r="AH159" s="127" t="e">
        <f>(AF159/Calculator!$B$10)*Calculator!$B$9</f>
        <v>#DIV/0!</v>
      </c>
      <c r="AI159" s="126" t="str">
        <f t="shared" si="5"/>
        <v/>
      </c>
    </row>
    <row r="160" spans="32:35" ht="15.75" customHeight="1">
      <c r="AF160" s="127">
        <f t="shared" si="4"/>
        <v>0</v>
      </c>
      <c r="AG160" s="127" t="str">
        <f>IF(AA160=0,"",Calculator!$B$7)</f>
        <v/>
      </c>
      <c r="AH160" s="127" t="e">
        <f>(AF160/Calculator!$B$10)*Calculator!$B$9</f>
        <v>#DIV/0!</v>
      </c>
      <c r="AI160" s="126" t="str">
        <f t="shared" si="5"/>
        <v/>
      </c>
    </row>
    <row r="161" spans="32:35" ht="15.75" customHeight="1">
      <c r="AF161" s="127">
        <f t="shared" si="4"/>
        <v>0</v>
      </c>
      <c r="AG161" s="127" t="str">
        <f>IF(AA161=0,"",Calculator!$B$7)</f>
        <v/>
      </c>
      <c r="AH161" s="127" t="e">
        <f>(AF161/Calculator!$B$10)*Calculator!$B$9</f>
        <v>#DIV/0!</v>
      </c>
      <c r="AI161" s="126" t="str">
        <f t="shared" si="5"/>
        <v/>
      </c>
    </row>
    <row r="162" spans="32:35" ht="15.75" customHeight="1">
      <c r="AF162" s="127">
        <f t="shared" si="4"/>
        <v>0</v>
      </c>
      <c r="AG162" s="127" t="str">
        <f>IF(AA162=0,"",Calculator!$B$7)</f>
        <v/>
      </c>
      <c r="AH162" s="127" t="e">
        <f>(AF162/Calculator!$B$10)*Calculator!$B$9</f>
        <v>#DIV/0!</v>
      </c>
      <c r="AI162" s="126" t="str">
        <f t="shared" si="5"/>
        <v/>
      </c>
    </row>
    <row r="163" spans="32:35" ht="15.75" customHeight="1">
      <c r="AF163" s="127">
        <f t="shared" si="4"/>
        <v>0</v>
      </c>
      <c r="AG163" s="127" t="str">
        <f>IF(AA163=0,"",Calculator!$B$7)</f>
        <v/>
      </c>
      <c r="AH163" s="127" t="e">
        <f>(AF163/Calculator!$B$10)*Calculator!$B$9</f>
        <v>#DIV/0!</v>
      </c>
      <c r="AI163" s="126" t="str">
        <f t="shared" si="5"/>
        <v/>
      </c>
    </row>
    <row r="164" spans="32:35" ht="15.75" customHeight="1">
      <c r="AF164" s="127">
        <f t="shared" si="4"/>
        <v>0</v>
      </c>
      <c r="AG164" s="127" t="str">
        <f>IF(AA164=0,"",Calculator!$B$7)</f>
        <v/>
      </c>
      <c r="AH164" s="127" t="e">
        <f>(AF164/Calculator!$B$10)*Calculator!$B$9</f>
        <v>#DIV/0!</v>
      </c>
      <c r="AI164" s="126" t="str">
        <f t="shared" si="5"/>
        <v/>
      </c>
    </row>
    <row r="165" spans="32:35" ht="15.75" customHeight="1">
      <c r="AF165" s="127">
        <f t="shared" si="4"/>
        <v>0</v>
      </c>
      <c r="AG165" s="127" t="str">
        <f>IF(AA165=0,"",Calculator!$B$7)</f>
        <v/>
      </c>
      <c r="AH165" s="127" t="e">
        <f>(AF165/Calculator!$B$10)*Calculator!$B$9</f>
        <v>#DIV/0!</v>
      </c>
      <c r="AI165" s="126" t="str">
        <f t="shared" si="5"/>
        <v/>
      </c>
    </row>
    <row r="166" spans="32:35" ht="15.75" customHeight="1">
      <c r="AF166" s="127">
        <f t="shared" si="4"/>
        <v>0</v>
      </c>
      <c r="AG166" s="127" t="str">
        <f>IF(AA166=0,"",Calculator!$B$7)</f>
        <v/>
      </c>
      <c r="AH166" s="127" t="e">
        <f>(AF166/Calculator!$B$10)*Calculator!$B$9</f>
        <v>#DIV/0!</v>
      </c>
      <c r="AI166" s="126" t="str">
        <f t="shared" si="5"/>
        <v/>
      </c>
    </row>
    <row r="167" spans="32:35" ht="15.75" customHeight="1">
      <c r="AF167" s="127">
        <f t="shared" si="4"/>
        <v>0</v>
      </c>
      <c r="AG167" s="127" t="str">
        <f>IF(AA167=0,"",Calculator!$B$7)</f>
        <v/>
      </c>
      <c r="AH167" s="127" t="e">
        <f>(AF167/Calculator!$B$10)*Calculator!$B$9</f>
        <v>#DIV/0!</v>
      </c>
      <c r="AI167" s="126" t="str">
        <f t="shared" si="5"/>
        <v/>
      </c>
    </row>
    <row r="168" spans="32:35" ht="15.75" customHeight="1">
      <c r="AF168" s="127">
        <f t="shared" si="4"/>
        <v>0</v>
      </c>
      <c r="AG168" s="127" t="str">
        <f>IF(AA168=0,"",Calculator!$B$7)</f>
        <v/>
      </c>
      <c r="AH168" s="127" t="e">
        <f>(AF168/Calculator!$B$10)*Calculator!$B$9</f>
        <v>#DIV/0!</v>
      </c>
      <c r="AI168" s="126" t="str">
        <f t="shared" si="5"/>
        <v/>
      </c>
    </row>
    <row r="169" spans="32:35" ht="15.75" customHeight="1">
      <c r="AF169" s="127">
        <f t="shared" si="4"/>
        <v>0</v>
      </c>
      <c r="AG169" s="127" t="str">
        <f>IF(AA169=0,"",Calculator!$B$7)</f>
        <v/>
      </c>
      <c r="AH169" s="127" t="e">
        <f>(AF169/Calculator!$B$10)*Calculator!$B$9</f>
        <v>#DIV/0!</v>
      </c>
      <c r="AI169" s="126" t="str">
        <f t="shared" si="5"/>
        <v/>
      </c>
    </row>
    <row r="170" spans="32:35" ht="15.75" customHeight="1">
      <c r="AF170" s="127">
        <f t="shared" si="4"/>
        <v>0</v>
      </c>
      <c r="AG170" s="127" t="str">
        <f>IF(AA170=0,"",Calculator!$B$7)</f>
        <v/>
      </c>
      <c r="AH170" s="127" t="e">
        <f>(AF170/Calculator!$B$10)*Calculator!$B$9</f>
        <v>#DIV/0!</v>
      </c>
      <c r="AI170" s="126" t="str">
        <f t="shared" si="5"/>
        <v/>
      </c>
    </row>
    <row r="171" spans="32:35" ht="15.75" customHeight="1">
      <c r="AF171" s="127">
        <f t="shared" si="4"/>
        <v>0</v>
      </c>
      <c r="AG171" s="127" t="str">
        <f>IF(AA171=0,"",Calculator!$B$7)</f>
        <v/>
      </c>
      <c r="AH171" s="127" t="e">
        <f>(AF171/Calculator!$B$10)*Calculator!$B$9</f>
        <v>#DIV/0!</v>
      </c>
      <c r="AI171" s="126" t="str">
        <f t="shared" si="5"/>
        <v/>
      </c>
    </row>
    <row r="172" spans="32:35" ht="15.75" customHeight="1">
      <c r="AF172" s="127">
        <f t="shared" si="4"/>
        <v>0</v>
      </c>
      <c r="AG172" s="127" t="str">
        <f>IF(AA172=0,"",Calculator!$B$7)</f>
        <v/>
      </c>
      <c r="AH172" s="127" t="e">
        <f>(AF172/Calculator!$B$10)*Calculator!$B$9</f>
        <v>#DIV/0!</v>
      </c>
      <c r="AI172" s="126" t="str">
        <f t="shared" si="5"/>
        <v/>
      </c>
    </row>
    <row r="173" spans="32:35" ht="15.75" customHeight="1">
      <c r="AF173" s="127">
        <f t="shared" si="4"/>
        <v>0</v>
      </c>
      <c r="AG173" s="127" t="str">
        <f>IF(AA173=0,"",Calculator!$B$7)</f>
        <v/>
      </c>
      <c r="AH173" s="127" t="e">
        <f>(AF173/Calculator!$B$10)*Calculator!$B$9</f>
        <v>#DIV/0!</v>
      </c>
      <c r="AI173" s="126" t="str">
        <f t="shared" si="5"/>
        <v/>
      </c>
    </row>
    <row r="174" spans="32:35" ht="15.75" customHeight="1">
      <c r="AF174" s="127">
        <f t="shared" si="4"/>
        <v>0</v>
      </c>
      <c r="AG174" s="127" t="str">
        <f>IF(AA174=0,"",Calculator!$B$7)</f>
        <v/>
      </c>
      <c r="AH174" s="127" t="e">
        <f>(AF174/Calculator!$B$10)*Calculator!$B$9</f>
        <v>#DIV/0!</v>
      </c>
      <c r="AI174" s="126" t="str">
        <f t="shared" si="5"/>
        <v/>
      </c>
    </row>
    <row r="175" spans="32:35" ht="15.75" customHeight="1">
      <c r="AF175" s="127">
        <f t="shared" si="4"/>
        <v>0</v>
      </c>
      <c r="AG175" s="127" t="str">
        <f>IF(AA175=0,"",Calculator!$B$7)</f>
        <v/>
      </c>
      <c r="AH175" s="127" t="e">
        <f>(AF175/Calculator!$B$10)*Calculator!$B$9</f>
        <v>#DIV/0!</v>
      </c>
      <c r="AI175" s="126" t="str">
        <f t="shared" si="5"/>
        <v/>
      </c>
    </row>
    <row r="176" spans="32:35" ht="15.75" customHeight="1">
      <c r="AF176" s="127">
        <f t="shared" si="4"/>
        <v>0</v>
      </c>
      <c r="AG176" s="127" t="str">
        <f>IF(AA176=0,"",Calculator!$B$7)</f>
        <v/>
      </c>
      <c r="AH176" s="127" t="e">
        <f>(AF176/Calculator!$B$10)*Calculator!$B$9</f>
        <v>#DIV/0!</v>
      </c>
      <c r="AI176" s="126" t="str">
        <f t="shared" si="5"/>
        <v/>
      </c>
    </row>
    <row r="177" spans="32:35" ht="15.75" customHeight="1">
      <c r="AF177" s="127">
        <f t="shared" si="4"/>
        <v>0</v>
      </c>
      <c r="AG177" s="127" t="str">
        <f>IF(AA177=0,"",Calculator!$B$7)</f>
        <v/>
      </c>
      <c r="AH177" s="127" t="e">
        <f>(AF177/Calculator!$B$10)*Calculator!$B$9</f>
        <v>#DIV/0!</v>
      </c>
      <c r="AI177" s="126" t="str">
        <f t="shared" si="5"/>
        <v/>
      </c>
    </row>
    <row r="178" spans="32:35" ht="15.75" customHeight="1">
      <c r="AF178" s="127">
        <f t="shared" si="4"/>
        <v>0</v>
      </c>
      <c r="AG178" s="127" t="str">
        <f>IF(AA178=0,"",Calculator!$B$7)</f>
        <v/>
      </c>
      <c r="AH178" s="127" t="e">
        <f>(AF178/Calculator!$B$10)*Calculator!$B$9</f>
        <v>#DIV/0!</v>
      </c>
      <c r="AI178" s="126" t="str">
        <f t="shared" si="5"/>
        <v/>
      </c>
    </row>
    <row r="179" spans="32:35" ht="15.75" customHeight="1">
      <c r="AF179" s="127">
        <f t="shared" si="4"/>
        <v>0</v>
      </c>
      <c r="AG179" s="127" t="str">
        <f>IF(AA179=0,"",Calculator!$B$7)</f>
        <v/>
      </c>
      <c r="AH179" s="127" t="e">
        <f>(AF179/Calculator!$B$10)*Calculator!$B$9</f>
        <v>#DIV/0!</v>
      </c>
      <c r="AI179" s="126" t="str">
        <f t="shared" si="5"/>
        <v/>
      </c>
    </row>
    <row r="180" spans="32:35" ht="15.75" customHeight="1">
      <c r="AF180" s="127">
        <f t="shared" si="4"/>
        <v>0</v>
      </c>
      <c r="AG180" s="127" t="str">
        <f>IF(AA180=0,"",Calculator!$B$7)</f>
        <v/>
      </c>
      <c r="AH180" s="127" t="e">
        <f>(AF180/Calculator!$B$10)*Calculator!$B$9</f>
        <v>#DIV/0!</v>
      </c>
      <c r="AI180" s="126" t="str">
        <f t="shared" si="5"/>
        <v/>
      </c>
    </row>
    <row r="181" spans="32:35" ht="15.75" customHeight="1">
      <c r="AF181" s="127">
        <f t="shared" si="4"/>
        <v>0</v>
      </c>
      <c r="AG181" s="127" t="str">
        <f>IF(AA181=0,"",Calculator!$B$7)</f>
        <v/>
      </c>
      <c r="AH181" s="127" t="e">
        <f>(AF181/Calculator!$B$10)*Calculator!$B$9</f>
        <v>#DIV/0!</v>
      </c>
      <c r="AI181" s="126" t="str">
        <f t="shared" si="5"/>
        <v/>
      </c>
    </row>
    <row r="182" spans="32:35" ht="15.75" customHeight="1">
      <c r="AF182" s="127">
        <f t="shared" si="4"/>
        <v>0</v>
      </c>
      <c r="AG182" s="127" t="str">
        <f>IF(AA182=0,"",Calculator!$B$7)</f>
        <v/>
      </c>
      <c r="AH182" s="127" t="e">
        <f>(AF182/Calculator!$B$10)*Calculator!$B$9</f>
        <v>#DIV/0!</v>
      </c>
      <c r="AI182" s="126" t="str">
        <f t="shared" si="5"/>
        <v/>
      </c>
    </row>
    <row r="183" spans="32:35" ht="15.75" customHeight="1">
      <c r="AF183" s="127">
        <f t="shared" si="4"/>
        <v>0</v>
      </c>
      <c r="AG183" s="127" t="str">
        <f>IF(AA183=0,"",Calculator!$B$7)</f>
        <v/>
      </c>
      <c r="AH183" s="127" t="e">
        <f>(AF183/Calculator!$B$10)*Calculator!$B$9</f>
        <v>#DIV/0!</v>
      </c>
      <c r="AI183" s="126" t="str">
        <f t="shared" si="5"/>
        <v/>
      </c>
    </row>
    <row r="184" spans="32:35" ht="15.75" customHeight="1">
      <c r="AF184" s="127">
        <f t="shared" si="4"/>
        <v>0</v>
      </c>
      <c r="AG184" s="127" t="str">
        <f>IF(AA184=0,"",Calculator!$B$7)</f>
        <v/>
      </c>
      <c r="AH184" s="127" t="e">
        <f>(AF184/Calculator!$B$10)*Calculator!$B$9</f>
        <v>#DIV/0!</v>
      </c>
      <c r="AI184" s="126" t="str">
        <f t="shared" si="5"/>
        <v/>
      </c>
    </row>
    <row r="185" spans="32:35" ht="15.75" customHeight="1">
      <c r="AF185" s="127">
        <f t="shared" si="4"/>
        <v>0</v>
      </c>
      <c r="AG185" s="127" t="str">
        <f>IF(AA185=0,"",Calculator!$B$7)</f>
        <v/>
      </c>
      <c r="AH185" s="127" t="e">
        <f>(AF185/Calculator!$B$10)*Calculator!$B$9</f>
        <v>#DIV/0!</v>
      </c>
      <c r="AI185" s="126" t="str">
        <f t="shared" si="5"/>
        <v/>
      </c>
    </row>
    <row r="186" spans="32:35" ht="15.75" customHeight="1">
      <c r="AF186" s="127">
        <f t="shared" si="4"/>
        <v>0</v>
      </c>
      <c r="AG186" s="127" t="str">
        <f>IF(AA186=0,"",Calculator!$B$7)</f>
        <v/>
      </c>
      <c r="AH186" s="127" t="e">
        <f>(AF186/Calculator!$B$10)*Calculator!$B$9</f>
        <v>#DIV/0!</v>
      </c>
      <c r="AI186" s="126" t="str">
        <f t="shared" si="5"/>
        <v/>
      </c>
    </row>
    <row r="187" spans="32:35" ht="15.75" customHeight="1">
      <c r="AF187" s="127">
        <f t="shared" si="4"/>
        <v>0</v>
      </c>
      <c r="AG187" s="127" t="str">
        <f>IF(AA187=0,"",Calculator!$B$7)</f>
        <v/>
      </c>
      <c r="AH187" s="127" t="e">
        <f>(AF187/Calculator!$B$10)*Calculator!$B$9</f>
        <v>#DIV/0!</v>
      </c>
      <c r="AI187" s="126" t="str">
        <f t="shared" si="5"/>
        <v/>
      </c>
    </row>
    <row r="188" spans="32:35" ht="15.75" customHeight="1">
      <c r="AF188" s="127">
        <f t="shared" si="4"/>
        <v>0</v>
      </c>
      <c r="AG188" s="127" t="str">
        <f>IF(AA188=0,"",Calculator!$B$7)</f>
        <v/>
      </c>
      <c r="AH188" s="127" t="e">
        <f>(AF188/Calculator!$B$10)*Calculator!$B$9</f>
        <v>#DIV/0!</v>
      </c>
      <c r="AI188" s="126" t="str">
        <f t="shared" si="5"/>
        <v/>
      </c>
    </row>
    <row r="189" spans="32:35" ht="15.75" customHeight="1">
      <c r="AF189" s="127">
        <f t="shared" si="4"/>
        <v>0</v>
      </c>
      <c r="AG189" s="127" t="str">
        <f>IF(AA189=0,"",Calculator!$B$7)</f>
        <v/>
      </c>
      <c r="AH189" s="127" t="e">
        <f>(AF189/Calculator!$B$10)*Calculator!$B$9</f>
        <v>#DIV/0!</v>
      </c>
      <c r="AI189" s="126" t="str">
        <f t="shared" si="5"/>
        <v/>
      </c>
    </row>
    <row r="190" spans="32:35" ht="15.75" customHeight="1">
      <c r="AF190" s="127">
        <f t="shared" si="4"/>
        <v>0</v>
      </c>
      <c r="AG190" s="127" t="str">
        <f>IF(AA190=0,"",Calculator!$B$7)</f>
        <v/>
      </c>
      <c r="AH190" s="127" t="e">
        <f>(AF190/Calculator!$B$10)*Calculator!$B$9</f>
        <v>#DIV/0!</v>
      </c>
      <c r="AI190" s="126" t="str">
        <f t="shared" si="5"/>
        <v/>
      </c>
    </row>
    <row r="191" spans="32:35" ht="15.75" customHeight="1">
      <c r="AF191" s="127">
        <f t="shared" si="4"/>
        <v>0</v>
      </c>
      <c r="AG191" s="127" t="str">
        <f>IF(AA191=0,"",Calculator!$B$7)</f>
        <v/>
      </c>
      <c r="AH191" s="127" t="e">
        <f>(AF191/Calculator!$B$10)*Calculator!$B$9</f>
        <v>#DIV/0!</v>
      </c>
      <c r="AI191" s="126" t="str">
        <f t="shared" si="5"/>
        <v/>
      </c>
    </row>
    <row r="192" spans="32:35" ht="15.75" customHeight="1">
      <c r="AF192" s="127">
        <f t="shared" si="4"/>
        <v>0</v>
      </c>
      <c r="AG192" s="127" t="str">
        <f>IF(AA192=0,"",Calculator!$B$7)</f>
        <v/>
      </c>
      <c r="AH192" s="127" t="e">
        <f>(AF192/Calculator!$B$10)*Calculator!$B$9</f>
        <v>#DIV/0!</v>
      </c>
      <c r="AI192" s="126" t="str">
        <f t="shared" si="5"/>
        <v/>
      </c>
    </row>
    <row r="193" spans="32:35" ht="15.75" customHeight="1">
      <c r="AF193" s="127">
        <f t="shared" si="4"/>
        <v>0</v>
      </c>
      <c r="AG193" s="127" t="str">
        <f>IF(AA193=0,"",Calculator!$B$7)</f>
        <v/>
      </c>
      <c r="AH193" s="127" t="e">
        <f>(AF193/Calculator!$B$10)*Calculator!$B$9</f>
        <v>#DIV/0!</v>
      </c>
      <c r="AI193" s="126" t="str">
        <f t="shared" si="5"/>
        <v/>
      </c>
    </row>
    <row r="194" spans="32:35" ht="15.75" customHeight="1">
      <c r="AF194" s="127">
        <f t="shared" si="4"/>
        <v>0</v>
      </c>
      <c r="AG194" s="127" t="str">
        <f>IF(AA194=0,"",Calculator!$B$7)</f>
        <v/>
      </c>
      <c r="AH194" s="127" t="e">
        <f>(AF194/Calculator!$B$10)*Calculator!$B$9</f>
        <v>#DIV/0!</v>
      </c>
      <c r="AI194" s="126" t="str">
        <f t="shared" si="5"/>
        <v/>
      </c>
    </row>
    <row r="195" spans="32:35" ht="15.75" customHeight="1">
      <c r="AF195" s="127">
        <f t="shared" si="4"/>
        <v>0</v>
      </c>
      <c r="AG195" s="127" t="str">
        <f>IF(AA195=0,"",Calculator!$B$7)</f>
        <v/>
      </c>
      <c r="AH195" s="127" t="e">
        <f>(AF195/Calculator!$B$10)*Calculator!$B$9</f>
        <v>#DIV/0!</v>
      </c>
      <c r="AI195" s="126" t="str">
        <f t="shared" si="5"/>
        <v/>
      </c>
    </row>
    <row r="196" spans="32:35" ht="15.75" customHeight="1">
      <c r="AF196" s="127">
        <f t="shared" si="4"/>
        <v>0</v>
      </c>
      <c r="AG196" s="127" t="str">
        <f>IF(AA196=0,"",Calculator!$B$7)</f>
        <v/>
      </c>
      <c r="AH196" s="127" t="e">
        <f>(AF196/Calculator!$B$10)*Calculator!$B$9</f>
        <v>#DIV/0!</v>
      </c>
      <c r="AI196" s="126" t="str">
        <f t="shared" si="5"/>
        <v/>
      </c>
    </row>
    <row r="197" spans="32:35" ht="15.75" customHeight="1">
      <c r="AF197" s="127">
        <f t="shared" si="4"/>
        <v>0</v>
      </c>
      <c r="AG197" s="127" t="str">
        <f>IF(AA197=0,"",Calculator!$B$7)</f>
        <v/>
      </c>
      <c r="AH197" s="127" t="e">
        <f>(AF197/Calculator!$B$10)*Calculator!$B$9</f>
        <v>#DIV/0!</v>
      </c>
      <c r="AI197" s="126" t="str">
        <f t="shared" si="5"/>
        <v/>
      </c>
    </row>
    <row r="198" spans="32:35" ht="15.75" customHeight="1">
      <c r="AF198" s="127">
        <f t="shared" si="4"/>
        <v>0</v>
      </c>
      <c r="AG198" s="127" t="str">
        <f>IF(AA198=0,"",Calculator!$B$7)</f>
        <v/>
      </c>
      <c r="AH198" s="127" t="e">
        <f>(AF198/Calculator!$B$10)*Calculator!$B$9</f>
        <v>#DIV/0!</v>
      </c>
      <c r="AI198" s="126" t="str">
        <f t="shared" si="5"/>
        <v/>
      </c>
    </row>
    <row r="199" spans="32:35" ht="15.75" customHeight="1">
      <c r="AF199" s="127">
        <f t="shared" si="4"/>
        <v>0</v>
      </c>
      <c r="AG199" s="127" t="str">
        <f>IF(AA199=0,"",Calculator!$B$7)</f>
        <v/>
      </c>
      <c r="AH199" s="127" t="e">
        <f>(AF199/Calculator!$B$10)*Calculator!$B$9</f>
        <v>#DIV/0!</v>
      </c>
      <c r="AI199" s="126" t="str">
        <f t="shared" si="5"/>
        <v/>
      </c>
    </row>
    <row r="200" spans="32:35" ht="15.75" customHeight="1">
      <c r="AF200" s="127">
        <f t="shared" si="4"/>
        <v>0</v>
      </c>
      <c r="AG200" s="127" t="str">
        <f>IF(AA200=0,"",Calculator!$B$7)</f>
        <v/>
      </c>
      <c r="AH200" s="127" t="e">
        <f>(AF200/Calculator!$B$10)*Calculator!$B$9</f>
        <v>#DIV/0!</v>
      </c>
      <c r="AI200" s="126" t="str">
        <f t="shared" si="5"/>
        <v/>
      </c>
    </row>
    <row r="201" spans="32:35" ht="15.75" customHeight="1">
      <c r="AF201" s="127">
        <f t="shared" si="4"/>
        <v>0</v>
      </c>
      <c r="AG201" s="127" t="str">
        <f>IF(AA201=0,"",Calculator!$B$7)</f>
        <v/>
      </c>
      <c r="AH201" s="127" t="e">
        <f>(AF201/Calculator!$B$10)*Calculator!$B$9</f>
        <v>#DIV/0!</v>
      </c>
      <c r="AI201" s="126" t="str">
        <f t="shared" si="5"/>
        <v/>
      </c>
    </row>
    <row r="202" spans="32:35" ht="15.75" customHeight="1">
      <c r="AF202" s="127">
        <f t="shared" ref="AF202:AF265" si="6">IFERROR(AA202*AG202,0)</f>
        <v>0</v>
      </c>
      <c r="AG202" s="127" t="str">
        <f>IF(AA202=0,"",Calculator!$B$7)</f>
        <v/>
      </c>
      <c r="AH202" s="127" t="e">
        <f>(AF202/Calculator!$B$10)*Calculator!$B$9</f>
        <v>#DIV/0!</v>
      </c>
      <c r="AI202" s="126" t="str">
        <f t="shared" ref="AI202:AI265" si="7">IF(ISBLANK(AA202),"","RS Means")</f>
        <v/>
      </c>
    </row>
    <row r="203" spans="32:35" ht="15.75" customHeight="1">
      <c r="AF203" s="127">
        <f t="shared" si="6"/>
        <v>0</v>
      </c>
      <c r="AG203" s="127" t="str">
        <f>IF(AA203=0,"",Calculator!$B$7)</f>
        <v/>
      </c>
      <c r="AH203" s="127" t="e">
        <f>(AF203/Calculator!$B$10)*Calculator!$B$9</f>
        <v>#DIV/0!</v>
      </c>
      <c r="AI203" s="126" t="str">
        <f t="shared" si="7"/>
        <v/>
      </c>
    </row>
    <row r="204" spans="32:35" ht="15.75" customHeight="1">
      <c r="AF204" s="127">
        <f t="shared" si="6"/>
        <v>0</v>
      </c>
      <c r="AG204" s="127" t="str">
        <f>IF(AA204=0,"",Calculator!$B$7)</f>
        <v/>
      </c>
      <c r="AH204" s="127" t="e">
        <f>(AF204/Calculator!$B$10)*Calculator!$B$9</f>
        <v>#DIV/0!</v>
      </c>
      <c r="AI204" s="126" t="str">
        <f t="shared" si="7"/>
        <v/>
      </c>
    </row>
    <row r="205" spans="32:35" ht="15.75" customHeight="1">
      <c r="AF205" s="127">
        <f t="shared" si="6"/>
        <v>0</v>
      </c>
      <c r="AG205" s="127" t="str">
        <f>IF(AA205=0,"",Calculator!$B$7)</f>
        <v/>
      </c>
      <c r="AH205" s="127" t="e">
        <f>(AF205/Calculator!$B$10)*Calculator!$B$9</f>
        <v>#DIV/0!</v>
      </c>
      <c r="AI205" s="126" t="str">
        <f t="shared" si="7"/>
        <v/>
      </c>
    </row>
    <row r="206" spans="32:35" ht="15.75" customHeight="1">
      <c r="AF206" s="127">
        <f t="shared" si="6"/>
        <v>0</v>
      </c>
      <c r="AG206" s="127" t="str">
        <f>IF(AA206=0,"",Calculator!$B$7)</f>
        <v/>
      </c>
      <c r="AH206" s="127" t="e">
        <f>(AF206/Calculator!$B$10)*Calculator!$B$9</f>
        <v>#DIV/0!</v>
      </c>
      <c r="AI206" s="126" t="str">
        <f t="shared" si="7"/>
        <v/>
      </c>
    </row>
    <row r="207" spans="32:35" ht="15.75" customHeight="1">
      <c r="AF207" s="127">
        <f t="shared" si="6"/>
        <v>0</v>
      </c>
      <c r="AG207" s="127" t="str">
        <f>IF(AA207=0,"",Calculator!$B$7)</f>
        <v/>
      </c>
      <c r="AH207" s="127" t="e">
        <f>(AF207/Calculator!$B$10)*Calculator!$B$9</f>
        <v>#DIV/0!</v>
      </c>
      <c r="AI207" s="126" t="str">
        <f t="shared" si="7"/>
        <v/>
      </c>
    </row>
    <row r="208" spans="32:35" ht="15.75" customHeight="1">
      <c r="AF208" s="127">
        <f t="shared" si="6"/>
        <v>0</v>
      </c>
      <c r="AG208" s="127" t="str">
        <f>IF(AA208=0,"",Calculator!$B$7)</f>
        <v/>
      </c>
      <c r="AH208" s="127" t="e">
        <f>(AF208/Calculator!$B$10)*Calculator!$B$9</f>
        <v>#DIV/0!</v>
      </c>
      <c r="AI208" s="126" t="str">
        <f t="shared" si="7"/>
        <v/>
      </c>
    </row>
    <row r="209" spans="32:35" ht="15.75" customHeight="1">
      <c r="AF209" s="127">
        <f t="shared" si="6"/>
        <v>0</v>
      </c>
      <c r="AG209" s="127" t="str">
        <f>IF(AA209=0,"",Calculator!$B$7)</f>
        <v/>
      </c>
      <c r="AH209" s="127" t="e">
        <f>(AF209/Calculator!$B$10)*Calculator!$B$9</f>
        <v>#DIV/0!</v>
      </c>
      <c r="AI209" s="126" t="str">
        <f t="shared" si="7"/>
        <v/>
      </c>
    </row>
    <row r="210" spans="32:35" ht="15.75" customHeight="1">
      <c r="AF210" s="127">
        <f t="shared" si="6"/>
        <v>0</v>
      </c>
      <c r="AG210" s="127" t="str">
        <f>IF(AA210=0,"",Calculator!$B$7)</f>
        <v/>
      </c>
      <c r="AH210" s="127" t="e">
        <f>(AF210/Calculator!$B$10)*Calculator!$B$9</f>
        <v>#DIV/0!</v>
      </c>
      <c r="AI210" s="126" t="str">
        <f t="shared" si="7"/>
        <v/>
      </c>
    </row>
    <row r="211" spans="32:35" ht="15.75" customHeight="1">
      <c r="AF211" s="127">
        <f t="shared" si="6"/>
        <v>0</v>
      </c>
      <c r="AG211" s="127" t="str">
        <f>IF(AA211=0,"",Calculator!$B$7)</f>
        <v/>
      </c>
      <c r="AH211" s="127" t="e">
        <f>(AF211/Calculator!$B$10)*Calculator!$B$9</f>
        <v>#DIV/0!</v>
      </c>
      <c r="AI211" s="126" t="str">
        <f t="shared" si="7"/>
        <v/>
      </c>
    </row>
    <row r="212" spans="32:35" ht="15.75" customHeight="1">
      <c r="AF212" s="127">
        <f t="shared" si="6"/>
        <v>0</v>
      </c>
      <c r="AG212" s="127" t="str">
        <f>IF(AA212=0,"",Calculator!$B$7)</f>
        <v/>
      </c>
      <c r="AH212" s="127" t="e">
        <f>(AF212/Calculator!$B$10)*Calculator!$B$9</f>
        <v>#DIV/0!</v>
      </c>
      <c r="AI212" s="126" t="str">
        <f t="shared" si="7"/>
        <v/>
      </c>
    </row>
    <row r="213" spans="32:35" ht="15.75" customHeight="1">
      <c r="AF213" s="127">
        <f t="shared" si="6"/>
        <v>0</v>
      </c>
      <c r="AG213" s="127" t="str">
        <f>IF(AA213=0,"",Calculator!$B$7)</f>
        <v/>
      </c>
      <c r="AH213" s="127" t="e">
        <f>(AF213/Calculator!$B$10)*Calculator!$B$9</f>
        <v>#DIV/0!</v>
      </c>
      <c r="AI213" s="126" t="str">
        <f t="shared" si="7"/>
        <v/>
      </c>
    </row>
    <row r="214" spans="32:35" ht="15.75" customHeight="1">
      <c r="AF214" s="127">
        <f t="shared" si="6"/>
        <v>0</v>
      </c>
      <c r="AG214" s="127" t="str">
        <f>IF(AA214=0,"",Calculator!$B$7)</f>
        <v/>
      </c>
      <c r="AH214" s="127" t="e">
        <f>(AF214/Calculator!$B$10)*Calculator!$B$9</f>
        <v>#DIV/0!</v>
      </c>
      <c r="AI214" s="126" t="str">
        <f t="shared" si="7"/>
        <v/>
      </c>
    </row>
    <row r="215" spans="32:35" ht="15.75" customHeight="1">
      <c r="AF215" s="127">
        <f t="shared" si="6"/>
        <v>0</v>
      </c>
      <c r="AG215" s="127" t="str">
        <f>IF(AA215=0,"",Calculator!$B$7)</f>
        <v/>
      </c>
      <c r="AH215" s="127" t="e">
        <f>(AF215/Calculator!$B$10)*Calculator!$B$9</f>
        <v>#DIV/0!</v>
      </c>
      <c r="AI215" s="126" t="str">
        <f t="shared" si="7"/>
        <v/>
      </c>
    </row>
    <row r="216" spans="32:35" ht="15.75" customHeight="1">
      <c r="AF216" s="127">
        <f t="shared" si="6"/>
        <v>0</v>
      </c>
      <c r="AG216" s="127" t="str">
        <f>IF(AA216=0,"",Calculator!$B$7)</f>
        <v/>
      </c>
      <c r="AH216" s="127" t="e">
        <f>(AF216/Calculator!$B$10)*Calculator!$B$9</f>
        <v>#DIV/0!</v>
      </c>
      <c r="AI216" s="126" t="str">
        <f t="shared" si="7"/>
        <v/>
      </c>
    </row>
    <row r="217" spans="32:35" ht="15.75" customHeight="1">
      <c r="AF217" s="127">
        <f t="shared" si="6"/>
        <v>0</v>
      </c>
      <c r="AG217" s="127" t="str">
        <f>IF(AA217=0,"",Calculator!$B$7)</f>
        <v/>
      </c>
      <c r="AH217" s="127" t="e">
        <f>(AF217/Calculator!$B$10)*Calculator!$B$9</f>
        <v>#DIV/0!</v>
      </c>
      <c r="AI217" s="126" t="str">
        <f t="shared" si="7"/>
        <v/>
      </c>
    </row>
    <row r="218" spans="32:35" ht="15.75" customHeight="1">
      <c r="AF218" s="127">
        <f t="shared" si="6"/>
        <v>0</v>
      </c>
      <c r="AG218" s="127" t="str">
        <f>IF(AA218=0,"",Calculator!$B$7)</f>
        <v/>
      </c>
      <c r="AH218" s="127" t="e">
        <f>(AF218/Calculator!$B$10)*Calculator!$B$9</f>
        <v>#DIV/0!</v>
      </c>
      <c r="AI218" s="126" t="str">
        <f t="shared" si="7"/>
        <v/>
      </c>
    </row>
    <row r="219" spans="32:35" ht="15.75" customHeight="1">
      <c r="AF219" s="127">
        <f t="shared" si="6"/>
        <v>0</v>
      </c>
      <c r="AG219" s="127" t="str">
        <f>IF(AA219=0,"",Calculator!$B$7)</f>
        <v/>
      </c>
      <c r="AH219" s="127" t="e">
        <f>(AF219/Calculator!$B$10)*Calculator!$B$9</f>
        <v>#DIV/0!</v>
      </c>
      <c r="AI219" s="126" t="str">
        <f t="shared" si="7"/>
        <v/>
      </c>
    </row>
    <row r="220" spans="32:35" ht="15.75" customHeight="1">
      <c r="AF220" s="127">
        <f t="shared" si="6"/>
        <v>0</v>
      </c>
      <c r="AG220" s="127" t="str">
        <f>IF(AA220=0,"",Calculator!$B$7)</f>
        <v/>
      </c>
      <c r="AH220" s="127" t="e">
        <f>(AF220/Calculator!$B$10)*Calculator!$B$9</f>
        <v>#DIV/0!</v>
      </c>
      <c r="AI220" s="126" t="str">
        <f t="shared" si="7"/>
        <v/>
      </c>
    </row>
    <row r="221" spans="32:35" ht="15.75" customHeight="1">
      <c r="AF221" s="127">
        <f t="shared" si="6"/>
        <v>0</v>
      </c>
      <c r="AG221" s="127" t="str">
        <f>IF(AA221=0,"",Calculator!$B$7)</f>
        <v/>
      </c>
      <c r="AH221" s="127" t="e">
        <f>(AF221/Calculator!$B$10)*Calculator!$B$9</f>
        <v>#DIV/0!</v>
      </c>
      <c r="AI221" s="126" t="str">
        <f t="shared" si="7"/>
        <v/>
      </c>
    </row>
    <row r="222" spans="32:35" ht="15.75" customHeight="1">
      <c r="AF222" s="127">
        <f t="shared" si="6"/>
        <v>0</v>
      </c>
      <c r="AG222" s="127" t="str">
        <f>IF(AA222=0,"",Calculator!$B$7)</f>
        <v/>
      </c>
      <c r="AH222" s="127" t="e">
        <f>(AF222/Calculator!$B$10)*Calculator!$B$9</f>
        <v>#DIV/0!</v>
      </c>
      <c r="AI222" s="126" t="str">
        <f t="shared" si="7"/>
        <v/>
      </c>
    </row>
    <row r="223" spans="32:35" ht="15.75" customHeight="1">
      <c r="AF223" s="127">
        <f t="shared" si="6"/>
        <v>0</v>
      </c>
      <c r="AG223" s="127" t="str">
        <f>IF(AA223=0,"",Calculator!$B$7)</f>
        <v/>
      </c>
      <c r="AH223" s="127" t="e">
        <f>(AF223/Calculator!$B$10)*Calculator!$B$9</f>
        <v>#DIV/0!</v>
      </c>
      <c r="AI223" s="126" t="str">
        <f t="shared" si="7"/>
        <v/>
      </c>
    </row>
    <row r="224" spans="32:35" ht="15.75" customHeight="1">
      <c r="AF224" s="127">
        <f t="shared" si="6"/>
        <v>0</v>
      </c>
      <c r="AG224" s="127" t="str">
        <f>IF(AA224=0,"",Calculator!$B$7)</f>
        <v/>
      </c>
      <c r="AH224" s="127" t="e">
        <f>(AF224/Calculator!$B$10)*Calculator!$B$9</f>
        <v>#DIV/0!</v>
      </c>
      <c r="AI224" s="126" t="str">
        <f t="shared" si="7"/>
        <v/>
      </c>
    </row>
    <row r="225" spans="32:35" ht="15.75" customHeight="1">
      <c r="AF225" s="127">
        <f t="shared" si="6"/>
        <v>0</v>
      </c>
      <c r="AG225" s="127" t="str">
        <f>IF(AA225=0,"",Calculator!$B$7)</f>
        <v/>
      </c>
      <c r="AH225" s="127" t="e">
        <f>(AF225/Calculator!$B$10)*Calculator!$B$9</f>
        <v>#DIV/0!</v>
      </c>
      <c r="AI225" s="126" t="str">
        <f t="shared" si="7"/>
        <v/>
      </c>
    </row>
    <row r="226" spans="32:35" ht="15.75" customHeight="1">
      <c r="AF226" s="127">
        <f t="shared" si="6"/>
        <v>0</v>
      </c>
      <c r="AG226" s="127" t="str">
        <f>IF(AA226=0,"",Calculator!$B$7)</f>
        <v/>
      </c>
      <c r="AH226" s="127" t="e">
        <f>(AF226/Calculator!$B$10)*Calculator!$B$9</f>
        <v>#DIV/0!</v>
      </c>
      <c r="AI226" s="126" t="str">
        <f t="shared" si="7"/>
        <v/>
      </c>
    </row>
    <row r="227" spans="32:35" ht="15.75" customHeight="1">
      <c r="AF227" s="127">
        <f t="shared" si="6"/>
        <v>0</v>
      </c>
      <c r="AG227" s="127" t="str">
        <f>IF(AA227=0,"",Calculator!$B$7)</f>
        <v/>
      </c>
      <c r="AH227" s="127" t="e">
        <f>(AF227/Calculator!$B$10)*Calculator!$B$9</f>
        <v>#DIV/0!</v>
      </c>
      <c r="AI227" s="126" t="str">
        <f t="shared" si="7"/>
        <v/>
      </c>
    </row>
    <row r="228" spans="32:35" ht="15.75" customHeight="1">
      <c r="AF228" s="127">
        <f t="shared" si="6"/>
        <v>0</v>
      </c>
      <c r="AG228" s="127" t="str">
        <f>IF(AA228=0,"",Calculator!$B$7)</f>
        <v/>
      </c>
      <c r="AH228" s="127" t="e">
        <f>(AF228/Calculator!$B$10)*Calculator!$B$9</f>
        <v>#DIV/0!</v>
      </c>
      <c r="AI228" s="126" t="str">
        <f t="shared" si="7"/>
        <v/>
      </c>
    </row>
    <row r="229" spans="32:35" ht="15.75" customHeight="1">
      <c r="AF229" s="127">
        <f t="shared" si="6"/>
        <v>0</v>
      </c>
      <c r="AG229" s="127" t="str">
        <f>IF(AA229=0,"",Calculator!$B$7)</f>
        <v/>
      </c>
      <c r="AH229" s="127" t="e">
        <f>(AF229/Calculator!$B$10)*Calculator!$B$9</f>
        <v>#DIV/0!</v>
      </c>
      <c r="AI229" s="126" t="str">
        <f t="shared" si="7"/>
        <v/>
      </c>
    </row>
    <row r="230" spans="32:35" ht="15.75" customHeight="1">
      <c r="AF230" s="127">
        <f t="shared" si="6"/>
        <v>0</v>
      </c>
      <c r="AG230" s="127" t="str">
        <f>IF(AA230=0,"",Calculator!$B$7)</f>
        <v/>
      </c>
      <c r="AH230" s="127" t="e">
        <f>(AF230/Calculator!$B$10)*Calculator!$B$9</f>
        <v>#DIV/0!</v>
      </c>
      <c r="AI230" s="126" t="str">
        <f t="shared" si="7"/>
        <v/>
      </c>
    </row>
    <row r="231" spans="32:35" ht="15.75" customHeight="1">
      <c r="AF231" s="127">
        <f t="shared" si="6"/>
        <v>0</v>
      </c>
      <c r="AG231" s="127" t="str">
        <f>IF(AA231=0,"",Calculator!$B$7)</f>
        <v/>
      </c>
      <c r="AH231" s="127" t="e">
        <f>(AF231/Calculator!$B$10)*Calculator!$B$9</f>
        <v>#DIV/0!</v>
      </c>
      <c r="AI231" s="126" t="str">
        <f t="shared" si="7"/>
        <v/>
      </c>
    </row>
    <row r="232" spans="32:35" ht="15.75" customHeight="1">
      <c r="AF232" s="127">
        <f t="shared" si="6"/>
        <v>0</v>
      </c>
      <c r="AG232" s="127" t="str">
        <f>IF(AA232=0,"",Calculator!$B$7)</f>
        <v/>
      </c>
      <c r="AH232" s="127" t="e">
        <f>(AF232/Calculator!$B$10)*Calculator!$B$9</f>
        <v>#DIV/0!</v>
      </c>
      <c r="AI232" s="126" t="str">
        <f t="shared" si="7"/>
        <v/>
      </c>
    </row>
    <row r="233" spans="32:35" ht="15.75" customHeight="1">
      <c r="AF233" s="127">
        <f t="shared" si="6"/>
        <v>0</v>
      </c>
      <c r="AG233" s="127" t="str">
        <f>IF(AA233=0,"",Calculator!$B$7)</f>
        <v/>
      </c>
      <c r="AH233" s="127" t="e">
        <f>(AF233/Calculator!$B$10)*Calculator!$B$9</f>
        <v>#DIV/0!</v>
      </c>
      <c r="AI233" s="126" t="str">
        <f t="shared" si="7"/>
        <v/>
      </c>
    </row>
    <row r="234" spans="32:35" ht="15.75" customHeight="1">
      <c r="AF234" s="127">
        <f t="shared" si="6"/>
        <v>0</v>
      </c>
      <c r="AG234" s="127" t="str">
        <f>IF(AA234=0,"",Calculator!$B$7)</f>
        <v/>
      </c>
      <c r="AH234" s="127" t="e">
        <f>(AF234/Calculator!$B$10)*Calculator!$B$9</f>
        <v>#DIV/0!</v>
      </c>
      <c r="AI234" s="126" t="str">
        <f t="shared" si="7"/>
        <v/>
      </c>
    </row>
    <row r="235" spans="32:35" ht="15.75" customHeight="1">
      <c r="AF235" s="127">
        <f t="shared" si="6"/>
        <v>0</v>
      </c>
      <c r="AG235" s="127" t="str">
        <f>IF(AA235=0,"",Calculator!$B$7)</f>
        <v/>
      </c>
      <c r="AH235" s="127" t="e">
        <f>(AF235/Calculator!$B$10)*Calculator!$B$9</f>
        <v>#DIV/0!</v>
      </c>
      <c r="AI235" s="126" t="str">
        <f t="shared" si="7"/>
        <v/>
      </c>
    </row>
    <row r="236" spans="32:35" ht="15.75" customHeight="1">
      <c r="AF236" s="127">
        <f t="shared" si="6"/>
        <v>0</v>
      </c>
      <c r="AG236" s="127" t="str">
        <f>IF(AA236=0,"",Calculator!$B$7)</f>
        <v/>
      </c>
      <c r="AH236" s="127" t="e">
        <f>(AF236/Calculator!$B$10)*Calculator!$B$9</f>
        <v>#DIV/0!</v>
      </c>
      <c r="AI236" s="126" t="str">
        <f t="shared" si="7"/>
        <v/>
      </c>
    </row>
    <row r="237" spans="32:35" ht="15.75" customHeight="1">
      <c r="AF237" s="127">
        <f t="shared" si="6"/>
        <v>0</v>
      </c>
      <c r="AG237" s="127" t="str">
        <f>IF(AA237=0,"",Calculator!$B$7)</f>
        <v/>
      </c>
      <c r="AH237" s="127" t="e">
        <f>(AF237/Calculator!$B$10)*Calculator!$B$9</f>
        <v>#DIV/0!</v>
      </c>
      <c r="AI237" s="126" t="str">
        <f t="shared" si="7"/>
        <v/>
      </c>
    </row>
    <row r="238" spans="32:35" ht="15.75" customHeight="1">
      <c r="AF238" s="127">
        <f t="shared" si="6"/>
        <v>0</v>
      </c>
      <c r="AG238" s="127" t="str">
        <f>IF(AA238=0,"",Calculator!$B$7)</f>
        <v/>
      </c>
      <c r="AH238" s="127" t="e">
        <f>(AF238/Calculator!$B$10)*Calculator!$B$9</f>
        <v>#DIV/0!</v>
      </c>
      <c r="AI238" s="126" t="str">
        <f t="shared" si="7"/>
        <v/>
      </c>
    </row>
    <row r="239" spans="32:35" ht="15.75" customHeight="1">
      <c r="AF239" s="127">
        <f t="shared" si="6"/>
        <v>0</v>
      </c>
      <c r="AG239" s="127" t="str">
        <f>IF(AA239=0,"",Calculator!$B$7)</f>
        <v/>
      </c>
      <c r="AH239" s="127" t="e">
        <f>(AF239/Calculator!$B$10)*Calculator!$B$9</f>
        <v>#DIV/0!</v>
      </c>
      <c r="AI239" s="126" t="str">
        <f t="shared" si="7"/>
        <v/>
      </c>
    </row>
    <row r="240" spans="32:35" ht="15.75" customHeight="1">
      <c r="AF240" s="127">
        <f t="shared" si="6"/>
        <v>0</v>
      </c>
      <c r="AG240" s="127" t="str">
        <f>IF(AA240=0,"",Calculator!$B$7)</f>
        <v/>
      </c>
      <c r="AH240" s="127" t="e">
        <f>(AF240/Calculator!$B$10)*Calculator!$B$9</f>
        <v>#DIV/0!</v>
      </c>
      <c r="AI240" s="126" t="str">
        <f t="shared" si="7"/>
        <v/>
      </c>
    </row>
    <row r="241" spans="32:35" ht="15.75" customHeight="1">
      <c r="AF241" s="127">
        <f t="shared" si="6"/>
        <v>0</v>
      </c>
      <c r="AG241" s="127" t="str">
        <f>IF(AA241=0,"",Calculator!$B$7)</f>
        <v/>
      </c>
      <c r="AH241" s="127" t="e">
        <f>(AF241/Calculator!$B$10)*Calculator!$B$9</f>
        <v>#DIV/0!</v>
      </c>
      <c r="AI241" s="126" t="str">
        <f t="shared" si="7"/>
        <v/>
      </c>
    </row>
    <row r="242" spans="32:35" ht="15.75" customHeight="1">
      <c r="AF242" s="127">
        <f t="shared" si="6"/>
        <v>0</v>
      </c>
      <c r="AG242" s="127" t="str">
        <f>IF(AA242=0,"",Calculator!$B$7)</f>
        <v/>
      </c>
      <c r="AH242" s="127" t="e">
        <f>(AF242/Calculator!$B$10)*Calculator!$B$9</f>
        <v>#DIV/0!</v>
      </c>
      <c r="AI242" s="126" t="str">
        <f t="shared" si="7"/>
        <v/>
      </c>
    </row>
    <row r="243" spans="32:35" ht="15.75" customHeight="1">
      <c r="AF243" s="127">
        <f t="shared" si="6"/>
        <v>0</v>
      </c>
      <c r="AG243" s="127" t="str">
        <f>IF(AA243=0,"",Calculator!$B$7)</f>
        <v/>
      </c>
      <c r="AH243" s="127" t="e">
        <f>(AF243/Calculator!$B$10)*Calculator!$B$9</f>
        <v>#DIV/0!</v>
      </c>
      <c r="AI243" s="126" t="str">
        <f t="shared" si="7"/>
        <v/>
      </c>
    </row>
    <row r="244" spans="32:35" ht="15.75" customHeight="1">
      <c r="AF244" s="127">
        <f t="shared" si="6"/>
        <v>0</v>
      </c>
      <c r="AG244" s="127" t="str">
        <f>IF(AA244=0,"",Calculator!$B$7)</f>
        <v/>
      </c>
      <c r="AH244" s="127" t="e">
        <f>(AF244/Calculator!$B$10)*Calculator!$B$9</f>
        <v>#DIV/0!</v>
      </c>
      <c r="AI244" s="126" t="str">
        <f t="shared" si="7"/>
        <v/>
      </c>
    </row>
    <row r="245" spans="32:35" ht="15.75" customHeight="1">
      <c r="AF245" s="127">
        <f t="shared" si="6"/>
        <v>0</v>
      </c>
      <c r="AG245" s="127" t="str">
        <f>IF(AA245=0,"",Calculator!$B$7)</f>
        <v/>
      </c>
      <c r="AH245" s="127" t="e">
        <f>(AF245/Calculator!$B$10)*Calculator!$B$9</f>
        <v>#DIV/0!</v>
      </c>
      <c r="AI245" s="126" t="str">
        <f t="shared" si="7"/>
        <v/>
      </c>
    </row>
    <row r="246" spans="32:35" ht="15.75" customHeight="1">
      <c r="AF246" s="127">
        <f t="shared" si="6"/>
        <v>0</v>
      </c>
      <c r="AG246" s="127" t="str">
        <f>IF(AA246=0,"",Calculator!$B$7)</f>
        <v/>
      </c>
      <c r="AH246" s="127" t="e">
        <f>(AF246/Calculator!$B$10)*Calculator!$B$9</f>
        <v>#DIV/0!</v>
      </c>
      <c r="AI246" s="126" t="str">
        <f t="shared" si="7"/>
        <v/>
      </c>
    </row>
    <row r="247" spans="32:35" ht="15.75" customHeight="1">
      <c r="AF247" s="127">
        <f t="shared" si="6"/>
        <v>0</v>
      </c>
      <c r="AG247" s="127" t="str">
        <f>IF(AA247=0,"",Calculator!$B$7)</f>
        <v/>
      </c>
      <c r="AH247" s="127" t="e">
        <f>(AF247/Calculator!$B$10)*Calculator!$B$9</f>
        <v>#DIV/0!</v>
      </c>
      <c r="AI247" s="126" t="str">
        <f t="shared" si="7"/>
        <v/>
      </c>
    </row>
    <row r="248" spans="32:35" ht="15.75" customHeight="1">
      <c r="AF248" s="127">
        <f t="shared" si="6"/>
        <v>0</v>
      </c>
      <c r="AG248" s="127" t="str">
        <f>IF(AA248=0,"",Calculator!$B$7)</f>
        <v/>
      </c>
      <c r="AH248" s="127" t="e">
        <f>(AF248/Calculator!$B$10)*Calculator!$B$9</f>
        <v>#DIV/0!</v>
      </c>
      <c r="AI248" s="126" t="str">
        <f t="shared" si="7"/>
        <v/>
      </c>
    </row>
    <row r="249" spans="32:35" ht="15.75" customHeight="1">
      <c r="AF249" s="127">
        <f t="shared" si="6"/>
        <v>0</v>
      </c>
      <c r="AG249" s="127" t="str">
        <f>IF(AA249=0,"",Calculator!$B$7)</f>
        <v/>
      </c>
      <c r="AH249" s="127" t="e">
        <f>(AF249/Calculator!$B$10)*Calculator!$B$9</f>
        <v>#DIV/0!</v>
      </c>
      <c r="AI249" s="126" t="str">
        <f t="shared" si="7"/>
        <v/>
      </c>
    </row>
    <row r="250" spans="32:35" ht="15.75" customHeight="1">
      <c r="AF250" s="127">
        <f t="shared" si="6"/>
        <v>0</v>
      </c>
      <c r="AG250" s="127" t="str">
        <f>IF(AA250=0,"",Calculator!$B$7)</f>
        <v/>
      </c>
      <c r="AH250" s="127" t="e">
        <f>(AF250/Calculator!$B$10)*Calculator!$B$9</f>
        <v>#DIV/0!</v>
      </c>
      <c r="AI250" s="126" t="str">
        <f t="shared" si="7"/>
        <v/>
      </c>
    </row>
    <row r="251" spans="32:35" ht="15.75" customHeight="1">
      <c r="AF251" s="127">
        <f t="shared" si="6"/>
        <v>0</v>
      </c>
      <c r="AG251" s="127" t="str">
        <f>IF(AA251=0,"",Calculator!$B$7)</f>
        <v/>
      </c>
      <c r="AH251" s="127" t="e">
        <f>(AF251/Calculator!$B$10)*Calculator!$B$9</f>
        <v>#DIV/0!</v>
      </c>
      <c r="AI251" s="126" t="str">
        <f t="shared" si="7"/>
        <v/>
      </c>
    </row>
    <row r="252" spans="32:35" ht="15.75" customHeight="1">
      <c r="AF252" s="127">
        <f t="shared" si="6"/>
        <v>0</v>
      </c>
      <c r="AG252" s="127" t="str">
        <f>IF(AA252=0,"",Calculator!$B$7)</f>
        <v/>
      </c>
      <c r="AH252" s="127" t="e">
        <f>(AF252/Calculator!$B$10)*Calculator!$B$9</f>
        <v>#DIV/0!</v>
      </c>
      <c r="AI252" s="126" t="str">
        <f t="shared" si="7"/>
        <v/>
      </c>
    </row>
    <row r="253" spans="32:35" ht="15.75" customHeight="1">
      <c r="AF253" s="127">
        <f t="shared" si="6"/>
        <v>0</v>
      </c>
      <c r="AG253" s="127" t="str">
        <f>IF(AA253=0,"",Calculator!$B$7)</f>
        <v/>
      </c>
      <c r="AH253" s="127" t="e">
        <f>(AF253/Calculator!$B$10)*Calculator!$B$9</f>
        <v>#DIV/0!</v>
      </c>
      <c r="AI253" s="126" t="str">
        <f t="shared" si="7"/>
        <v/>
      </c>
    </row>
    <row r="254" spans="32:35" ht="15.75" customHeight="1">
      <c r="AF254" s="127">
        <f t="shared" si="6"/>
        <v>0</v>
      </c>
      <c r="AG254" s="127" t="str">
        <f>IF(AA254=0,"",Calculator!$B$7)</f>
        <v/>
      </c>
      <c r="AH254" s="127" t="e">
        <f>(AF254/Calculator!$B$10)*Calculator!$B$9</f>
        <v>#DIV/0!</v>
      </c>
      <c r="AI254" s="126" t="str">
        <f t="shared" si="7"/>
        <v/>
      </c>
    </row>
    <row r="255" spans="32:35" ht="15.75" customHeight="1">
      <c r="AF255" s="127">
        <f t="shared" si="6"/>
        <v>0</v>
      </c>
      <c r="AG255" s="127" t="str">
        <f>IF(AA255=0,"",Calculator!$B$7)</f>
        <v/>
      </c>
      <c r="AH255" s="127" t="e">
        <f>(AF255/Calculator!$B$10)*Calculator!$B$9</f>
        <v>#DIV/0!</v>
      </c>
      <c r="AI255" s="126" t="str">
        <f t="shared" si="7"/>
        <v/>
      </c>
    </row>
    <row r="256" spans="32:35" ht="15.75" customHeight="1">
      <c r="AF256" s="127">
        <f t="shared" si="6"/>
        <v>0</v>
      </c>
      <c r="AG256" s="127" t="str">
        <f>IF(AA256=0,"",Calculator!$B$7)</f>
        <v/>
      </c>
      <c r="AH256" s="127" t="e">
        <f>(AF256/Calculator!$B$10)*Calculator!$B$9</f>
        <v>#DIV/0!</v>
      </c>
      <c r="AI256" s="126" t="str">
        <f t="shared" si="7"/>
        <v/>
      </c>
    </row>
    <row r="257" spans="32:35" ht="15.75" customHeight="1">
      <c r="AF257" s="127">
        <f t="shared" si="6"/>
        <v>0</v>
      </c>
      <c r="AG257" s="127" t="str">
        <f>IF(AA257=0,"",Calculator!$B$7)</f>
        <v/>
      </c>
      <c r="AH257" s="127" t="e">
        <f>(AF257/Calculator!$B$10)*Calculator!$B$9</f>
        <v>#DIV/0!</v>
      </c>
      <c r="AI257" s="126" t="str">
        <f t="shared" si="7"/>
        <v/>
      </c>
    </row>
    <row r="258" spans="32:35" ht="15.75" customHeight="1">
      <c r="AF258" s="127">
        <f t="shared" si="6"/>
        <v>0</v>
      </c>
      <c r="AG258" s="127" t="str">
        <f>IF(AA258=0,"",Calculator!$B$7)</f>
        <v/>
      </c>
      <c r="AH258" s="127" t="e">
        <f>(AF258/Calculator!$B$10)*Calculator!$B$9</f>
        <v>#DIV/0!</v>
      </c>
      <c r="AI258" s="126" t="str">
        <f t="shared" si="7"/>
        <v/>
      </c>
    </row>
    <row r="259" spans="32:35" ht="15.75" customHeight="1">
      <c r="AF259" s="127">
        <f t="shared" si="6"/>
        <v>0</v>
      </c>
      <c r="AG259" s="127" t="str">
        <f>IF(AA259=0,"",Calculator!$B$7)</f>
        <v/>
      </c>
      <c r="AH259" s="127" t="e">
        <f>(AF259/Calculator!$B$10)*Calculator!$B$9</f>
        <v>#DIV/0!</v>
      </c>
      <c r="AI259" s="126" t="str">
        <f t="shared" si="7"/>
        <v/>
      </c>
    </row>
    <row r="260" spans="32:35" ht="15.75" customHeight="1">
      <c r="AF260" s="127">
        <f t="shared" si="6"/>
        <v>0</v>
      </c>
      <c r="AG260" s="127" t="str">
        <f>IF(AA260=0,"",Calculator!$B$7)</f>
        <v/>
      </c>
      <c r="AH260" s="127" t="e">
        <f>(AF260/Calculator!$B$10)*Calculator!$B$9</f>
        <v>#DIV/0!</v>
      </c>
      <c r="AI260" s="126" t="str">
        <f t="shared" si="7"/>
        <v/>
      </c>
    </row>
    <row r="261" spans="32:35" ht="15.75" customHeight="1">
      <c r="AF261" s="127">
        <f t="shared" si="6"/>
        <v>0</v>
      </c>
      <c r="AG261" s="127" t="str">
        <f>IF(AA261=0,"",Calculator!$B$7)</f>
        <v/>
      </c>
      <c r="AH261" s="127" t="e">
        <f>(AF261/Calculator!$B$10)*Calculator!$B$9</f>
        <v>#DIV/0!</v>
      </c>
      <c r="AI261" s="126" t="str">
        <f t="shared" si="7"/>
        <v/>
      </c>
    </row>
    <row r="262" spans="32:35" ht="15.75" customHeight="1">
      <c r="AF262" s="127">
        <f t="shared" si="6"/>
        <v>0</v>
      </c>
      <c r="AG262" s="127" t="str">
        <f>IF(AA262=0,"",Calculator!$B$7)</f>
        <v/>
      </c>
      <c r="AH262" s="127" t="e">
        <f>(AF262/Calculator!$B$10)*Calculator!$B$9</f>
        <v>#DIV/0!</v>
      </c>
      <c r="AI262" s="126" t="str">
        <f t="shared" si="7"/>
        <v/>
      </c>
    </row>
    <row r="263" spans="32:35" ht="15.75" customHeight="1">
      <c r="AF263" s="127">
        <f t="shared" si="6"/>
        <v>0</v>
      </c>
      <c r="AG263" s="127" t="str">
        <f>IF(AA263=0,"",Calculator!$B$7)</f>
        <v/>
      </c>
      <c r="AH263" s="127" t="e">
        <f>(AF263/Calculator!$B$10)*Calculator!$B$9</f>
        <v>#DIV/0!</v>
      </c>
      <c r="AI263" s="126" t="str">
        <f t="shared" si="7"/>
        <v/>
      </c>
    </row>
    <row r="264" spans="32:35" ht="15.75" customHeight="1">
      <c r="AF264" s="127">
        <f t="shared" si="6"/>
        <v>0</v>
      </c>
      <c r="AG264" s="127" t="str">
        <f>IF(AA264=0,"",Calculator!$B$7)</f>
        <v/>
      </c>
      <c r="AH264" s="127" t="e">
        <f>(AF264/Calculator!$B$10)*Calculator!$B$9</f>
        <v>#DIV/0!</v>
      </c>
      <c r="AI264" s="126" t="str">
        <f t="shared" si="7"/>
        <v/>
      </c>
    </row>
    <row r="265" spans="32:35" ht="15.75" customHeight="1">
      <c r="AF265" s="127">
        <f t="shared" si="6"/>
        <v>0</v>
      </c>
      <c r="AG265" s="127" t="str">
        <f>IF(AA265=0,"",Calculator!$B$7)</f>
        <v/>
      </c>
      <c r="AH265" s="127" t="e">
        <f>(AF265/Calculator!$B$10)*Calculator!$B$9</f>
        <v>#DIV/0!</v>
      </c>
      <c r="AI265" s="126" t="str">
        <f t="shared" si="7"/>
        <v/>
      </c>
    </row>
    <row r="266" spans="32:35" ht="15.75" customHeight="1">
      <c r="AF266" s="127">
        <f t="shared" ref="AF266:AF329" si="8">IFERROR(AA266*AG266,0)</f>
        <v>0</v>
      </c>
      <c r="AG266" s="127" t="str">
        <f>IF(AA266=0,"",Calculator!$B$7)</f>
        <v/>
      </c>
      <c r="AH266" s="127" t="e">
        <f>(AF266/Calculator!$B$10)*Calculator!$B$9</f>
        <v>#DIV/0!</v>
      </c>
      <c r="AI266" s="126" t="str">
        <f t="shared" ref="AI266:AI329" si="9">IF(ISBLANK(AA266),"","RS Means")</f>
        <v/>
      </c>
    </row>
    <row r="267" spans="32:35" ht="15.75" customHeight="1">
      <c r="AF267" s="127">
        <f t="shared" si="8"/>
        <v>0</v>
      </c>
      <c r="AG267" s="127" t="str">
        <f>IF(AA267=0,"",Calculator!$B$7)</f>
        <v/>
      </c>
      <c r="AH267" s="127" t="e">
        <f>(AF267/Calculator!$B$10)*Calculator!$B$9</f>
        <v>#DIV/0!</v>
      </c>
      <c r="AI267" s="126" t="str">
        <f t="shared" si="9"/>
        <v/>
      </c>
    </row>
    <row r="268" spans="32:35" ht="15.75" customHeight="1">
      <c r="AF268" s="127">
        <f t="shared" si="8"/>
        <v>0</v>
      </c>
      <c r="AG268" s="127" t="str">
        <f>IF(AA268=0,"",Calculator!$B$7)</f>
        <v/>
      </c>
      <c r="AH268" s="127" t="e">
        <f>(AF268/Calculator!$B$10)*Calculator!$B$9</f>
        <v>#DIV/0!</v>
      </c>
      <c r="AI268" s="126" t="str">
        <f t="shared" si="9"/>
        <v/>
      </c>
    </row>
    <row r="269" spans="32:35" ht="15.75" customHeight="1">
      <c r="AF269" s="127">
        <f t="shared" si="8"/>
        <v>0</v>
      </c>
      <c r="AG269" s="127" t="str">
        <f>IF(AA269=0,"",Calculator!$B$7)</f>
        <v/>
      </c>
      <c r="AH269" s="127" t="e">
        <f>(AF269/Calculator!$B$10)*Calculator!$B$9</f>
        <v>#DIV/0!</v>
      </c>
      <c r="AI269" s="126" t="str">
        <f t="shared" si="9"/>
        <v/>
      </c>
    </row>
    <row r="270" spans="32:35" ht="15.75" customHeight="1">
      <c r="AF270" s="127">
        <f t="shared" si="8"/>
        <v>0</v>
      </c>
      <c r="AG270" s="127" t="str">
        <f>IF(AA270=0,"",Calculator!$B$7)</f>
        <v/>
      </c>
      <c r="AH270" s="127" t="e">
        <f>(AF270/Calculator!$B$10)*Calculator!$B$9</f>
        <v>#DIV/0!</v>
      </c>
      <c r="AI270" s="126" t="str">
        <f t="shared" si="9"/>
        <v/>
      </c>
    </row>
    <row r="271" spans="32:35" ht="15.75" customHeight="1">
      <c r="AF271" s="127">
        <f t="shared" si="8"/>
        <v>0</v>
      </c>
      <c r="AG271" s="127" t="str">
        <f>IF(AA271=0,"",Calculator!$B$7)</f>
        <v/>
      </c>
      <c r="AH271" s="127" t="e">
        <f>(AF271/Calculator!$B$10)*Calculator!$B$9</f>
        <v>#DIV/0!</v>
      </c>
      <c r="AI271" s="126" t="str">
        <f t="shared" si="9"/>
        <v/>
      </c>
    </row>
    <row r="272" spans="32:35" ht="15.75" customHeight="1">
      <c r="AF272" s="127">
        <f t="shared" si="8"/>
        <v>0</v>
      </c>
      <c r="AG272" s="127" t="str">
        <f>IF(AA272=0,"",Calculator!$B$7)</f>
        <v/>
      </c>
      <c r="AH272" s="127" t="e">
        <f>(AF272/Calculator!$B$10)*Calculator!$B$9</f>
        <v>#DIV/0!</v>
      </c>
      <c r="AI272" s="126" t="str">
        <f t="shared" si="9"/>
        <v/>
      </c>
    </row>
    <row r="273" spans="32:35" ht="15.75" customHeight="1">
      <c r="AF273" s="127">
        <f t="shared" si="8"/>
        <v>0</v>
      </c>
      <c r="AG273" s="127" t="str">
        <f>IF(AA273=0,"",Calculator!$B$7)</f>
        <v/>
      </c>
      <c r="AH273" s="127" t="e">
        <f>(AF273/Calculator!$B$10)*Calculator!$B$9</f>
        <v>#DIV/0!</v>
      </c>
      <c r="AI273" s="126" t="str">
        <f t="shared" si="9"/>
        <v/>
      </c>
    </row>
    <row r="274" spans="32:35" ht="15.75" customHeight="1">
      <c r="AF274" s="127">
        <f t="shared" si="8"/>
        <v>0</v>
      </c>
      <c r="AG274" s="127" t="str">
        <f>IF(AA274=0,"",Calculator!$B$7)</f>
        <v/>
      </c>
      <c r="AH274" s="127" t="e">
        <f>(AF274/Calculator!$B$10)*Calculator!$B$9</f>
        <v>#DIV/0!</v>
      </c>
      <c r="AI274" s="126" t="str">
        <f t="shared" si="9"/>
        <v/>
      </c>
    </row>
    <row r="275" spans="32:35" ht="15.75" customHeight="1">
      <c r="AF275" s="127">
        <f t="shared" si="8"/>
        <v>0</v>
      </c>
      <c r="AG275" s="127" t="str">
        <f>IF(AA275=0,"",Calculator!$B$7)</f>
        <v/>
      </c>
      <c r="AH275" s="127" t="e">
        <f>(AF275/Calculator!$B$10)*Calculator!$B$9</f>
        <v>#DIV/0!</v>
      </c>
      <c r="AI275" s="126" t="str">
        <f t="shared" si="9"/>
        <v/>
      </c>
    </row>
    <row r="276" spans="32:35" ht="15.75" customHeight="1">
      <c r="AF276" s="127">
        <f t="shared" si="8"/>
        <v>0</v>
      </c>
      <c r="AG276" s="127" t="str">
        <f>IF(AA276=0,"",Calculator!$B$7)</f>
        <v/>
      </c>
      <c r="AH276" s="127" t="e">
        <f>(AF276/Calculator!$B$10)*Calculator!$B$9</f>
        <v>#DIV/0!</v>
      </c>
      <c r="AI276" s="126" t="str">
        <f t="shared" si="9"/>
        <v/>
      </c>
    </row>
    <row r="277" spans="32:35" ht="15.75" customHeight="1">
      <c r="AF277" s="127">
        <f t="shared" si="8"/>
        <v>0</v>
      </c>
      <c r="AG277" s="127" t="str">
        <f>IF(AA277=0,"",Calculator!$B$7)</f>
        <v/>
      </c>
      <c r="AH277" s="127" t="e">
        <f>(AF277/Calculator!$B$10)*Calculator!$B$9</f>
        <v>#DIV/0!</v>
      </c>
      <c r="AI277" s="126" t="str">
        <f t="shared" si="9"/>
        <v/>
      </c>
    </row>
    <row r="278" spans="32:35" ht="15.75" customHeight="1">
      <c r="AF278" s="127">
        <f t="shared" si="8"/>
        <v>0</v>
      </c>
      <c r="AG278" s="127" t="str">
        <f>IF(AA278=0,"",Calculator!$B$7)</f>
        <v/>
      </c>
      <c r="AH278" s="127" t="e">
        <f>(AF278/Calculator!$B$10)*Calculator!$B$9</f>
        <v>#DIV/0!</v>
      </c>
      <c r="AI278" s="126" t="str">
        <f t="shared" si="9"/>
        <v/>
      </c>
    </row>
    <row r="279" spans="32:35" ht="15.75" customHeight="1">
      <c r="AF279" s="127">
        <f t="shared" si="8"/>
        <v>0</v>
      </c>
      <c r="AG279" s="127" t="str">
        <f>IF(AA279=0,"",Calculator!$B$7)</f>
        <v/>
      </c>
      <c r="AH279" s="127" t="e">
        <f>(AF279/Calculator!$B$10)*Calculator!$B$9</f>
        <v>#DIV/0!</v>
      </c>
      <c r="AI279" s="126" t="str">
        <f t="shared" si="9"/>
        <v/>
      </c>
    </row>
    <row r="280" spans="32:35" ht="15.75" customHeight="1">
      <c r="AF280" s="127">
        <f t="shared" si="8"/>
        <v>0</v>
      </c>
      <c r="AG280" s="127" t="str">
        <f>IF(AA280=0,"",Calculator!$B$7)</f>
        <v/>
      </c>
      <c r="AH280" s="127" t="e">
        <f>(AF280/Calculator!$B$10)*Calculator!$B$9</f>
        <v>#DIV/0!</v>
      </c>
      <c r="AI280" s="126" t="str">
        <f t="shared" si="9"/>
        <v/>
      </c>
    </row>
    <row r="281" spans="32:35" ht="15.75" customHeight="1">
      <c r="AF281" s="127">
        <f t="shared" si="8"/>
        <v>0</v>
      </c>
      <c r="AG281" s="127" t="str">
        <f>IF(AA281=0,"",Calculator!$B$7)</f>
        <v/>
      </c>
      <c r="AH281" s="127" t="e">
        <f>(AF281/Calculator!$B$10)*Calculator!$B$9</f>
        <v>#DIV/0!</v>
      </c>
      <c r="AI281" s="126" t="str">
        <f t="shared" si="9"/>
        <v/>
      </c>
    </row>
    <row r="282" spans="32:35" ht="15.75" customHeight="1">
      <c r="AF282" s="127">
        <f t="shared" si="8"/>
        <v>0</v>
      </c>
      <c r="AG282" s="127" t="str">
        <f>IF(AA282=0,"",Calculator!$B$7)</f>
        <v/>
      </c>
      <c r="AH282" s="127" t="e">
        <f>(AF282/Calculator!$B$10)*Calculator!$B$9</f>
        <v>#DIV/0!</v>
      </c>
      <c r="AI282" s="126" t="str">
        <f t="shared" si="9"/>
        <v/>
      </c>
    </row>
    <row r="283" spans="32:35" ht="15.75" customHeight="1">
      <c r="AF283" s="127">
        <f t="shared" si="8"/>
        <v>0</v>
      </c>
      <c r="AG283" s="127" t="str">
        <f>IF(AA283=0,"",Calculator!$B$7)</f>
        <v/>
      </c>
      <c r="AH283" s="127" t="e">
        <f>(AF283/Calculator!$B$10)*Calculator!$B$9</f>
        <v>#DIV/0!</v>
      </c>
      <c r="AI283" s="126" t="str">
        <f t="shared" si="9"/>
        <v/>
      </c>
    </row>
    <row r="284" spans="32:35" ht="15.75" customHeight="1">
      <c r="AF284" s="127">
        <f t="shared" si="8"/>
        <v>0</v>
      </c>
      <c r="AG284" s="127" t="str">
        <f>IF(AA284=0,"",Calculator!$B$7)</f>
        <v/>
      </c>
      <c r="AH284" s="127" t="e">
        <f>(AF284/Calculator!$B$10)*Calculator!$B$9</f>
        <v>#DIV/0!</v>
      </c>
      <c r="AI284" s="126" t="str">
        <f t="shared" si="9"/>
        <v/>
      </c>
    </row>
    <row r="285" spans="32:35" ht="15.75" customHeight="1">
      <c r="AF285" s="127">
        <f t="shared" si="8"/>
        <v>0</v>
      </c>
      <c r="AG285" s="127" t="str">
        <f>IF(AA285=0,"",Calculator!$B$7)</f>
        <v/>
      </c>
      <c r="AH285" s="127" t="e">
        <f>(AF285/Calculator!$B$10)*Calculator!$B$9</f>
        <v>#DIV/0!</v>
      </c>
      <c r="AI285" s="126" t="str">
        <f t="shared" si="9"/>
        <v/>
      </c>
    </row>
    <row r="286" spans="32:35" ht="15.75" customHeight="1">
      <c r="AF286" s="127">
        <f t="shared" si="8"/>
        <v>0</v>
      </c>
      <c r="AG286" s="127" t="str">
        <f>IF(AA286=0,"",Calculator!$B$7)</f>
        <v/>
      </c>
      <c r="AH286" s="127" t="e">
        <f>(AF286/Calculator!$B$10)*Calculator!$B$9</f>
        <v>#DIV/0!</v>
      </c>
      <c r="AI286" s="126" t="str">
        <f t="shared" si="9"/>
        <v/>
      </c>
    </row>
    <row r="287" spans="32:35" ht="15.75" customHeight="1">
      <c r="AF287" s="127">
        <f t="shared" si="8"/>
        <v>0</v>
      </c>
      <c r="AG287" s="127" t="str">
        <f>IF(AA287=0,"",Calculator!$B$7)</f>
        <v/>
      </c>
      <c r="AH287" s="127" t="e">
        <f>(AF287/Calculator!$B$10)*Calculator!$B$9</f>
        <v>#DIV/0!</v>
      </c>
      <c r="AI287" s="126" t="str">
        <f t="shared" si="9"/>
        <v/>
      </c>
    </row>
    <row r="288" spans="32:35" ht="15.75" customHeight="1">
      <c r="AF288" s="127">
        <f t="shared" si="8"/>
        <v>0</v>
      </c>
      <c r="AG288" s="127" t="str">
        <f>IF(AA288=0,"",Calculator!$B$7)</f>
        <v/>
      </c>
      <c r="AH288" s="127" t="e">
        <f>(AF288/Calculator!$B$10)*Calculator!$B$9</f>
        <v>#DIV/0!</v>
      </c>
      <c r="AI288" s="126" t="str">
        <f t="shared" si="9"/>
        <v/>
      </c>
    </row>
    <row r="289" spans="32:35" ht="15.75" customHeight="1">
      <c r="AF289" s="127">
        <f t="shared" si="8"/>
        <v>0</v>
      </c>
      <c r="AG289" s="127" t="str">
        <f>IF(AA289=0,"",Calculator!$B$7)</f>
        <v/>
      </c>
      <c r="AH289" s="127" t="e">
        <f>(AF289/Calculator!$B$10)*Calculator!$B$9</f>
        <v>#DIV/0!</v>
      </c>
      <c r="AI289" s="126" t="str">
        <f t="shared" si="9"/>
        <v/>
      </c>
    </row>
    <row r="290" spans="32:35" ht="15.75" customHeight="1">
      <c r="AF290" s="127">
        <f t="shared" si="8"/>
        <v>0</v>
      </c>
      <c r="AG290" s="127" t="str">
        <f>IF(AA290=0,"",Calculator!$B$7)</f>
        <v/>
      </c>
      <c r="AH290" s="127" t="e">
        <f>(AF290/Calculator!$B$10)*Calculator!$B$9</f>
        <v>#DIV/0!</v>
      </c>
      <c r="AI290" s="126" t="str">
        <f t="shared" si="9"/>
        <v/>
      </c>
    </row>
    <row r="291" spans="32:35" ht="15.75" customHeight="1">
      <c r="AF291" s="127">
        <f t="shared" si="8"/>
        <v>0</v>
      </c>
      <c r="AG291" s="127" t="str">
        <f>IF(AA291=0,"",Calculator!$B$7)</f>
        <v/>
      </c>
      <c r="AH291" s="127" t="e">
        <f>(AF291/Calculator!$B$10)*Calculator!$B$9</f>
        <v>#DIV/0!</v>
      </c>
      <c r="AI291" s="126" t="str">
        <f t="shared" si="9"/>
        <v/>
      </c>
    </row>
    <row r="292" spans="32:35" ht="15.75" customHeight="1">
      <c r="AF292" s="127">
        <f t="shared" si="8"/>
        <v>0</v>
      </c>
      <c r="AG292" s="127" t="str">
        <f>IF(AA292=0,"",Calculator!$B$7)</f>
        <v/>
      </c>
      <c r="AH292" s="127" t="e">
        <f>(AF292/Calculator!$B$10)*Calculator!$B$9</f>
        <v>#DIV/0!</v>
      </c>
      <c r="AI292" s="126" t="str">
        <f t="shared" si="9"/>
        <v/>
      </c>
    </row>
    <row r="293" spans="32:35" ht="15.75" customHeight="1">
      <c r="AF293" s="127">
        <f t="shared" si="8"/>
        <v>0</v>
      </c>
      <c r="AG293" s="127" t="str">
        <f>IF(AA293=0,"",Calculator!$B$7)</f>
        <v/>
      </c>
      <c r="AH293" s="127" t="e">
        <f>(AF293/Calculator!$B$10)*Calculator!$B$9</f>
        <v>#DIV/0!</v>
      </c>
      <c r="AI293" s="126" t="str">
        <f t="shared" si="9"/>
        <v/>
      </c>
    </row>
    <row r="294" spans="32:35" ht="15.75" customHeight="1">
      <c r="AF294" s="127">
        <f t="shared" si="8"/>
        <v>0</v>
      </c>
      <c r="AG294" s="127" t="str">
        <f>IF(AA294=0,"",Calculator!$B$7)</f>
        <v/>
      </c>
      <c r="AH294" s="127" t="e">
        <f>(AF294/Calculator!$B$10)*Calculator!$B$9</f>
        <v>#DIV/0!</v>
      </c>
      <c r="AI294" s="126" t="str">
        <f t="shared" si="9"/>
        <v/>
      </c>
    </row>
    <row r="295" spans="32:35" ht="15.75" customHeight="1">
      <c r="AF295" s="127">
        <f t="shared" si="8"/>
        <v>0</v>
      </c>
      <c r="AG295" s="127" t="str">
        <f>IF(AA295=0,"",Calculator!$B$7)</f>
        <v/>
      </c>
      <c r="AH295" s="127" t="e">
        <f>(AF295/Calculator!$B$10)*Calculator!$B$9</f>
        <v>#DIV/0!</v>
      </c>
      <c r="AI295" s="126" t="str">
        <f t="shared" si="9"/>
        <v/>
      </c>
    </row>
    <row r="296" spans="32:35" ht="15.75" customHeight="1">
      <c r="AF296" s="127">
        <f t="shared" si="8"/>
        <v>0</v>
      </c>
      <c r="AG296" s="127" t="str">
        <f>IF(AA296=0,"",Calculator!$B$7)</f>
        <v/>
      </c>
      <c r="AH296" s="127" t="e">
        <f>(AF296/Calculator!$B$10)*Calculator!$B$9</f>
        <v>#DIV/0!</v>
      </c>
      <c r="AI296" s="126" t="str">
        <f t="shared" si="9"/>
        <v/>
      </c>
    </row>
    <row r="297" spans="32:35" ht="15.75" customHeight="1">
      <c r="AF297" s="127">
        <f t="shared" si="8"/>
        <v>0</v>
      </c>
      <c r="AG297" s="127" t="str">
        <f>IF(AA297=0,"",Calculator!$B$7)</f>
        <v/>
      </c>
      <c r="AH297" s="127" t="e">
        <f>(AF297/Calculator!$B$10)*Calculator!$B$9</f>
        <v>#DIV/0!</v>
      </c>
      <c r="AI297" s="126" t="str">
        <f t="shared" si="9"/>
        <v/>
      </c>
    </row>
    <row r="298" spans="32:35" ht="15.75" customHeight="1">
      <c r="AF298" s="127">
        <f t="shared" si="8"/>
        <v>0</v>
      </c>
      <c r="AG298" s="127" t="str">
        <f>IF(AA298=0,"",Calculator!$B$7)</f>
        <v/>
      </c>
      <c r="AH298" s="127" t="e">
        <f>(AF298/Calculator!$B$10)*Calculator!$B$9</f>
        <v>#DIV/0!</v>
      </c>
      <c r="AI298" s="126" t="str">
        <f t="shared" si="9"/>
        <v/>
      </c>
    </row>
    <row r="299" spans="32:35" ht="15.75" customHeight="1">
      <c r="AF299" s="127">
        <f t="shared" si="8"/>
        <v>0</v>
      </c>
      <c r="AG299" s="127" t="str">
        <f>IF(AA299=0,"",Calculator!$B$7)</f>
        <v/>
      </c>
      <c r="AH299" s="127" t="e">
        <f>(AF299/Calculator!$B$10)*Calculator!$B$9</f>
        <v>#DIV/0!</v>
      </c>
      <c r="AI299" s="126" t="str">
        <f t="shared" si="9"/>
        <v/>
      </c>
    </row>
    <row r="300" spans="32:35" ht="15.75" customHeight="1">
      <c r="AF300" s="127">
        <f t="shared" si="8"/>
        <v>0</v>
      </c>
      <c r="AG300" s="127" t="str">
        <f>IF(AA300=0,"",Calculator!$B$7)</f>
        <v/>
      </c>
      <c r="AH300" s="127" t="e">
        <f>(AF300/Calculator!$B$10)*Calculator!$B$9</f>
        <v>#DIV/0!</v>
      </c>
      <c r="AI300" s="126" t="str">
        <f t="shared" si="9"/>
        <v/>
      </c>
    </row>
    <row r="301" spans="32:35" ht="15.75" customHeight="1">
      <c r="AF301" s="127">
        <f t="shared" si="8"/>
        <v>0</v>
      </c>
      <c r="AG301" s="127" t="str">
        <f>IF(AA301=0,"",Calculator!$B$7)</f>
        <v/>
      </c>
      <c r="AH301" s="127" t="e">
        <f>(AF301/Calculator!$B$10)*Calculator!$B$9</f>
        <v>#DIV/0!</v>
      </c>
      <c r="AI301" s="126" t="str">
        <f t="shared" si="9"/>
        <v/>
      </c>
    </row>
    <row r="302" spans="32:35" ht="15.75" customHeight="1">
      <c r="AF302" s="127">
        <f t="shared" si="8"/>
        <v>0</v>
      </c>
      <c r="AG302" s="127" t="str">
        <f>IF(AA302=0,"",Calculator!$B$7)</f>
        <v/>
      </c>
      <c r="AH302" s="127" t="e">
        <f>(AF302/Calculator!$B$10)*Calculator!$B$9</f>
        <v>#DIV/0!</v>
      </c>
      <c r="AI302" s="126" t="str">
        <f t="shared" si="9"/>
        <v/>
      </c>
    </row>
    <row r="303" spans="32:35" ht="15.75" customHeight="1">
      <c r="AF303" s="127">
        <f t="shared" si="8"/>
        <v>0</v>
      </c>
      <c r="AG303" s="127" t="str">
        <f>IF(AA303=0,"",Calculator!$B$7)</f>
        <v/>
      </c>
      <c r="AH303" s="127" t="e">
        <f>(AF303/Calculator!$B$10)*Calculator!$B$9</f>
        <v>#DIV/0!</v>
      </c>
      <c r="AI303" s="126" t="str">
        <f t="shared" si="9"/>
        <v/>
      </c>
    </row>
    <row r="304" spans="32:35" ht="15.75" customHeight="1">
      <c r="AF304" s="127">
        <f t="shared" si="8"/>
        <v>0</v>
      </c>
      <c r="AG304" s="127" t="str">
        <f>IF(AA304=0,"",Calculator!$B$7)</f>
        <v/>
      </c>
      <c r="AH304" s="127" t="e">
        <f>(AF304/Calculator!$B$10)*Calculator!$B$9</f>
        <v>#DIV/0!</v>
      </c>
      <c r="AI304" s="126" t="str">
        <f t="shared" si="9"/>
        <v/>
      </c>
    </row>
    <row r="305" spans="32:35" ht="15.75" customHeight="1">
      <c r="AF305" s="127">
        <f t="shared" si="8"/>
        <v>0</v>
      </c>
      <c r="AG305" s="127" t="str">
        <f>IF(AA305=0,"",Calculator!$B$7)</f>
        <v/>
      </c>
      <c r="AH305" s="127" t="e">
        <f>(AF305/Calculator!$B$10)*Calculator!$B$9</f>
        <v>#DIV/0!</v>
      </c>
      <c r="AI305" s="126" t="str">
        <f t="shared" si="9"/>
        <v/>
      </c>
    </row>
    <row r="306" spans="32:35" ht="15.75" customHeight="1">
      <c r="AF306" s="127">
        <f t="shared" si="8"/>
        <v>0</v>
      </c>
      <c r="AG306" s="127" t="str">
        <f>IF(AA306=0,"",Calculator!$B$7)</f>
        <v/>
      </c>
      <c r="AH306" s="127" t="e">
        <f>(AF306/Calculator!$B$10)*Calculator!$B$9</f>
        <v>#DIV/0!</v>
      </c>
      <c r="AI306" s="126" t="str">
        <f t="shared" si="9"/>
        <v/>
      </c>
    </row>
    <row r="307" spans="32:35" ht="15.75" customHeight="1">
      <c r="AF307" s="127">
        <f t="shared" si="8"/>
        <v>0</v>
      </c>
      <c r="AG307" s="127" t="str">
        <f>IF(AA307=0,"",Calculator!$B$7)</f>
        <v/>
      </c>
      <c r="AH307" s="127" t="e">
        <f>(AF307/Calculator!$B$10)*Calculator!$B$9</f>
        <v>#DIV/0!</v>
      </c>
      <c r="AI307" s="126" t="str">
        <f t="shared" si="9"/>
        <v/>
      </c>
    </row>
    <row r="308" spans="32:35" ht="15.75" customHeight="1">
      <c r="AF308" s="127">
        <f t="shared" si="8"/>
        <v>0</v>
      </c>
      <c r="AG308" s="127" t="str">
        <f>IF(AA308=0,"",Calculator!$B$7)</f>
        <v/>
      </c>
      <c r="AH308" s="127" t="e">
        <f>(AF308/Calculator!$B$10)*Calculator!$B$9</f>
        <v>#DIV/0!</v>
      </c>
      <c r="AI308" s="126" t="str">
        <f t="shared" si="9"/>
        <v/>
      </c>
    </row>
    <row r="309" spans="32:35" ht="15.75" customHeight="1">
      <c r="AF309" s="127">
        <f t="shared" si="8"/>
        <v>0</v>
      </c>
      <c r="AG309" s="127" t="str">
        <f>IF(AA309=0,"",Calculator!$B$7)</f>
        <v/>
      </c>
      <c r="AH309" s="127" t="e">
        <f>(AF309/Calculator!$B$10)*Calculator!$B$9</f>
        <v>#DIV/0!</v>
      </c>
      <c r="AI309" s="126" t="str">
        <f t="shared" si="9"/>
        <v/>
      </c>
    </row>
    <row r="310" spans="32:35" ht="15.75" customHeight="1">
      <c r="AF310" s="127">
        <f t="shared" si="8"/>
        <v>0</v>
      </c>
      <c r="AG310" s="127" t="str">
        <f>IF(AA310=0,"",Calculator!$B$7)</f>
        <v/>
      </c>
      <c r="AH310" s="127" t="e">
        <f>(AF310/Calculator!$B$10)*Calculator!$B$9</f>
        <v>#DIV/0!</v>
      </c>
      <c r="AI310" s="126" t="str">
        <f t="shared" si="9"/>
        <v/>
      </c>
    </row>
    <row r="311" spans="32:35" ht="15.75" customHeight="1">
      <c r="AF311" s="127">
        <f t="shared" si="8"/>
        <v>0</v>
      </c>
      <c r="AG311" s="127" t="str">
        <f>IF(AA311=0,"",Calculator!$B$7)</f>
        <v/>
      </c>
      <c r="AH311" s="127" t="e">
        <f>(AF311/Calculator!$B$10)*Calculator!$B$9</f>
        <v>#DIV/0!</v>
      </c>
      <c r="AI311" s="126" t="str">
        <f t="shared" si="9"/>
        <v/>
      </c>
    </row>
    <row r="312" spans="32:35" ht="15.75" customHeight="1">
      <c r="AF312" s="127">
        <f t="shared" si="8"/>
        <v>0</v>
      </c>
      <c r="AG312" s="127" t="str">
        <f>IF(AA312=0,"",Calculator!$B$7)</f>
        <v/>
      </c>
      <c r="AH312" s="127" t="e">
        <f>(AF312/Calculator!$B$10)*Calculator!$B$9</f>
        <v>#DIV/0!</v>
      </c>
      <c r="AI312" s="126" t="str">
        <f t="shared" si="9"/>
        <v/>
      </c>
    </row>
    <row r="313" spans="32:35" ht="15.75" customHeight="1">
      <c r="AF313" s="127">
        <f t="shared" si="8"/>
        <v>0</v>
      </c>
      <c r="AG313" s="127" t="str">
        <f>IF(AA313=0,"",Calculator!$B$7)</f>
        <v/>
      </c>
      <c r="AH313" s="127" t="e">
        <f>(AF313/Calculator!$B$10)*Calculator!$B$9</f>
        <v>#DIV/0!</v>
      </c>
      <c r="AI313" s="126" t="str">
        <f t="shared" si="9"/>
        <v/>
      </c>
    </row>
    <row r="314" spans="32:35" ht="15.75" customHeight="1">
      <c r="AF314" s="127">
        <f t="shared" si="8"/>
        <v>0</v>
      </c>
      <c r="AG314" s="127" t="str">
        <f>IF(AA314=0,"",Calculator!$B$7)</f>
        <v/>
      </c>
      <c r="AH314" s="127" t="e">
        <f>(AF314/Calculator!$B$10)*Calculator!$B$9</f>
        <v>#DIV/0!</v>
      </c>
      <c r="AI314" s="126" t="str">
        <f t="shared" si="9"/>
        <v/>
      </c>
    </row>
    <row r="315" spans="32:35" ht="15.75" customHeight="1">
      <c r="AF315" s="127">
        <f t="shared" si="8"/>
        <v>0</v>
      </c>
      <c r="AG315" s="127" t="str">
        <f>IF(AA315=0,"",Calculator!$B$7)</f>
        <v/>
      </c>
      <c r="AH315" s="127" t="e">
        <f>(AF315/Calculator!$B$10)*Calculator!$B$9</f>
        <v>#DIV/0!</v>
      </c>
      <c r="AI315" s="126" t="str">
        <f t="shared" si="9"/>
        <v/>
      </c>
    </row>
    <row r="316" spans="32:35" ht="15.75" customHeight="1">
      <c r="AF316" s="127">
        <f t="shared" si="8"/>
        <v>0</v>
      </c>
      <c r="AG316" s="127" t="str">
        <f>IF(AA316=0,"",Calculator!$B$7)</f>
        <v/>
      </c>
      <c r="AH316" s="127" t="e">
        <f>(AF316/Calculator!$B$10)*Calculator!$B$9</f>
        <v>#DIV/0!</v>
      </c>
      <c r="AI316" s="126" t="str">
        <f t="shared" si="9"/>
        <v/>
      </c>
    </row>
    <row r="317" spans="32:35" ht="15.75" customHeight="1">
      <c r="AF317" s="127">
        <f t="shared" si="8"/>
        <v>0</v>
      </c>
      <c r="AG317" s="127" t="str">
        <f>IF(AA317=0,"",Calculator!$B$7)</f>
        <v/>
      </c>
      <c r="AH317" s="127" t="e">
        <f>(AF317/Calculator!$B$10)*Calculator!$B$9</f>
        <v>#DIV/0!</v>
      </c>
      <c r="AI317" s="126" t="str">
        <f t="shared" si="9"/>
        <v/>
      </c>
    </row>
    <row r="318" spans="32:35" ht="15.75" customHeight="1">
      <c r="AF318" s="127">
        <f t="shared" si="8"/>
        <v>0</v>
      </c>
      <c r="AG318" s="127" t="str">
        <f>IF(AA318=0,"",Calculator!$B$7)</f>
        <v/>
      </c>
      <c r="AH318" s="127" t="e">
        <f>(AF318/Calculator!$B$10)*Calculator!$B$9</f>
        <v>#DIV/0!</v>
      </c>
      <c r="AI318" s="126" t="str">
        <f t="shared" si="9"/>
        <v/>
      </c>
    </row>
    <row r="319" spans="32:35" ht="15.75" customHeight="1">
      <c r="AF319" s="127">
        <f t="shared" si="8"/>
        <v>0</v>
      </c>
      <c r="AG319" s="127" t="str">
        <f>IF(AA319=0,"",Calculator!$B$7)</f>
        <v/>
      </c>
      <c r="AH319" s="127" t="e">
        <f>(AF319/Calculator!$B$10)*Calculator!$B$9</f>
        <v>#DIV/0!</v>
      </c>
      <c r="AI319" s="126" t="str">
        <f t="shared" si="9"/>
        <v/>
      </c>
    </row>
    <row r="320" spans="32:35" ht="15.75" customHeight="1">
      <c r="AF320" s="127">
        <f t="shared" si="8"/>
        <v>0</v>
      </c>
      <c r="AG320" s="127" t="str">
        <f>IF(AA320=0,"",Calculator!$B$7)</f>
        <v/>
      </c>
      <c r="AH320" s="127" t="e">
        <f>(AF320/Calculator!$B$10)*Calculator!$B$9</f>
        <v>#DIV/0!</v>
      </c>
      <c r="AI320" s="126" t="str">
        <f t="shared" si="9"/>
        <v/>
      </c>
    </row>
    <row r="321" spans="32:35" ht="15.75" customHeight="1">
      <c r="AF321" s="127">
        <f t="shared" si="8"/>
        <v>0</v>
      </c>
      <c r="AG321" s="127" t="str">
        <f>IF(AA321=0,"",Calculator!$B$7)</f>
        <v/>
      </c>
      <c r="AH321" s="127" t="e">
        <f>(AF321/Calculator!$B$10)*Calculator!$B$9</f>
        <v>#DIV/0!</v>
      </c>
      <c r="AI321" s="126" t="str">
        <f t="shared" si="9"/>
        <v/>
      </c>
    </row>
    <row r="322" spans="32:35" ht="15.75" customHeight="1">
      <c r="AF322" s="127">
        <f t="shared" si="8"/>
        <v>0</v>
      </c>
      <c r="AG322" s="127" t="str">
        <f>IF(AA322=0,"",Calculator!$B$7)</f>
        <v/>
      </c>
      <c r="AH322" s="127" t="e">
        <f>(AF322/Calculator!$B$10)*Calculator!$B$9</f>
        <v>#DIV/0!</v>
      </c>
      <c r="AI322" s="126" t="str">
        <f t="shared" si="9"/>
        <v/>
      </c>
    </row>
    <row r="323" spans="32:35" ht="15.75" customHeight="1">
      <c r="AF323" s="127">
        <f t="shared" si="8"/>
        <v>0</v>
      </c>
      <c r="AG323" s="127" t="str">
        <f>IF(AA323=0,"",Calculator!$B$7)</f>
        <v/>
      </c>
      <c r="AH323" s="127" t="e">
        <f>(AF323/Calculator!$B$10)*Calculator!$B$9</f>
        <v>#DIV/0!</v>
      </c>
      <c r="AI323" s="126" t="str">
        <f t="shared" si="9"/>
        <v/>
      </c>
    </row>
    <row r="324" spans="32:35" ht="15.75" customHeight="1">
      <c r="AF324" s="127">
        <f t="shared" si="8"/>
        <v>0</v>
      </c>
      <c r="AG324" s="127" t="str">
        <f>IF(AA324=0,"",Calculator!$B$7)</f>
        <v/>
      </c>
      <c r="AH324" s="127" t="e">
        <f>(AF324/Calculator!$B$10)*Calculator!$B$9</f>
        <v>#DIV/0!</v>
      </c>
      <c r="AI324" s="126" t="str">
        <f t="shared" si="9"/>
        <v/>
      </c>
    </row>
    <row r="325" spans="32:35" ht="15.75" customHeight="1">
      <c r="AF325" s="127">
        <f t="shared" si="8"/>
        <v>0</v>
      </c>
      <c r="AG325" s="127" t="str">
        <f>IF(AA325=0,"",Calculator!$B$7)</f>
        <v/>
      </c>
      <c r="AH325" s="127" t="e">
        <f>(AF325/Calculator!$B$10)*Calculator!$B$9</f>
        <v>#DIV/0!</v>
      </c>
      <c r="AI325" s="126" t="str">
        <f t="shared" si="9"/>
        <v/>
      </c>
    </row>
    <row r="326" spans="32:35" ht="15.75" customHeight="1">
      <c r="AF326" s="127">
        <f t="shared" si="8"/>
        <v>0</v>
      </c>
      <c r="AG326" s="127" t="str">
        <f>IF(AA326=0,"",Calculator!$B$7)</f>
        <v/>
      </c>
      <c r="AH326" s="127" t="e">
        <f>(AF326/Calculator!$B$10)*Calculator!$B$9</f>
        <v>#DIV/0!</v>
      </c>
      <c r="AI326" s="126" t="str">
        <f t="shared" si="9"/>
        <v/>
      </c>
    </row>
    <row r="327" spans="32:35" ht="15.75" customHeight="1">
      <c r="AF327" s="127">
        <f t="shared" si="8"/>
        <v>0</v>
      </c>
      <c r="AG327" s="127" t="str">
        <f>IF(AA327=0,"",Calculator!$B$7)</f>
        <v/>
      </c>
      <c r="AH327" s="127" t="e">
        <f>(AF327/Calculator!$B$10)*Calculator!$B$9</f>
        <v>#DIV/0!</v>
      </c>
      <c r="AI327" s="126" t="str">
        <f t="shared" si="9"/>
        <v/>
      </c>
    </row>
    <row r="328" spans="32:35" ht="15.75" customHeight="1">
      <c r="AF328" s="127">
        <f t="shared" si="8"/>
        <v>0</v>
      </c>
      <c r="AG328" s="127" t="str">
        <f>IF(AA328=0,"",Calculator!$B$7)</f>
        <v/>
      </c>
      <c r="AH328" s="127" t="e">
        <f>(AF328/Calculator!$B$10)*Calculator!$B$9</f>
        <v>#DIV/0!</v>
      </c>
      <c r="AI328" s="126" t="str">
        <f t="shared" si="9"/>
        <v/>
      </c>
    </row>
    <row r="329" spans="32:35" ht="15.75" customHeight="1">
      <c r="AF329" s="127">
        <f t="shared" si="8"/>
        <v>0</v>
      </c>
      <c r="AG329" s="127" t="str">
        <f>IF(AA329=0,"",Calculator!$B$7)</f>
        <v/>
      </c>
      <c r="AH329" s="127" t="e">
        <f>(AF329/Calculator!$B$10)*Calculator!$B$9</f>
        <v>#DIV/0!</v>
      </c>
      <c r="AI329" s="126" t="str">
        <f t="shared" si="9"/>
        <v/>
      </c>
    </row>
    <row r="330" spans="32:35" ht="15.75" customHeight="1">
      <c r="AF330" s="127">
        <f t="shared" ref="AF330:AF393" si="10">IFERROR(AA330*AG330,0)</f>
        <v>0</v>
      </c>
      <c r="AG330" s="127" t="str">
        <f>IF(AA330=0,"",Calculator!$B$7)</f>
        <v/>
      </c>
      <c r="AH330" s="127" t="e">
        <f>(AF330/Calculator!$B$10)*Calculator!$B$9</f>
        <v>#DIV/0!</v>
      </c>
      <c r="AI330" s="126" t="str">
        <f t="shared" ref="AI330:AI393" si="11">IF(ISBLANK(AA330),"","RS Means")</f>
        <v/>
      </c>
    </row>
    <row r="331" spans="32:35" ht="15.75" customHeight="1">
      <c r="AF331" s="127">
        <f t="shared" si="10"/>
        <v>0</v>
      </c>
      <c r="AG331" s="127" t="str">
        <f>IF(AA331=0,"",Calculator!$B$7)</f>
        <v/>
      </c>
      <c r="AH331" s="127" t="e">
        <f>(AF331/Calculator!$B$10)*Calculator!$B$9</f>
        <v>#DIV/0!</v>
      </c>
      <c r="AI331" s="126" t="str">
        <f t="shared" si="11"/>
        <v/>
      </c>
    </row>
    <row r="332" spans="32:35" ht="15.75" customHeight="1">
      <c r="AF332" s="127">
        <f t="shared" si="10"/>
        <v>0</v>
      </c>
      <c r="AG332" s="127" t="str">
        <f>IF(AA332=0,"",Calculator!$B$7)</f>
        <v/>
      </c>
      <c r="AH332" s="127" t="e">
        <f>(AF332/Calculator!$B$10)*Calculator!$B$9</f>
        <v>#DIV/0!</v>
      </c>
      <c r="AI332" s="126" t="str">
        <f t="shared" si="11"/>
        <v/>
      </c>
    </row>
    <row r="333" spans="32:35" ht="15.75" customHeight="1">
      <c r="AF333" s="127">
        <f t="shared" si="10"/>
        <v>0</v>
      </c>
      <c r="AG333" s="127" t="str">
        <f>IF(AA333=0,"",Calculator!$B$7)</f>
        <v/>
      </c>
      <c r="AH333" s="127" t="e">
        <f>(AF333/Calculator!$B$10)*Calculator!$B$9</f>
        <v>#DIV/0!</v>
      </c>
      <c r="AI333" s="126" t="str">
        <f t="shared" si="11"/>
        <v/>
      </c>
    </row>
    <row r="334" spans="32:35" ht="15.75" customHeight="1">
      <c r="AF334" s="127">
        <f t="shared" si="10"/>
        <v>0</v>
      </c>
      <c r="AG334" s="127" t="str">
        <f>IF(AA334=0,"",Calculator!$B$7)</f>
        <v/>
      </c>
      <c r="AH334" s="127" t="e">
        <f>(AF334/Calculator!$B$10)*Calculator!$B$9</f>
        <v>#DIV/0!</v>
      </c>
      <c r="AI334" s="126" t="str">
        <f t="shared" si="11"/>
        <v/>
      </c>
    </row>
    <row r="335" spans="32:35" ht="15.75" customHeight="1">
      <c r="AF335" s="127">
        <f t="shared" si="10"/>
        <v>0</v>
      </c>
      <c r="AG335" s="127" t="str">
        <f>IF(AA335=0,"",Calculator!$B$7)</f>
        <v/>
      </c>
      <c r="AH335" s="127" t="e">
        <f>(AF335/Calculator!$B$10)*Calculator!$B$9</f>
        <v>#DIV/0!</v>
      </c>
      <c r="AI335" s="126" t="str">
        <f t="shared" si="11"/>
        <v/>
      </c>
    </row>
    <row r="336" spans="32:35" ht="15.75" customHeight="1">
      <c r="AF336" s="127">
        <f t="shared" si="10"/>
        <v>0</v>
      </c>
      <c r="AG336" s="127" t="str">
        <f>IF(AA336=0,"",Calculator!$B$7)</f>
        <v/>
      </c>
      <c r="AH336" s="127" t="e">
        <f>(AF336/Calculator!$B$10)*Calculator!$B$9</f>
        <v>#DIV/0!</v>
      </c>
      <c r="AI336" s="126" t="str">
        <f t="shared" si="11"/>
        <v/>
      </c>
    </row>
    <row r="337" spans="32:35" ht="15.75" customHeight="1">
      <c r="AF337" s="127">
        <f t="shared" si="10"/>
        <v>0</v>
      </c>
      <c r="AG337" s="127" t="str">
        <f>IF(AA337=0,"",Calculator!$B$7)</f>
        <v/>
      </c>
      <c r="AH337" s="127" t="e">
        <f>(AF337/Calculator!$B$10)*Calculator!$B$9</f>
        <v>#DIV/0!</v>
      </c>
      <c r="AI337" s="126" t="str">
        <f t="shared" si="11"/>
        <v/>
      </c>
    </row>
    <row r="338" spans="32:35" ht="15.75" customHeight="1">
      <c r="AF338" s="127">
        <f t="shared" si="10"/>
        <v>0</v>
      </c>
      <c r="AG338" s="127" t="str">
        <f>IF(AA338=0,"",Calculator!$B$7)</f>
        <v/>
      </c>
      <c r="AH338" s="127" t="e">
        <f>(AF338/Calculator!$B$10)*Calculator!$B$9</f>
        <v>#DIV/0!</v>
      </c>
      <c r="AI338" s="126" t="str">
        <f t="shared" si="11"/>
        <v/>
      </c>
    </row>
    <row r="339" spans="32:35" ht="15.75" customHeight="1">
      <c r="AF339" s="127">
        <f t="shared" si="10"/>
        <v>0</v>
      </c>
      <c r="AG339" s="127" t="str">
        <f>IF(AA339=0,"",Calculator!$B$7)</f>
        <v/>
      </c>
      <c r="AH339" s="127" t="e">
        <f>(AF339/Calculator!$B$10)*Calculator!$B$9</f>
        <v>#DIV/0!</v>
      </c>
      <c r="AI339" s="126" t="str">
        <f t="shared" si="11"/>
        <v/>
      </c>
    </row>
    <row r="340" spans="32:35" ht="15.75" customHeight="1">
      <c r="AF340" s="127">
        <f t="shared" si="10"/>
        <v>0</v>
      </c>
      <c r="AG340" s="127" t="str">
        <f>IF(AA340=0,"",Calculator!$B$7)</f>
        <v/>
      </c>
      <c r="AH340" s="127" t="e">
        <f>(AF340/Calculator!$B$10)*Calculator!$B$9</f>
        <v>#DIV/0!</v>
      </c>
      <c r="AI340" s="126" t="str">
        <f t="shared" si="11"/>
        <v/>
      </c>
    </row>
    <row r="341" spans="32:35" ht="15.75" customHeight="1">
      <c r="AF341" s="127">
        <f t="shared" si="10"/>
        <v>0</v>
      </c>
      <c r="AG341" s="127" t="str">
        <f>IF(AA341=0,"",Calculator!$B$7)</f>
        <v/>
      </c>
      <c r="AH341" s="127" t="e">
        <f>(AF341/Calculator!$B$10)*Calculator!$B$9</f>
        <v>#DIV/0!</v>
      </c>
      <c r="AI341" s="126" t="str">
        <f t="shared" si="11"/>
        <v/>
      </c>
    </row>
    <row r="342" spans="32:35" ht="15.75" customHeight="1">
      <c r="AF342" s="127">
        <f t="shared" si="10"/>
        <v>0</v>
      </c>
      <c r="AG342" s="127" t="str">
        <f>IF(AA342=0,"",Calculator!$B$7)</f>
        <v/>
      </c>
      <c r="AH342" s="127" t="e">
        <f>(AF342/Calculator!$B$10)*Calculator!$B$9</f>
        <v>#DIV/0!</v>
      </c>
      <c r="AI342" s="126" t="str">
        <f t="shared" si="11"/>
        <v/>
      </c>
    </row>
    <row r="343" spans="32:35" ht="15.75" customHeight="1">
      <c r="AF343" s="127">
        <f t="shared" si="10"/>
        <v>0</v>
      </c>
      <c r="AG343" s="127" t="str">
        <f>IF(AA343=0,"",Calculator!$B$7)</f>
        <v/>
      </c>
      <c r="AH343" s="127" t="e">
        <f>(AF343/Calculator!$B$10)*Calculator!$B$9</f>
        <v>#DIV/0!</v>
      </c>
      <c r="AI343" s="126" t="str">
        <f t="shared" si="11"/>
        <v/>
      </c>
    </row>
    <row r="344" spans="32:35" ht="15.75" customHeight="1">
      <c r="AF344" s="127">
        <f t="shared" si="10"/>
        <v>0</v>
      </c>
      <c r="AG344" s="127" t="str">
        <f>IF(AA344=0,"",Calculator!$B$7)</f>
        <v/>
      </c>
      <c r="AH344" s="127" t="e">
        <f>(AF344/Calculator!$B$10)*Calculator!$B$9</f>
        <v>#DIV/0!</v>
      </c>
      <c r="AI344" s="126" t="str">
        <f t="shared" si="11"/>
        <v/>
      </c>
    </row>
    <row r="345" spans="32:35" ht="15.75" customHeight="1">
      <c r="AF345" s="127">
        <f t="shared" si="10"/>
        <v>0</v>
      </c>
      <c r="AG345" s="127" t="str">
        <f>IF(AA345=0,"",Calculator!$B$7)</f>
        <v/>
      </c>
      <c r="AH345" s="127" t="e">
        <f>(AF345/Calculator!$B$10)*Calculator!$B$9</f>
        <v>#DIV/0!</v>
      </c>
      <c r="AI345" s="126" t="str">
        <f t="shared" si="11"/>
        <v/>
      </c>
    </row>
    <row r="346" spans="32:35" ht="15.75" customHeight="1">
      <c r="AF346" s="127">
        <f t="shared" si="10"/>
        <v>0</v>
      </c>
      <c r="AG346" s="127" t="str">
        <f>IF(AA346=0,"",Calculator!$B$7)</f>
        <v/>
      </c>
      <c r="AH346" s="127" t="e">
        <f>(AF346/Calculator!$B$10)*Calculator!$B$9</f>
        <v>#DIV/0!</v>
      </c>
      <c r="AI346" s="126" t="str">
        <f t="shared" si="11"/>
        <v/>
      </c>
    </row>
    <row r="347" spans="32:35" ht="15.75" customHeight="1">
      <c r="AF347" s="127">
        <f t="shared" si="10"/>
        <v>0</v>
      </c>
      <c r="AG347" s="127" t="str">
        <f>IF(AA347=0,"",Calculator!$B$7)</f>
        <v/>
      </c>
      <c r="AH347" s="127" t="e">
        <f>(AF347/Calculator!$B$10)*Calculator!$B$9</f>
        <v>#DIV/0!</v>
      </c>
      <c r="AI347" s="126" t="str">
        <f t="shared" si="11"/>
        <v/>
      </c>
    </row>
    <row r="348" spans="32:35" ht="15.75" customHeight="1">
      <c r="AF348" s="127">
        <f t="shared" si="10"/>
        <v>0</v>
      </c>
      <c r="AG348" s="127" t="str">
        <f>IF(AA348=0,"",Calculator!$B$7)</f>
        <v/>
      </c>
      <c r="AH348" s="127" t="e">
        <f>(AF348/Calculator!$B$10)*Calculator!$B$9</f>
        <v>#DIV/0!</v>
      </c>
      <c r="AI348" s="126" t="str">
        <f t="shared" si="11"/>
        <v/>
      </c>
    </row>
    <row r="349" spans="32:35" ht="15.75" customHeight="1">
      <c r="AF349" s="127">
        <f t="shared" si="10"/>
        <v>0</v>
      </c>
      <c r="AG349" s="127" t="str">
        <f>IF(AA349=0,"",Calculator!$B$7)</f>
        <v/>
      </c>
      <c r="AH349" s="127" t="e">
        <f>(AF349/Calculator!$B$10)*Calculator!$B$9</f>
        <v>#DIV/0!</v>
      </c>
      <c r="AI349" s="126" t="str">
        <f t="shared" si="11"/>
        <v/>
      </c>
    </row>
    <row r="350" spans="32:35" ht="15.75" customHeight="1">
      <c r="AF350" s="127">
        <f t="shared" si="10"/>
        <v>0</v>
      </c>
      <c r="AG350" s="127" t="str">
        <f>IF(AA350=0,"",Calculator!$B$7)</f>
        <v/>
      </c>
      <c r="AH350" s="127" t="e">
        <f>(AF350/Calculator!$B$10)*Calculator!$B$9</f>
        <v>#DIV/0!</v>
      </c>
      <c r="AI350" s="126" t="str">
        <f t="shared" si="11"/>
        <v/>
      </c>
    </row>
    <row r="351" spans="32:35" ht="15.75" customHeight="1">
      <c r="AF351" s="127">
        <f t="shared" si="10"/>
        <v>0</v>
      </c>
      <c r="AG351" s="127" t="str">
        <f>IF(AA351=0,"",Calculator!$B$7)</f>
        <v/>
      </c>
      <c r="AH351" s="127" t="e">
        <f>(AF351/Calculator!$B$10)*Calculator!$B$9</f>
        <v>#DIV/0!</v>
      </c>
      <c r="AI351" s="126" t="str">
        <f t="shared" si="11"/>
        <v/>
      </c>
    </row>
    <row r="352" spans="32:35" ht="15.75" customHeight="1">
      <c r="AF352" s="127">
        <f t="shared" si="10"/>
        <v>0</v>
      </c>
      <c r="AG352" s="127" t="str">
        <f>IF(AA352=0,"",Calculator!$B$7)</f>
        <v/>
      </c>
      <c r="AH352" s="127" t="e">
        <f>(AF352/Calculator!$B$10)*Calculator!$B$9</f>
        <v>#DIV/0!</v>
      </c>
      <c r="AI352" s="126" t="str">
        <f t="shared" si="11"/>
        <v/>
      </c>
    </row>
    <row r="353" spans="32:35" ht="15.75" customHeight="1">
      <c r="AF353" s="127">
        <f t="shared" si="10"/>
        <v>0</v>
      </c>
      <c r="AG353" s="127" t="str">
        <f>IF(AA353=0,"",Calculator!$B$7)</f>
        <v/>
      </c>
      <c r="AH353" s="127" t="e">
        <f>(AF353/Calculator!$B$10)*Calculator!$B$9</f>
        <v>#DIV/0!</v>
      </c>
      <c r="AI353" s="126" t="str">
        <f t="shared" si="11"/>
        <v/>
      </c>
    </row>
    <row r="354" spans="32:35" ht="15.75" customHeight="1">
      <c r="AF354" s="127">
        <f t="shared" si="10"/>
        <v>0</v>
      </c>
      <c r="AG354" s="127" t="str">
        <f>IF(AA354=0,"",Calculator!$B$7)</f>
        <v/>
      </c>
      <c r="AH354" s="127" t="e">
        <f>(AF354/Calculator!$B$10)*Calculator!$B$9</f>
        <v>#DIV/0!</v>
      </c>
      <c r="AI354" s="126" t="str">
        <f t="shared" si="11"/>
        <v/>
      </c>
    </row>
    <row r="355" spans="32:35" ht="15.75" customHeight="1">
      <c r="AF355" s="127">
        <f t="shared" si="10"/>
        <v>0</v>
      </c>
      <c r="AG355" s="127" t="str">
        <f>IF(AA355=0,"",Calculator!$B$7)</f>
        <v/>
      </c>
      <c r="AH355" s="127" t="e">
        <f>(AF355/Calculator!$B$10)*Calculator!$B$9</f>
        <v>#DIV/0!</v>
      </c>
      <c r="AI355" s="126" t="str">
        <f t="shared" si="11"/>
        <v/>
      </c>
    </row>
    <row r="356" spans="32:35" ht="15.75" customHeight="1">
      <c r="AF356" s="127">
        <f t="shared" si="10"/>
        <v>0</v>
      </c>
      <c r="AG356" s="127" t="str">
        <f>IF(AA356=0,"",Calculator!$B$7)</f>
        <v/>
      </c>
      <c r="AH356" s="127" t="e">
        <f>(AF356/Calculator!$B$10)*Calculator!$B$9</f>
        <v>#DIV/0!</v>
      </c>
      <c r="AI356" s="126" t="str">
        <f t="shared" si="11"/>
        <v/>
      </c>
    </row>
    <row r="357" spans="32:35" ht="15.75" customHeight="1">
      <c r="AF357" s="127">
        <f t="shared" si="10"/>
        <v>0</v>
      </c>
      <c r="AG357" s="127" t="str">
        <f>IF(AA357=0,"",Calculator!$B$7)</f>
        <v/>
      </c>
      <c r="AH357" s="127" t="e">
        <f>(AF357/Calculator!$B$10)*Calculator!$B$9</f>
        <v>#DIV/0!</v>
      </c>
      <c r="AI357" s="126" t="str">
        <f t="shared" si="11"/>
        <v/>
      </c>
    </row>
    <row r="358" spans="32:35" ht="15.75" customHeight="1">
      <c r="AF358" s="127">
        <f t="shared" si="10"/>
        <v>0</v>
      </c>
      <c r="AG358" s="127" t="str">
        <f>IF(AA358=0,"",Calculator!$B$7)</f>
        <v/>
      </c>
      <c r="AH358" s="127" t="e">
        <f>(AF358/Calculator!$B$10)*Calculator!$B$9</f>
        <v>#DIV/0!</v>
      </c>
      <c r="AI358" s="126" t="str">
        <f t="shared" si="11"/>
        <v/>
      </c>
    </row>
    <row r="359" spans="32:35" ht="15.75" customHeight="1">
      <c r="AF359" s="127">
        <f t="shared" si="10"/>
        <v>0</v>
      </c>
      <c r="AG359" s="127" t="str">
        <f>IF(AA359=0,"",Calculator!$B$7)</f>
        <v/>
      </c>
      <c r="AH359" s="127" t="e">
        <f>(AF359/Calculator!$B$10)*Calculator!$B$9</f>
        <v>#DIV/0!</v>
      </c>
      <c r="AI359" s="126" t="str">
        <f t="shared" si="11"/>
        <v/>
      </c>
    </row>
    <row r="360" spans="32:35" ht="15.75" customHeight="1">
      <c r="AF360" s="127">
        <f t="shared" si="10"/>
        <v>0</v>
      </c>
      <c r="AG360" s="127" t="str">
        <f>IF(AA360=0,"",Calculator!$B$7)</f>
        <v/>
      </c>
      <c r="AH360" s="127" t="e">
        <f>(AF360/Calculator!$B$10)*Calculator!$B$9</f>
        <v>#DIV/0!</v>
      </c>
      <c r="AI360" s="126" t="str">
        <f t="shared" si="11"/>
        <v/>
      </c>
    </row>
    <row r="361" spans="32:35" ht="15.75" customHeight="1">
      <c r="AF361" s="127">
        <f t="shared" si="10"/>
        <v>0</v>
      </c>
      <c r="AG361" s="127" t="str">
        <f>IF(AA361=0,"",Calculator!$B$7)</f>
        <v/>
      </c>
      <c r="AH361" s="127" t="e">
        <f>(AF361/Calculator!$B$10)*Calculator!$B$9</f>
        <v>#DIV/0!</v>
      </c>
      <c r="AI361" s="126" t="str">
        <f t="shared" si="11"/>
        <v/>
      </c>
    </row>
    <row r="362" spans="32:35" ht="15.75" customHeight="1">
      <c r="AF362" s="127">
        <f t="shared" si="10"/>
        <v>0</v>
      </c>
      <c r="AG362" s="127" t="str">
        <f>IF(AA362=0,"",Calculator!$B$7)</f>
        <v/>
      </c>
      <c r="AH362" s="127" t="e">
        <f>(AF362/Calculator!$B$10)*Calculator!$B$9</f>
        <v>#DIV/0!</v>
      </c>
      <c r="AI362" s="126" t="str">
        <f t="shared" si="11"/>
        <v/>
      </c>
    </row>
    <row r="363" spans="32:35" ht="15.75" customHeight="1">
      <c r="AF363" s="127">
        <f t="shared" si="10"/>
        <v>0</v>
      </c>
      <c r="AG363" s="127" t="str">
        <f>IF(AA363=0,"",Calculator!$B$7)</f>
        <v/>
      </c>
      <c r="AH363" s="127" t="e">
        <f>(AF363/Calculator!$B$10)*Calculator!$B$9</f>
        <v>#DIV/0!</v>
      </c>
      <c r="AI363" s="126" t="str">
        <f t="shared" si="11"/>
        <v/>
      </c>
    </row>
    <row r="364" spans="32:35" ht="15.75" customHeight="1">
      <c r="AF364" s="127">
        <f t="shared" si="10"/>
        <v>0</v>
      </c>
      <c r="AG364" s="127" t="str">
        <f>IF(AA364=0,"",Calculator!$B$7)</f>
        <v/>
      </c>
      <c r="AH364" s="127" t="e">
        <f>(AF364/Calculator!$B$10)*Calculator!$B$9</f>
        <v>#DIV/0!</v>
      </c>
      <c r="AI364" s="126" t="str">
        <f t="shared" si="11"/>
        <v/>
      </c>
    </row>
    <row r="365" spans="32:35" ht="15.75" customHeight="1">
      <c r="AF365" s="127">
        <f t="shared" si="10"/>
        <v>0</v>
      </c>
      <c r="AG365" s="127" t="str">
        <f>IF(AA365=0,"",Calculator!$B$7)</f>
        <v/>
      </c>
      <c r="AH365" s="127" t="e">
        <f>(AF365/Calculator!$B$10)*Calculator!$B$9</f>
        <v>#DIV/0!</v>
      </c>
      <c r="AI365" s="126" t="str">
        <f t="shared" si="11"/>
        <v/>
      </c>
    </row>
    <row r="366" spans="32:35" ht="15.75" customHeight="1">
      <c r="AF366" s="127">
        <f t="shared" si="10"/>
        <v>0</v>
      </c>
      <c r="AG366" s="127" t="str">
        <f>IF(AA366=0,"",Calculator!$B$7)</f>
        <v/>
      </c>
      <c r="AH366" s="127" t="e">
        <f>(AF366/Calculator!$B$10)*Calculator!$B$9</f>
        <v>#DIV/0!</v>
      </c>
      <c r="AI366" s="126" t="str">
        <f t="shared" si="11"/>
        <v/>
      </c>
    </row>
    <row r="367" spans="32:35" ht="15.75" customHeight="1">
      <c r="AF367" s="127">
        <f t="shared" si="10"/>
        <v>0</v>
      </c>
      <c r="AG367" s="127" t="str">
        <f>IF(AA367=0,"",Calculator!$B$7)</f>
        <v/>
      </c>
      <c r="AH367" s="127" t="e">
        <f>(AF367/Calculator!$B$10)*Calculator!$B$9</f>
        <v>#DIV/0!</v>
      </c>
      <c r="AI367" s="126" t="str">
        <f t="shared" si="11"/>
        <v/>
      </c>
    </row>
    <row r="368" spans="32:35" ht="15.75" customHeight="1">
      <c r="AF368" s="127">
        <f t="shared" si="10"/>
        <v>0</v>
      </c>
      <c r="AG368" s="127" t="str">
        <f>IF(AA368=0,"",Calculator!$B$7)</f>
        <v/>
      </c>
      <c r="AH368" s="127" t="e">
        <f>(AF368/Calculator!$B$10)*Calculator!$B$9</f>
        <v>#DIV/0!</v>
      </c>
      <c r="AI368" s="126" t="str">
        <f t="shared" si="11"/>
        <v/>
      </c>
    </row>
    <row r="369" spans="32:35" ht="15.75" customHeight="1">
      <c r="AF369" s="127">
        <f t="shared" si="10"/>
        <v>0</v>
      </c>
      <c r="AG369" s="127" t="str">
        <f>IF(AA369=0,"",Calculator!$B$7)</f>
        <v/>
      </c>
      <c r="AH369" s="127" t="e">
        <f>(AF369/Calculator!$B$10)*Calculator!$B$9</f>
        <v>#DIV/0!</v>
      </c>
      <c r="AI369" s="126" t="str">
        <f t="shared" si="11"/>
        <v/>
      </c>
    </row>
    <row r="370" spans="32:35" ht="15.75" customHeight="1">
      <c r="AF370" s="127">
        <f t="shared" si="10"/>
        <v>0</v>
      </c>
      <c r="AG370" s="127" t="str">
        <f>IF(AA370=0,"",Calculator!$B$7)</f>
        <v/>
      </c>
      <c r="AH370" s="127" t="e">
        <f>(AF370/Calculator!$B$10)*Calculator!$B$9</f>
        <v>#DIV/0!</v>
      </c>
      <c r="AI370" s="126" t="str">
        <f t="shared" si="11"/>
        <v/>
      </c>
    </row>
    <row r="371" spans="32:35" ht="15.75" customHeight="1">
      <c r="AF371" s="127">
        <f t="shared" si="10"/>
        <v>0</v>
      </c>
      <c r="AG371" s="127" t="str">
        <f>IF(AA371=0,"",Calculator!$B$7)</f>
        <v/>
      </c>
      <c r="AH371" s="127" t="e">
        <f>(AF371/Calculator!$B$10)*Calculator!$B$9</f>
        <v>#DIV/0!</v>
      </c>
      <c r="AI371" s="126" t="str">
        <f t="shared" si="11"/>
        <v/>
      </c>
    </row>
    <row r="372" spans="32:35" ht="15.75" customHeight="1">
      <c r="AF372" s="127">
        <f t="shared" si="10"/>
        <v>0</v>
      </c>
      <c r="AG372" s="127" t="str">
        <f>IF(AA372=0,"",Calculator!$B$7)</f>
        <v/>
      </c>
      <c r="AH372" s="127" t="e">
        <f>(AF372/Calculator!$B$10)*Calculator!$B$9</f>
        <v>#DIV/0!</v>
      </c>
      <c r="AI372" s="126" t="str">
        <f t="shared" si="11"/>
        <v/>
      </c>
    </row>
    <row r="373" spans="32:35" ht="15.75" customHeight="1">
      <c r="AF373" s="127">
        <f t="shared" si="10"/>
        <v>0</v>
      </c>
      <c r="AG373" s="127" t="str">
        <f>IF(AA373=0,"",Calculator!$B$7)</f>
        <v/>
      </c>
      <c r="AH373" s="127" t="e">
        <f>(AF373/Calculator!$B$10)*Calculator!$B$9</f>
        <v>#DIV/0!</v>
      </c>
      <c r="AI373" s="126" t="str">
        <f t="shared" si="11"/>
        <v/>
      </c>
    </row>
    <row r="374" spans="32:35" ht="15.75" customHeight="1">
      <c r="AF374" s="127">
        <f t="shared" si="10"/>
        <v>0</v>
      </c>
      <c r="AG374" s="127" t="str">
        <f>IF(AA374=0,"",Calculator!$B$7)</f>
        <v/>
      </c>
      <c r="AH374" s="127" t="e">
        <f>(AF374/Calculator!$B$10)*Calculator!$B$9</f>
        <v>#DIV/0!</v>
      </c>
      <c r="AI374" s="126" t="str">
        <f t="shared" si="11"/>
        <v/>
      </c>
    </row>
    <row r="375" spans="32:35" ht="15.75" customHeight="1">
      <c r="AF375" s="127">
        <f t="shared" si="10"/>
        <v>0</v>
      </c>
      <c r="AG375" s="127" t="str">
        <f>IF(AA375=0,"",Calculator!$B$7)</f>
        <v/>
      </c>
      <c r="AH375" s="127" t="e">
        <f>(AF375/Calculator!$B$10)*Calculator!$B$9</f>
        <v>#DIV/0!</v>
      </c>
      <c r="AI375" s="126" t="str">
        <f t="shared" si="11"/>
        <v/>
      </c>
    </row>
    <row r="376" spans="32:35" ht="15.75" customHeight="1">
      <c r="AF376" s="127">
        <f t="shared" si="10"/>
        <v>0</v>
      </c>
      <c r="AG376" s="127" t="str">
        <f>IF(AA376=0,"",Calculator!$B$7)</f>
        <v/>
      </c>
      <c r="AH376" s="127" t="e">
        <f>(AF376/Calculator!$B$10)*Calculator!$B$9</f>
        <v>#DIV/0!</v>
      </c>
      <c r="AI376" s="126" t="str">
        <f t="shared" si="11"/>
        <v/>
      </c>
    </row>
    <row r="377" spans="32:35" ht="15.75" customHeight="1">
      <c r="AF377" s="127">
        <f t="shared" si="10"/>
        <v>0</v>
      </c>
      <c r="AG377" s="127" t="str">
        <f>IF(AA377=0,"",Calculator!$B$7)</f>
        <v/>
      </c>
      <c r="AH377" s="127" t="e">
        <f>(AF377/Calculator!$B$10)*Calculator!$B$9</f>
        <v>#DIV/0!</v>
      </c>
      <c r="AI377" s="126" t="str">
        <f t="shared" si="11"/>
        <v/>
      </c>
    </row>
    <row r="378" spans="32:35" ht="15.75" customHeight="1">
      <c r="AF378" s="127">
        <f t="shared" si="10"/>
        <v>0</v>
      </c>
      <c r="AG378" s="127" t="str">
        <f>IF(AA378=0,"",Calculator!$B$7)</f>
        <v/>
      </c>
      <c r="AH378" s="127" t="e">
        <f>(AF378/Calculator!$B$10)*Calculator!$B$9</f>
        <v>#DIV/0!</v>
      </c>
      <c r="AI378" s="126" t="str">
        <f t="shared" si="11"/>
        <v/>
      </c>
    </row>
    <row r="379" spans="32:35" ht="15.75" customHeight="1">
      <c r="AF379" s="127">
        <f t="shared" si="10"/>
        <v>0</v>
      </c>
      <c r="AG379" s="127" t="str">
        <f>IF(AA379=0,"",Calculator!$B$7)</f>
        <v/>
      </c>
      <c r="AH379" s="127" t="e">
        <f>(AF379/Calculator!$B$10)*Calculator!$B$9</f>
        <v>#DIV/0!</v>
      </c>
      <c r="AI379" s="126" t="str">
        <f t="shared" si="11"/>
        <v/>
      </c>
    </row>
    <row r="380" spans="32:35" ht="15.75" customHeight="1">
      <c r="AF380" s="127">
        <f t="shared" si="10"/>
        <v>0</v>
      </c>
      <c r="AG380" s="127" t="str">
        <f>IF(AA380=0,"",Calculator!$B$7)</f>
        <v/>
      </c>
      <c r="AH380" s="127" t="e">
        <f>(AF380/Calculator!$B$10)*Calculator!$B$9</f>
        <v>#DIV/0!</v>
      </c>
      <c r="AI380" s="126" t="str">
        <f t="shared" si="11"/>
        <v/>
      </c>
    </row>
    <row r="381" spans="32:35" ht="15.75" customHeight="1">
      <c r="AF381" s="127">
        <f t="shared" si="10"/>
        <v>0</v>
      </c>
      <c r="AG381" s="127" t="str">
        <f>IF(AA381=0,"",Calculator!$B$7)</f>
        <v/>
      </c>
      <c r="AH381" s="127" t="e">
        <f>(AF381/Calculator!$B$10)*Calculator!$B$9</f>
        <v>#DIV/0!</v>
      </c>
      <c r="AI381" s="126" t="str">
        <f t="shared" si="11"/>
        <v/>
      </c>
    </row>
    <row r="382" spans="32:35" ht="15.75" customHeight="1">
      <c r="AF382" s="127">
        <f t="shared" si="10"/>
        <v>0</v>
      </c>
      <c r="AG382" s="127" t="str">
        <f>IF(AA382=0,"",Calculator!$B$7)</f>
        <v/>
      </c>
      <c r="AH382" s="127" t="e">
        <f>(AF382/Calculator!$B$10)*Calculator!$B$9</f>
        <v>#DIV/0!</v>
      </c>
      <c r="AI382" s="126" t="str">
        <f t="shared" si="11"/>
        <v/>
      </c>
    </row>
    <row r="383" spans="32:35" ht="15.75" customHeight="1">
      <c r="AF383" s="127">
        <f t="shared" si="10"/>
        <v>0</v>
      </c>
      <c r="AG383" s="127" t="str">
        <f>IF(AA383=0,"",Calculator!$B$7)</f>
        <v/>
      </c>
      <c r="AH383" s="127" t="e">
        <f>(AF383/Calculator!$B$10)*Calculator!$B$9</f>
        <v>#DIV/0!</v>
      </c>
      <c r="AI383" s="126" t="str">
        <f t="shared" si="11"/>
        <v/>
      </c>
    </row>
    <row r="384" spans="32:35" ht="15.75" customHeight="1">
      <c r="AF384" s="127">
        <f t="shared" si="10"/>
        <v>0</v>
      </c>
      <c r="AG384" s="127" t="str">
        <f>IF(AA384=0,"",Calculator!$B$7)</f>
        <v/>
      </c>
      <c r="AH384" s="127" t="e">
        <f>(AF384/Calculator!$B$10)*Calculator!$B$9</f>
        <v>#DIV/0!</v>
      </c>
      <c r="AI384" s="126" t="str">
        <f t="shared" si="11"/>
        <v/>
      </c>
    </row>
    <row r="385" spans="32:35" ht="15.75" customHeight="1">
      <c r="AF385" s="127">
        <f t="shared" si="10"/>
        <v>0</v>
      </c>
      <c r="AG385" s="127" t="str">
        <f>IF(AA385=0,"",Calculator!$B$7)</f>
        <v/>
      </c>
      <c r="AH385" s="127" t="e">
        <f>(AF385/Calculator!$B$10)*Calculator!$B$9</f>
        <v>#DIV/0!</v>
      </c>
      <c r="AI385" s="126" t="str">
        <f t="shared" si="11"/>
        <v/>
      </c>
    </row>
    <row r="386" spans="32:35" ht="15.75" customHeight="1">
      <c r="AF386" s="127">
        <f t="shared" si="10"/>
        <v>0</v>
      </c>
      <c r="AG386" s="127" t="str">
        <f>IF(AA386=0,"",Calculator!$B$7)</f>
        <v/>
      </c>
      <c r="AH386" s="127" t="e">
        <f>(AF386/Calculator!$B$10)*Calculator!$B$9</f>
        <v>#DIV/0!</v>
      </c>
      <c r="AI386" s="126" t="str">
        <f t="shared" si="11"/>
        <v/>
      </c>
    </row>
    <row r="387" spans="32:35" ht="15.75" customHeight="1">
      <c r="AF387" s="127">
        <f t="shared" si="10"/>
        <v>0</v>
      </c>
      <c r="AG387" s="127" t="str">
        <f>IF(AA387=0,"",Calculator!$B$7)</f>
        <v/>
      </c>
      <c r="AH387" s="127" t="e">
        <f>(AF387/Calculator!$B$10)*Calculator!$B$9</f>
        <v>#DIV/0!</v>
      </c>
      <c r="AI387" s="126" t="str">
        <f t="shared" si="11"/>
        <v/>
      </c>
    </row>
    <row r="388" spans="32:35" ht="15.75" customHeight="1">
      <c r="AF388" s="127">
        <f t="shared" si="10"/>
        <v>0</v>
      </c>
      <c r="AG388" s="127" t="str">
        <f>IF(AA388=0,"",Calculator!$B$7)</f>
        <v/>
      </c>
      <c r="AH388" s="127" t="e">
        <f>(AF388/Calculator!$B$10)*Calculator!$B$9</f>
        <v>#DIV/0!</v>
      </c>
      <c r="AI388" s="126" t="str">
        <f t="shared" si="11"/>
        <v/>
      </c>
    </row>
    <row r="389" spans="32:35" ht="15.75" customHeight="1">
      <c r="AF389" s="127">
        <f t="shared" si="10"/>
        <v>0</v>
      </c>
      <c r="AG389" s="127" t="str">
        <f>IF(AA389=0,"",Calculator!$B$7)</f>
        <v/>
      </c>
      <c r="AH389" s="127" t="e">
        <f>(AF389/Calculator!$B$10)*Calculator!$B$9</f>
        <v>#DIV/0!</v>
      </c>
      <c r="AI389" s="126" t="str">
        <f t="shared" si="11"/>
        <v/>
      </c>
    </row>
    <row r="390" spans="32:35" ht="15.75" customHeight="1">
      <c r="AF390" s="127">
        <f t="shared" si="10"/>
        <v>0</v>
      </c>
      <c r="AG390" s="127" t="str">
        <f>IF(AA390=0,"",Calculator!$B$7)</f>
        <v/>
      </c>
      <c r="AH390" s="127" t="e">
        <f>(AF390/Calculator!$B$10)*Calculator!$B$9</f>
        <v>#DIV/0!</v>
      </c>
      <c r="AI390" s="126" t="str">
        <f t="shared" si="11"/>
        <v/>
      </c>
    </row>
    <row r="391" spans="32:35" ht="15.75" customHeight="1">
      <c r="AF391" s="127">
        <f t="shared" si="10"/>
        <v>0</v>
      </c>
      <c r="AG391" s="127" t="str">
        <f>IF(AA391=0,"",Calculator!$B$7)</f>
        <v/>
      </c>
      <c r="AH391" s="127" t="e">
        <f>(AF391/Calculator!$B$10)*Calculator!$B$9</f>
        <v>#DIV/0!</v>
      </c>
      <c r="AI391" s="126" t="str">
        <f t="shared" si="11"/>
        <v/>
      </c>
    </row>
    <row r="392" spans="32:35" ht="15.75" customHeight="1">
      <c r="AF392" s="127">
        <f t="shared" si="10"/>
        <v>0</v>
      </c>
      <c r="AG392" s="127" t="str">
        <f>IF(AA392=0,"",Calculator!$B$7)</f>
        <v/>
      </c>
      <c r="AH392" s="127" t="e">
        <f>(AF392/Calculator!$B$10)*Calculator!$B$9</f>
        <v>#DIV/0!</v>
      </c>
      <c r="AI392" s="126" t="str">
        <f t="shared" si="11"/>
        <v/>
      </c>
    </row>
    <row r="393" spans="32:35" ht="15.75" customHeight="1">
      <c r="AF393" s="127">
        <f t="shared" si="10"/>
        <v>0</v>
      </c>
      <c r="AG393" s="127" t="str">
        <f>IF(AA393=0,"",Calculator!$B$7)</f>
        <v/>
      </c>
      <c r="AH393" s="127" t="e">
        <f>(AF393/Calculator!$B$10)*Calculator!$B$9</f>
        <v>#DIV/0!</v>
      </c>
      <c r="AI393" s="126" t="str">
        <f t="shared" si="11"/>
        <v/>
      </c>
    </row>
    <row r="394" spans="32:35" ht="15.75" customHeight="1">
      <c r="AF394" s="127">
        <f t="shared" ref="AF394:AF457" si="12">IFERROR(AA394*AG394,0)</f>
        <v>0</v>
      </c>
      <c r="AG394" s="127" t="str">
        <f>IF(AA394=0,"",Calculator!$B$7)</f>
        <v/>
      </c>
      <c r="AH394" s="127" t="e">
        <f>(AF394/Calculator!$B$10)*Calculator!$B$9</f>
        <v>#DIV/0!</v>
      </c>
      <c r="AI394" s="126" t="str">
        <f t="shared" ref="AI394:AI457" si="13">IF(ISBLANK(AA394),"","RS Means")</f>
        <v/>
      </c>
    </row>
    <row r="395" spans="32:35" ht="15.75" customHeight="1">
      <c r="AF395" s="127">
        <f t="shared" si="12"/>
        <v>0</v>
      </c>
      <c r="AG395" s="127" t="str">
        <f>IF(AA395=0,"",Calculator!$B$7)</f>
        <v/>
      </c>
      <c r="AH395" s="127" t="e">
        <f>(AF395/Calculator!$B$10)*Calculator!$B$9</f>
        <v>#DIV/0!</v>
      </c>
      <c r="AI395" s="126" t="str">
        <f t="shared" si="13"/>
        <v/>
      </c>
    </row>
    <row r="396" spans="32:35" ht="15.75" customHeight="1">
      <c r="AF396" s="127">
        <f t="shared" si="12"/>
        <v>0</v>
      </c>
      <c r="AG396" s="127" t="str">
        <f>IF(AA396=0,"",Calculator!$B$7)</f>
        <v/>
      </c>
      <c r="AH396" s="127" t="e">
        <f>(AF396/Calculator!$B$10)*Calculator!$B$9</f>
        <v>#DIV/0!</v>
      </c>
      <c r="AI396" s="126" t="str">
        <f t="shared" si="13"/>
        <v/>
      </c>
    </row>
    <row r="397" spans="32:35" ht="15.75" customHeight="1">
      <c r="AF397" s="127">
        <f t="shared" si="12"/>
        <v>0</v>
      </c>
      <c r="AG397" s="127" t="str">
        <f>IF(AA397=0,"",Calculator!$B$7)</f>
        <v/>
      </c>
      <c r="AH397" s="127" t="e">
        <f>(AF397/Calculator!$B$10)*Calculator!$B$9</f>
        <v>#DIV/0!</v>
      </c>
      <c r="AI397" s="126" t="str">
        <f t="shared" si="13"/>
        <v/>
      </c>
    </row>
    <row r="398" spans="32:35" ht="15.75" customHeight="1">
      <c r="AF398" s="127">
        <f t="shared" si="12"/>
        <v>0</v>
      </c>
      <c r="AG398" s="127" t="str">
        <f>IF(AA398=0,"",Calculator!$B$7)</f>
        <v/>
      </c>
      <c r="AH398" s="127" t="e">
        <f>(AF398/Calculator!$B$10)*Calculator!$B$9</f>
        <v>#DIV/0!</v>
      </c>
      <c r="AI398" s="126" t="str">
        <f t="shared" si="13"/>
        <v/>
      </c>
    </row>
    <row r="399" spans="32:35" ht="15.75" customHeight="1">
      <c r="AF399" s="127">
        <f t="shared" si="12"/>
        <v>0</v>
      </c>
      <c r="AG399" s="127" t="str">
        <f>IF(AA399=0,"",Calculator!$B$7)</f>
        <v/>
      </c>
      <c r="AH399" s="127" t="e">
        <f>(AF399/Calculator!$B$10)*Calculator!$B$9</f>
        <v>#DIV/0!</v>
      </c>
      <c r="AI399" s="126" t="str">
        <f t="shared" si="13"/>
        <v/>
      </c>
    </row>
    <row r="400" spans="32:35" ht="15.75" customHeight="1">
      <c r="AF400" s="127">
        <f t="shared" si="12"/>
        <v>0</v>
      </c>
      <c r="AG400" s="127" t="str">
        <f>IF(AA400=0,"",Calculator!$B$7)</f>
        <v/>
      </c>
      <c r="AH400" s="127" t="e">
        <f>(AF400/Calculator!$B$10)*Calculator!$B$9</f>
        <v>#DIV/0!</v>
      </c>
      <c r="AI400" s="126" t="str">
        <f t="shared" si="13"/>
        <v/>
      </c>
    </row>
    <row r="401" spans="32:35" ht="15.75" customHeight="1">
      <c r="AF401" s="127">
        <f t="shared" si="12"/>
        <v>0</v>
      </c>
      <c r="AG401" s="127" t="str">
        <f>IF(AA401=0,"",Calculator!$B$7)</f>
        <v/>
      </c>
      <c r="AH401" s="127" t="e">
        <f>(AF401/Calculator!$B$10)*Calculator!$B$9</f>
        <v>#DIV/0!</v>
      </c>
      <c r="AI401" s="126" t="str">
        <f t="shared" si="13"/>
        <v/>
      </c>
    </row>
    <row r="402" spans="32:35" ht="15.75" customHeight="1">
      <c r="AF402" s="127">
        <f t="shared" si="12"/>
        <v>0</v>
      </c>
      <c r="AG402" s="127" t="str">
        <f>IF(AA402=0,"",Calculator!$B$7)</f>
        <v/>
      </c>
      <c r="AH402" s="127" t="e">
        <f>(AF402/Calculator!$B$10)*Calculator!$B$9</f>
        <v>#DIV/0!</v>
      </c>
      <c r="AI402" s="126" t="str">
        <f t="shared" si="13"/>
        <v/>
      </c>
    </row>
    <row r="403" spans="32:35" ht="15.75" customHeight="1">
      <c r="AF403" s="127">
        <f t="shared" si="12"/>
        <v>0</v>
      </c>
      <c r="AG403" s="127" t="str">
        <f>IF(AA403=0,"",Calculator!$B$7)</f>
        <v/>
      </c>
      <c r="AH403" s="127" t="e">
        <f>(AF403/Calculator!$B$10)*Calculator!$B$9</f>
        <v>#DIV/0!</v>
      </c>
      <c r="AI403" s="126" t="str">
        <f t="shared" si="13"/>
        <v/>
      </c>
    </row>
    <row r="404" spans="32:35" ht="15.75" customHeight="1">
      <c r="AF404" s="127">
        <f t="shared" si="12"/>
        <v>0</v>
      </c>
      <c r="AG404" s="127" t="str">
        <f>IF(AA404=0,"",Calculator!$B$7)</f>
        <v/>
      </c>
      <c r="AH404" s="127" t="e">
        <f>(AF404/Calculator!$B$10)*Calculator!$B$9</f>
        <v>#DIV/0!</v>
      </c>
      <c r="AI404" s="126" t="str">
        <f t="shared" si="13"/>
        <v/>
      </c>
    </row>
    <row r="405" spans="32:35" ht="15.75" customHeight="1">
      <c r="AF405" s="127">
        <f t="shared" si="12"/>
        <v>0</v>
      </c>
      <c r="AG405" s="127" t="str">
        <f>IF(AA405=0,"",Calculator!$B$7)</f>
        <v/>
      </c>
      <c r="AH405" s="127" t="e">
        <f>(AF405/Calculator!$B$10)*Calculator!$B$9</f>
        <v>#DIV/0!</v>
      </c>
      <c r="AI405" s="126" t="str">
        <f t="shared" si="13"/>
        <v/>
      </c>
    </row>
    <row r="406" spans="32:35" ht="15.75" customHeight="1">
      <c r="AF406" s="127">
        <f t="shared" si="12"/>
        <v>0</v>
      </c>
      <c r="AG406" s="127" t="str">
        <f>IF(AA406=0,"",Calculator!$B$7)</f>
        <v/>
      </c>
      <c r="AH406" s="127" t="e">
        <f>(AF406/Calculator!$B$10)*Calculator!$B$9</f>
        <v>#DIV/0!</v>
      </c>
      <c r="AI406" s="126" t="str">
        <f t="shared" si="13"/>
        <v/>
      </c>
    </row>
    <row r="407" spans="32:35" ht="15.75" customHeight="1">
      <c r="AF407" s="127">
        <f t="shared" si="12"/>
        <v>0</v>
      </c>
      <c r="AG407" s="127" t="str">
        <f>IF(AA407=0,"",Calculator!$B$7)</f>
        <v/>
      </c>
      <c r="AH407" s="127" t="e">
        <f>(AF407/Calculator!$B$10)*Calculator!$B$9</f>
        <v>#DIV/0!</v>
      </c>
      <c r="AI407" s="126" t="str">
        <f t="shared" si="13"/>
        <v/>
      </c>
    </row>
    <row r="408" spans="32:35" ht="15.75" customHeight="1">
      <c r="AF408" s="127">
        <f t="shared" si="12"/>
        <v>0</v>
      </c>
      <c r="AG408" s="127" t="str">
        <f>IF(AA408=0,"",Calculator!$B$7)</f>
        <v/>
      </c>
      <c r="AH408" s="127" t="e">
        <f>(AF408/Calculator!$B$10)*Calculator!$B$9</f>
        <v>#DIV/0!</v>
      </c>
      <c r="AI408" s="126" t="str">
        <f t="shared" si="13"/>
        <v/>
      </c>
    </row>
    <row r="409" spans="32:35" ht="15.75" customHeight="1">
      <c r="AF409" s="127">
        <f t="shared" si="12"/>
        <v>0</v>
      </c>
      <c r="AG409" s="127" t="str">
        <f>IF(AA409=0,"",Calculator!$B$7)</f>
        <v/>
      </c>
      <c r="AH409" s="127" t="e">
        <f>(AF409/Calculator!$B$10)*Calculator!$B$9</f>
        <v>#DIV/0!</v>
      </c>
      <c r="AI409" s="126" t="str">
        <f t="shared" si="13"/>
        <v/>
      </c>
    </row>
    <row r="410" spans="32:35" ht="15.75" customHeight="1">
      <c r="AF410" s="127">
        <f t="shared" si="12"/>
        <v>0</v>
      </c>
      <c r="AG410" s="127" t="str">
        <f>IF(AA410=0,"",Calculator!$B$7)</f>
        <v/>
      </c>
      <c r="AH410" s="127" t="e">
        <f>(AF410/Calculator!$B$10)*Calculator!$B$9</f>
        <v>#DIV/0!</v>
      </c>
      <c r="AI410" s="126" t="str">
        <f t="shared" si="13"/>
        <v/>
      </c>
    </row>
    <row r="411" spans="32:35" ht="15.75" customHeight="1">
      <c r="AF411" s="127">
        <f t="shared" si="12"/>
        <v>0</v>
      </c>
      <c r="AG411" s="127" t="str">
        <f>IF(AA411=0,"",Calculator!$B$7)</f>
        <v/>
      </c>
      <c r="AH411" s="127" t="e">
        <f>(AF411/Calculator!$B$10)*Calculator!$B$9</f>
        <v>#DIV/0!</v>
      </c>
      <c r="AI411" s="126" t="str">
        <f t="shared" si="13"/>
        <v/>
      </c>
    </row>
    <row r="412" spans="32:35" ht="15.75" customHeight="1">
      <c r="AF412" s="127">
        <f t="shared" si="12"/>
        <v>0</v>
      </c>
      <c r="AG412" s="127" t="str">
        <f>IF(AA412=0,"",Calculator!$B$7)</f>
        <v/>
      </c>
      <c r="AH412" s="127" t="e">
        <f>(AF412/Calculator!$B$10)*Calculator!$B$9</f>
        <v>#DIV/0!</v>
      </c>
      <c r="AI412" s="126" t="str">
        <f t="shared" si="13"/>
        <v/>
      </c>
    </row>
    <row r="413" spans="32:35" ht="15.75" customHeight="1">
      <c r="AF413" s="127">
        <f t="shared" si="12"/>
        <v>0</v>
      </c>
      <c r="AG413" s="127" t="str">
        <f>IF(AA413=0,"",Calculator!$B$7)</f>
        <v/>
      </c>
      <c r="AH413" s="127" t="e">
        <f>(AF413/Calculator!$B$10)*Calculator!$B$9</f>
        <v>#DIV/0!</v>
      </c>
      <c r="AI413" s="126" t="str">
        <f t="shared" si="13"/>
        <v/>
      </c>
    </row>
    <row r="414" spans="32:35" ht="15.75" customHeight="1">
      <c r="AF414" s="127">
        <f t="shared" si="12"/>
        <v>0</v>
      </c>
      <c r="AG414" s="127" t="str">
        <f>IF(AA414=0,"",Calculator!$B$7)</f>
        <v/>
      </c>
      <c r="AH414" s="127" t="e">
        <f>(AF414/Calculator!$B$10)*Calculator!$B$9</f>
        <v>#DIV/0!</v>
      </c>
      <c r="AI414" s="126" t="str">
        <f t="shared" si="13"/>
        <v/>
      </c>
    </row>
    <row r="415" spans="32:35" ht="15.75" customHeight="1">
      <c r="AF415" s="127">
        <f t="shared" si="12"/>
        <v>0</v>
      </c>
      <c r="AG415" s="127" t="str">
        <f>IF(AA415=0,"",Calculator!$B$7)</f>
        <v/>
      </c>
      <c r="AH415" s="127" t="e">
        <f>(AF415/Calculator!$B$10)*Calculator!$B$9</f>
        <v>#DIV/0!</v>
      </c>
      <c r="AI415" s="126" t="str">
        <f t="shared" si="13"/>
        <v/>
      </c>
    </row>
    <row r="416" spans="32:35" ht="15.75" customHeight="1">
      <c r="AF416" s="127">
        <f t="shared" si="12"/>
        <v>0</v>
      </c>
      <c r="AG416" s="127" t="str">
        <f>IF(AA416=0,"",Calculator!$B$7)</f>
        <v/>
      </c>
      <c r="AH416" s="127" t="e">
        <f>(AF416/Calculator!$B$10)*Calculator!$B$9</f>
        <v>#DIV/0!</v>
      </c>
      <c r="AI416" s="126" t="str">
        <f t="shared" si="13"/>
        <v/>
      </c>
    </row>
    <row r="417" spans="32:35" ht="15.75" customHeight="1">
      <c r="AF417" s="127">
        <f t="shared" si="12"/>
        <v>0</v>
      </c>
      <c r="AG417" s="127" t="str">
        <f>IF(AA417=0,"",Calculator!$B$7)</f>
        <v/>
      </c>
      <c r="AH417" s="127" t="e">
        <f>(AF417/Calculator!$B$10)*Calculator!$B$9</f>
        <v>#DIV/0!</v>
      </c>
      <c r="AI417" s="126" t="str">
        <f t="shared" si="13"/>
        <v/>
      </c>
    </row>
    <row r="418" spans="32:35" ht="15.75" customHeight="1">
      <c r="AF418" s="127">
        <f t="shared" si="12"/>
        <v>0</v>
      </c>
      <c r="AG418" s="127" t="str">
        <f>IF(AA418=0,"",Calculator!$B$7)</f>
        <v/>
      </c>
      <c r="AH418" s="127" t="e">
        <f>(AF418/Calculator!$B$10)*Calculator!$B$9</f>
        <v>#DIV/0!</v>
      </c>
      <c r="AI418" s="126" t="str">
        <f t="shared" si="13"/>
        <v/>
      </c>
    </row>
    <row r="419" spans="32:35" ht="15.75" customHeight="1">
      <c r="AF419" s="127">
        <f t="shared" si="12"/>
        <v>0</v>
      </c>
      <c r="AG419" s="127" t="str">
        <f>IF(AA419=0,"",Calculator!$B$7)</f>
        <v/>
      </c>
      <c r="AH419" s="127" t="e">
        <f>(AF419/Calculator!$B$10)*Calculator!$B$9</f>
        <v>#DIV/0!</v>
      </c>
      <c r="AI419" s="126" t="str">
        <f t="shared" si="13"/>
        <v/>
      </c>
    </row>
    <row r="420" spans="32:35" ht="15.75" customHeight="1">
      <c r="AF420" s="127">
        <f t="shared" si="12"/>
        <v>0</v>
      </c>
      <c r="AG420" s="127" t="str">
        <f>IF(AA420=0,"",Calculator!$B$7)</f>
        <v/>
      </c>
      <c r="AH420" s="127" t="e">
        <f>(AF420/Calculator!$B$10)*Calculator!$B$9</f>
        <v>#DIV/0!</v>
      </c>
      <c r="AI420" s="126" t="str">
        <f t="shared" si="13"/>
        <v/>
      </c>
    </row>
    <row r="421" spans="32:35" ht="15.75" customHeight="1">
      <c r="AF421" s="127">
        <f t="shared" si="12"/>
        <v>0</v>
      </c>
      <c r="AG421" s="127" t="str">
        <f>IF(AA421=0,"",Calculator!$B$7)</f>
        <v/>
      </c>
      <c r="AH421" s="127" t="e">
        <f>(AF421/Calculator!$B$10)*Calculator!$B$9</f>
        <v>#DIV/0!</v>
      </c>
      <c r="AI421" s="126" t="str">
        <f t="shared" si="13"/>
        <v/>
      </c>
    </row>
    <row r="422" spans="32:35" ht="15.75" customHeight="1">
      <c r="AF422" s="127">
        <f t="shared" si="12"/>
        <v>0</v>
      </c>
      <c r="AG422" s="127" t="str">
        <f>IF(AA422=0,"",Calculator!$B$7)</f>
        <v/>
      </c>
      <c r="AH422" s="127" t="e">
        <f>(AF422/Calculator!$B$10)*Calculator!$B$9</f>
        <v>#DIV/0!</v>
      </c>
      <c r="AI422" s="126" t="str">
        <f t="shared" si="13"/>
        <v/>
      </c>
    </row>
    <row r="423" spans="32:35" ht="15.75" customHeight="1">
      <c r="AF423" s="127">
        <f t="shared" si="12"/>
        <v>0</v>
      </c>
      <c r="AG423" s="127" t="str">
        <f>IF(AA423=0,"",Calculator!$B$7)</f>
        <v/>
      </c>
      <c r="AH423" s="127" t="e">
        <f>(AF423/Calculator!$B$10)*Calculator!$B$9</f>
        <v>#DIV/0!</v>
      </c>
      <c r="AI423" s="126" t="str">
        <f t="shared" si="13"/>
        <v/>
      </c>
    </row>
    <row r="424" spans="32:35" ht="15.75" customHeight="1">
      <c r="AF424" s="127">
        <f t="shared" si="12"/>
        <v>0</v>
      </c>
      <c r="AG424" s="127" t="str">
        <f>IF(AA424=0,"",Calculator!$B$7)</f>
        <v/>
      </c>
      <c r="AH424" s="127" t="e">
        <f>(AF424/Calculator!$B$10)*Calculator!$B$9</f>
        <v>#DIV/0!</v>
      </c>
      <c r="AI424" s="126" t="str">
        <f t="shared" si="13"/>
        <v/>
      </c>
    </row>
    <row r="425" spans="32:35" ht="15.75" customHeight="1">
      <c r="AF425" s="127">
        <f t="shared" si="12"/>
        <v>0</v>
      </c>
      <c r="AG425" s="127" t="str">
        <f>IF(AA425=0,"",Calculator!$B$7)</f>
        <v/>
      </c>
      <c r="AH425" s="127" t="e">
        <f>(AF425/Calculator!$B$10)*Calculator!$B$9</f>
        <v>#DIV/0!</v>
      </c>
      <c r="AI425" s="126" t="str">
        <f t="shared" si="13"/>
        <v/>
      </c>
    </row>
    <row r="426" spans="32:35" ht="15.75" customHeight="1">
      <c r="AF426" s="127">
        <f t="shared" si="12"/>
        <v>0</v>
      </c>
      <c r="AG426" s="127" t="str">
        <f>IF(AA426=0,"",Calculator!$B$7)</f>
        <v/>
      </c>
      <c r="AH426" s="127" t="e">
        <f>(AF426/Calculator!$B$10)*Calculator!$B$9</f>
        <v>#DIV/0!</v>
      </c>
      <c r="AI426" s="126" t="str">
        <f t="shared" si="13"/>
        <v/>
      </c>
    </row>
    <row r="427" spans="32:35" ht="15.75" customHeight="1">
      <c r="AF427" s="127">
        <f t="shared" si="12"/>
        <v>0</v>
      </c>
      <c r="AG427" s="127" t="str">
        <f>IF(AA427=0,"",Calculator!$B$7)</f>
        <v/>
      </c>
      <c r="AH427" s="127" t="e">
        <f>(AF427/Calculator!$B$10)*Calculator!$B$9</f>
        <v>#DIV/0!</v>
      </c>
      <c r="AI427" s="126" t="str">
        <f t="shared" si="13"/>
        <v/>
      </c>
    </row>
    <row r="428" spans="32:35" ht="15.75" customHeight="1">
      <c r="AF428" s="127">
        <f t="shared" si="12"/>
        <v>0</v>
      </c>
      <c r="AG428" s="127" t="str">
        <f>IF(AA428=0,"",Calculator!$B$7)</f>
        <v/>
      </c>
      <c r="AH428" s="127" t="e">
        <f>(AF428/Calculator!$B$10)*Calculator!$B$9</f>
        <v>#DIV/0!</v>
      </c>
      <c r="AI428" s="126" t="str">
        <f t="shared" si="13"/>
        <v/>
      </c>
    </row>
    <row r="429" spans="32:35" ht="15.75" customHeight="1">
      <c r="AF429" s="127">
        <f t="shared" si="12"/>
        <v>0</v>
      </c>
      <c r="AG429" s="127" t="str">
        <f>IF(AA429=0,"",Calculator!$B$7)</f>
        <v/>
      </c>
      <c r="AH429" s="127" t="e">
        <f>(AF429/Calculator!$B$10)*Calculator!$B$9</f>
        <v>#DIV/0!</v>
      </c>
      <c r="AI429" s="126" t="str">
        <f t="shared" si="13"/>
        <v/>
      </c>
    </row>
    <row r="430" spans="32:35" ht="15.75" customHeight="1">
      <c r="AF430" s="127">
        <f t="shared" si="12"/>
        <v>0</v>
      </c>
      <c r="AG430" s="127" t="str">
        <f>IF(AA430=0,"",Calculator!$B$7)</f>
        <v/>
      </c>
      <c r="AH430" s="127" t="e">
        <f>(AF430/Calculator!$B$10)*Calculator!$B$9</f>
        <v>#DIV/0!</v>
      </c>
      <c r="AI430" s="126" t="str">
        <f t="shared" si="13"/>
        <v/>
      </c>
    </row>
    <row r="431" spans="32:35" ht="15.75" customHeight="1">
      <c r="AF431" s="127">
        <f t="shared" si="12"/>
        <v>0</v>
      </c>
      <c r="AG431" s="127" t="str">
        <f>IF(AA431=0,"",Calculator!$B$7)</f>
        <v/>
      </c>
      <c r="AH431" s="127" t="e">
        <f>(AF431/Calculator!$B$10)*Calculator!$B$9</f>
        <v>#DIV/0!</v>
      </c>
      <c r="AI431" s="126" t="str">
        <f t="shared" si="13"/>
        <v/>
      </c>
    </row>
    <row r="432" spans="32:35" ht="15.75" customHeight="1">
      <c r="AF432" s="127">
        <f t="shared" si="12"/>
        <v>0</v>
      </c>
      <c r="AG432" s="127" t="str">
        <f>IF(AA432=0,"",Calculator!$B$7)</f>
        <v/>
      </c>
      <c r="AH432" s="127" t="e">
        <f>(AF432/Calculator!$B$10)*Calculator!$B$9</f>
        <v>#DIV/0!</v>
      </c>
      <c r="AI432" s="126" t="str">
        <f t="shared" si="13"/>
        <v/>
      </c>
    </row>
    <row r="433" spans="32:35" ht="15.75" customHeight="1">
      <c r="AF433" s="127">
        <f t="shared" si="12"/>
        <v>0</v>
      </c>
      <c r="AG433" s="127" t="str">
        <f>IF(AA433=0,"",Calculator!$B$7)</f>
        <v/>
      </c>
      <c r="AH433" s="127" t="e">
        <f>(AF433/Calculator!$B$10)*Calculator!$B$9</f>
        <v>#DIV/0!</v>
      </c>
      <c r="AI433" s="126" t="str">
        <f t="shared" si="13"/>
        <v/>
      </c>
    </row>
    <row r="434" spans="32:35" ht="15.75" customHeight="1">
      <c r="AF434" s="127">
        <f t="shared" si="12"/>
        <v>0</v>
      </c>
      <c r="AG434" s="127" t="str">
        <f>IF(AA434=0,"",Calculator!$B$7)</f>
        <v/>
      </c>
      <c r="AH434" s="127" t="e">
        <f>(AF434/Calculator!$B$10)*Calculator!$B$9</f>
        <v>#DIV/0!</v>
      </c>
      <c r="AI434" s="126" t="str">
        <f t="shared" si="13"/>
        <v/>
      </c>
    </row>
    <row r="435" spans="32:35" ht="15.75" customHeight="1">
      <c r="AF435" s="127">
        <f t="shared" si="12"/>
        <v>0</v>
      </c>
      <c r="AG435" s="127" t="str">
        <f>IF(AA435=0,"",Calculator!$B$7)</f>
        <v/>
      </c>
      <c r="AH435" s="127" t="e">
        <f>(AF435/Calculator!$B$10)*Calculator!$B$9</f>
        <v>#DIV/0!</v>
      </c>
      <c r="AI435" s="126" t="str">
        <f t="shared" si="13"/>
        <v/>
      </c>
    </row>
    <row r="436" spans="32:35" ht="15.75" customHeight="1">
      <c r="AF436" s="127">
        <f t="shared" si="12"/>
        <v>0</v>
      </c>
      <c r="AG436" s="127" t="str">
        <f>IF(AA436=0,"",Calculator!$B$7)</f>
        <v/>
      </c>
      <c r="AH436" s="127" t="e">
        <f>(AF436/Calculator!$B$10)*Calculator!$B$9</f>
        <v>#DIV/0!</v>
      </c>
      <c r="AI436" s="126" t="str">
        <f t="shared" si="13"/>
        <v/>
      </c>
    </row>
    <row r="437" spans="32:35" ht="15.75" customHeight="1">
      <c r="AF437" s="127">
        <f t="shared" si="12"/>
        <v>0</v>
      </c>
      <c r="AG437" s="127" t="str">
        <f>IF(AA437=0,"",Calculator!$B$7)</f>
        <v/>
      </c>
      <c r="AH437" s="127" t="e">
        <f>(AF437/Calculator!$B$10)*Calculator!$B$9</f>
        <v>#DIV/0!</v>
      </c>
      <c r="AI437" s="126" t="str">
        <f t="shared" si="13"/>
        <v/>
      </c>
    </row>
    <row r="438" spans="32:35" ht="15.75" customHeight="1">
      <c r="AF438" s="127">
        <f t="shared" si="12"/>
        <v>0</v>
      </c>
      <c r="AG438" s="127" t="str">
        <f>IF(AA438=0,"",Calculator!$B$7)</f>
        <v/>
      </c>
      <c r="AH438" s="127" t="e">
        <f>(AF438/Calculator!$B$10)*Calculator!$B$9</f>
        <v>#DIV/0!</v>
      </c>
      <c r="AI438" s="126" t="str">
        <f t="shared" si="13"/>
        <v/>
      </c>
    </row>
    <row r="439" spans="32:35" ht="15.75" customHeight="1">
      <c r="AF439" s="127">
        <f t="shared" si="12"/>
        <v>0</v>
      </c>
      <c r="AG439" s="127" t="str">
        <f>IF(AA439=0,"",Calculator!$B$7)</f>
        <v/>
      </c>
      <c r="AH439" s="127" t="e">
        <f>(AF439/Calculator!$B$10)*Calculator!$B$9</f>
        <v>#DIV/0!</v>
      </c>
      <c r="AI439" s="126" t="str">
        <f t="shared" si="13"/>
        <v/>
      </c>
    </row>
    <row r="440" spans="32:35" ht="15.75" customHeight="1">
      <c r="AF440" s="127">
        <f t="shared" si="12"/>
        <v>0</v>
      </c>
      <c r="AG440" s="127" t="str">
        <f>IF(AA440=0,"",Calculator!$B$7)</f>
        <v/>
      </c>
      <c r="AH440" s="127" t="e">
        <f>(AF440/Calculator!$B$10)*Calculator!$B$9</f>
        <v>#DIV/0!</v>
      </c>
      <c r="AI440" s="126" t="str">
        <f t="shared" si="13"/>
        <v/>
      </c>
    </row>
    <row r="441" spans="32:35" ht="15.75" customHeight="1">
      <c r="AF441" s="127">
        <f t="shared" si="12"/>
        <v>0</v>
      </c>
      <c r="AG441" s="127" t="str">
        <f>IF(AA441=0,"",Calculator!$B$7)</f>
        <v/>
      </c>
      <c r="AH441" s="127" t="e">
        <f>(AF441/Calculator!$B$10)*Calculator!$B$9</f>
        <v>#DIV/0!</v>
      </c>
      <c r="AI441" s="126" t="str">
        <f t="shared" si="13"/>
        <v/>
      </c>
    </row>
    <row r="442" spans="32:35" ht="15.75" customHeight="1">
      <c r="AF442" s="127">
        <f t="shared" si="12"/>
        <v>0</v>
      </c>
      <c r="AG442" s="127" t="str">
        <f>IF(AA442=0,"",Calculator!$B$7)</f>
        <v/>
      </c>
      <c r="AH442" s="127" t="e">
        <f>(AF442/Calculator!$B$10)*Calculator!$B$9</f>
        <v>#DIV/0!</v>
      </c>
      <c r="AI442" s="126" t="str">
        <f t="shared" si="13"/>
        <v/>
      </c>
    </row>
    <row r="443" spans="32:35" ht="15.75" customHeight="1">
      <c r="AF443" s="127">
        <f t="shared" si="12"/>
        <v>0</v>
      </c>
      <c r="AG443" s="127" t="str">
        <f>IF(AA443=0,"",Calculator!$B$7)</f>
        <v/>
      </c>
      <c r="AH443" s="127" t="e">
        <f>(AF443/Calculator!$B$10)*Calculator!$B$9</f>
        <v>#DIV/0!</v>
      </c>
      <c r="AI443" s="126" t="str">
        <f t="shared" si="13"/>
        <v/>
      </c>
    </row>
    <row r="444" spans="32:35" ht="15.75" customHeight="1">
      <c r="AF444" s="127">
        <f t="shared" si="12"/>
        <v>0</v>
      </c>
      <c r="AG444" s="127" t="str">
        <f>IF(AA444=0,"",Calculator!$B$7)</f>
        <v/>
      </c>
      <c r="AH444" s="127" t="e">
        <f>(AF444/Calculator!$B$10)*Calculator!$B$9</f>
        <v>#DIV/0!</v>
      </c>
      <c r="AI444" s="126" t="str">
        <f t="shared" si="13"/>
        <v/>
      </c>
    </row>
    <row r="445" spans="32:35" ht="15.75" customHeight="1">
      <c r="AF445" s="127">
        <f t="shared" si="12"/>
        <v>0</v>
      </c>
      <c r="AG445" s="127" t="str">
        <f>IF(AA445=0,"",Calculator!$B$7)</f>
        <v/>
      </c>
      <c r="AH445" s="127" t="e">
        <f>(AF445/Calculator!$B$10)*Calculator!$B$9</f>
        <v>#DIV/0!</v>
      </c>
      <c r="AI445" s="126" t="str">
        <f t="shared" si="13"/>
        <v/>
      </c>
    </row>
    <row r="446" spans="32:35" ht="15.75" customHeight="1">
      <c r="AF446" s="127">
        <f t="shared" si="12"/>
        <v>0</v>
      </c>
      <c r="AG446" s="127" t="str">
        <f>IF(AA446=0,"",Calculator!$B$7)</f>
        <v/>
      </c>
      <c r="AH446" s="127" t="e">
        <f>(AF446/Calculator!$B$10)*Calculator!$B$9</f>
        <v>#DIV/0!</v>
      </c>
      <c r="AI446" s="126" t="str">
        <f t="shared" si="13"/>
        <v/>
      </c>
    </row>
    <row r="447" spans="32:35" ht="15.75" customHeight="1">
      <c r="AF447" s="127">
        <f t="shared" si="12"/>
        <v>0</v>
      </c>
      <c r="AG447" s="127" t="str">
        <f>IF(AA447=0,"",Calculator!$B$7)</f>
        <v/>
      </c>
      <c r="AH447" s="127" t="e">
        <f>(AF447/Calculator!$B$10)*Calculator!$B$9</f>
        <v>#DIV/0!</v>
      </c>
      <c r="AI447" s="126" t="str">
        <f t="shared" si="13"/>
        <v/>
      </c>
    </row>
    <row r="448" spans="32:35" ht="15.75" customHeight="1">
      <c r="AF448" s="127">
        <f t="shared" si="12"/>
        <v>0</v>
      </c>
      <c r="AG448" s="127" t="str">
        <f>IF(AA448=0,"",Calculator!$B$7)</f>
        <v/>
      </c>
      <c r="AH448" s="127" t="e">
        <f>(AF448/Calculator!$B$10)*Calculator!$B$9</f>
        <v>#DIV/0!</v>
      </c>
      <c r="AI448" s="126" t="str">
        <f t="shared" si="13"/>
        <v/>
      </c>
    </row>
    <row r="449" spans="32:35" ht="15.75" customHeight="1">
      <c r="AF449" s="127">
        <f t="shared" si="12"/>
        <v>0</v>
      </c>
      <c r="AG449" s="127" t="str">
        <f>IF(AA449=0,"",Calculator!$B$7)</f>
        <v/>
      </c>
      <c r="AH449" s="127" t="e">
        <f>(AF449/Calculator!$B$10)*Calculator!$B$9</f>
        <v>#DIV/0!</v>
      </c>
      <c r="AI449" s="126" t="str">
        <f t="shared" si="13"/>
        <v/>
      </c>
    </row>
    <row r="450" spans="32:35" ht="15.75" customHeight="1">
      <c r="AF450" s="127">
        <f t="shared" si="12"/>
        <v>0</v>
      </c>
      <c r="AG450" s="127" t="str">
        <f>IF(AA450=0,"",Calculator!$B$7)</f>
        <v/>
      </c>
      <c r="AH450" s="127" t="e">
        <f>(AF450/Calculator!$B$10)*Calculator!$B$9</f>
        <v>#DIV/0!</v>
      </c>
      <c r="AI450" s="126" t="str">
        <f t="shared" si="13"/>
        <v/>
      </c>
    </row>
    <row r="451" spans="32:35" ht="15.75" customHeight="1">
      <c r="AF451" s="127">
        <f t="shared" si="12"/>
        <v>0</v>
      </c>
      <c r="AG451" s="127" t="str">
        <f>IF(AA451=0,"",Calculator!$B$7)</f>
        <v/>
      </c>
      <c r="AH451" s="127" t="e">
        <f>(AF451/Calculator!$B$10)*Calculator!$B$9</f>
        <v>#DIV/0!</v>
      </c>
      <c r="AI451" s="126" t="str">
        <f t="shared" si="13"/>
        <v/>
      </c>
    </row>
    <row r="452" spans="32:35" ht="15.75" customHeight="1">
      <c r="AF452" s="127">
        <f t="shared" si="12"/>
        <v>0</v>
      </c>
      <c r="AG452" s="127" t="str">
        <f>IF(AA452=0,"",Calculator!$B$7)</f>
        <v/>
      </c>
      <c r="AH452" s="127" t="e">
        <f>(AF452/Calculator!$B$10)*Calculator!$B$9</f>
        <v>#DIV/0!</v>
      </c>
      <c r="AI452" s="126" t="str">
        <f t="shared" si="13"/>
        <v/>
      </c>
    </row>
    <row r="453" spans="32:35" ht="15.75" customHeight="1">
      <c r="AF453" s="127">
        <f t="shared" si="12"/>
        <v>0</v>
      </c>
      <c r="AG453" s="127" t="str">
        <f>IF(AA453=0,"",Calculator!$B$7)</f>
        <v/>
      </c>
      <c r="AH453" s="127" t="e">
        <f>(AF453/Calculator!$B$10)*Calculator!$B$9</f>
        <v>#DIV/0!</v>
      </c>
      <c r="AI453" s="126" t="str">
        <f t="shared" si="13"/>
        <v/>
      </c>
    </row>
    <row r="454" spans="32:35" ht="15.75" customHeight="1">
      <c r="AF454" s="127">
        <f t="shared" si="12"/>
        <v>0</v>
      </c>
      <c r="AG454" s="127" t="str">
        <f>IF(AA454=0,"",Calculator!$B$7)</f>
        <v/>
      </c>
      <c r="AH454" s="127" t="e">
        <f>(AF454/Calculator!$B$10)*Calculator!$B$9</f>
        <v>#DIV/0!</v>
      </c>
      <c r="AI454" s="126" t="str">
        <f t="shared" si="13"/>
        <v/>
      </c>
    </row>
    <row r="455" spans="32:35" ht="15.75" customHeight="1">
      <c r="AF455" s="127">
        <f t="shared" si="12"/>
        <v>0</v>
      </c>
      <c r="AG455" s="127" t="str">
        <f>IF(AA455=0,"",Calculator!$B$7)</f>
        <v/>
      </c>
      <c r="AH455" s="127" t="e">
        <f>(AF455/Calculator!$B$10)*Calculator!$B$9</f>
        <v>#DIV/0!</v>
      </c>
      <c r="AI455" s="126" t="str">
        <f t="shared" si="13"/>
        <v/>
      </c>
    </row>
    <row r="456" spans="32:35" ht="15.75" customHeight="1">
      <c r="AF456" s="127">
        <f t="shared" si="12"/>
        <v>0</v>
      </c>
      <c r="AG456" s="127" t="str">
        <f>IF(AA456=0,"",Calculator!$B$7)</f>
        <v/>
      </c>
      <c r="AH456" s="127" t="e">
        <f>(AF456/Calculator!$B$10)*Calculator!$B$9</f>
        <v>#DIV/0!</v>
      </c>
      <c r="AI456" s="126" t="str">
        <f t="shared" si="13"/>
        <v/>
      </c>
    </row>
    <row r="457" spans="32:35" ht="15.75" customHeight="1">
      <c r="AF457" s="127">
        <f t="shared" si="12"/>
        <v>0</v>
      </c>
      <c r="AG457" s="127" t="str">
        <f>IF(AA457=0,"",Calculator!$B$7)</f>
        <v/>
      </c>
      <c r="AH457" s="127" t="e">
        <f>(AF457/Calculator!$B$10)*Calculator!$B$9</f>
        <v>#DIV/0!</v>
      </c>
      <c r="AI457" s="126" t="str">
        <f t="shared" si="13"/>
        <v/>
      </c>
    </row>
    <row r="458" spans="32:35" ht="15.75" customHeight="1">
      <c r="AF458" s="127">
        <f t="shared" ref="AF458:AF500" si="14">IFERROR(AA458*AG458,0)</f>
        <v>0</v>
      </c>
      <c r="AG458" s="127" t="str">
        <f>IF(AA458=0,"",Calculator!$B$7)</f>
        <v/>
      </c>
      <c r="AH458" s="127" t="e">
        <f>(AF458/Calculator!$B$10)*Calculator!$B$9</f>
        <v>#DIV/0!</v>
      </c>
      <c r="AI458" s="126" t="str">
        <f t="shared" ref="AI458:AI500" si="15">IF(ISBLANK(AA458),"","RS Means")</f>
        <v/>
      </c>
    </row>
    <row r="459" spans="32:35" ht="15.75" customHeight="1">
      <c r="AF459" s="127">
        <f t="shared" si="14"/>
        <v>0</v>
      </c>
      <c r="AG459" s="127" t="str">
        <f>IF(AA459=0,"",Calculator!$B$7)</f>
        <v/>
      </c>
      <c r="AH459" s="127" t="e">
        <f>(AF459/Calculator!$B$10)*Calculator!$B$9</f>
        <v>#DIV/0!</v>
      </c>
      <c r="AI459" s="126" t="str">
        <f t="shared" si="15"/>
        <v/>
      </c>
    </row>
    <row r="460" spans="32:35" ht="15.75" customHeight="1">
      <c r="AF460" s="127">
        <f t="shared" si="14"/>
        <v>0</v>
      </c>
      <c r="AG460" s="127" t="str">
        <f>IF(AA460=0,"",Calculator!$B$7)</f>
        <v/>
      </c>
      <c r="AH460" s="127" t="e">
        <f>(AF460/Calculator!$B$10)*Calculator!$B$9</f>
        <v>#DIV/0!</v>
      </c>
      <c r="AI460" s="126" t="str">
        <f t="shared" si="15"/>
        <v/>
      </c>
    </row>
    <row r="461" spans="32:35" ht="15.75" customHeight="1">
      <c r="AF461" s="127">
        <f t="shared" si="14"/>
        <v>0</v>
      </c>
      <c r="AG461" s="127" t="str">
        <f>IF(AA461=0,"",Calculator!$B$7)</f>
        <v/>
      </c>
      <c r="AH461" s="127" t="e">
        <f>(AF461/Calculator!$B$10)*Calculator!$B$9</f>
        <v>#DIV/0!</v>
      </c>
      <c r="AI461" s="126" t="str">
        <f t="shared" si="15"/>
        <v/>
      </c>
    </row>
    <row r="462" spans="32:35" ht="15.75" customHeight="1">
      <c r="AF462" s="127">
        <f t="shared" si="14"/>
        <v>0</v>
      </c>
      <c r="AG462" s="127" t="str">
        <f>IF(AA462=0,"",Calculator!$B$7)</f>
        <v/>
      </c>
      <c r="AH462" s="127" t="e">
        <f>(AF462/Calculator!$B$10)*Calculator!$B$9</f>
        <v>#DIV/0!</v>
      </c>
      <c r="AI462" s="126" t="str">
        <f t="shared" si="15"/>
        <v/>
      </c>
    </row>
    <row r="463" spans="32:35" ht="15.75" customHeight="1">
      <c r="AF463" s="127">
        <f t="shared" si="14"/>
        <v>0</v>
      </c>
      <c r="AG463" s="127" t="str">
        <f>IF(AA463=0,"",Calculator!$B$7)</f>
        <v/>
      </c>
      <c r="AH463" s="127" t="e">
        <f>(AF463/Calculator!$B$10)*Calculator!$B$9</f>
        <v>#DIV/0!</v>
      </c>
      <c r="AI463" s="126" t="str">
        <f t="shared" si="15"/>
        <v/>
      </c>
    </row>
    <row r="464" spans="32:35" ht="15.75" customHeight="1">
      <c r="AF464" s="127">
        <f t="shared" si="14"/>
        <v>0</v>
      </c>
      <c r="AG464" s="127" t="str">
        <f>IF(AA464=0,"",Calculator!$B$7)</f>
        <v/>
      </c>
      <c r="AH464" s="127" t="e">
        <f>(AF464/Calculator!$B$10)*Calculator!$B$9</f>
        <v>#DIV/0!</v>
      </c>
      <c r="AI464" s="126" t="str">
        <f t="shared" si="15"/>
        <v/>
      </c>
    </row>
    <row r="465" spans="32:35" ht="15.75" customHeight="1">
      <c r="AF465" s="127">
        <f t="shared" si="14"/>
        <v>0</v>
      </c>
      <c r="AG465" s="127" t="str">
        <f>IF(AA465=0,"",Calculator!$B$7)</f>
        <v/>
      </c>
      <c r="AH465" s="127" t="e">
        <f>(AF465/Calculator!$B$10)*Calculator!$B$9</f>
        <v>#DIV/0!</v>
      </c>
      <c r="AI465" s="126" t="str">
        <f t="shared" si="15"/>
        <v/>
      </c>
    </row>
    <row r="466" spans="32:35" ht="15.75" customHeight="1">
      <c r="AF466" s="127">
        <f t="shared" si="14"/>
        <v>0</v>
      </c>
      <c r="AG466" s="127" t="str">
        <f>IF(AA466=0,"",Calculator!$B$7)</f>
        <v/>
      </c>
      <c r="AH466" s="127" t="e">
        <f>(AF466/Calculator!$B$10)*Calculator!$B$9</f>
        <v>#DIV/0!</v>
      </c>
      <c r="AI466" s="126" t="str">
        <f t="shared" si="15"/>
        <v/>
      </c>
    </row>
    <row r="467" spans="32:35" ht="15.75" customHeight="1">
      <c r="AF467" s="127">
        <f t="shared" si="14"/>
        <v>0</v>
      </c>
      <c r="AG467" s="127" t="str">
        <f>IF(AA467=0,"",Calculator!$B$7)</f>
        <v/>
      </c>
      <c r="AH467" s="127" t="e">
        <f>(AF467/Calculator!$B$10)*Calculator!$B$9</f>
        <v>#DIV/0!</v>
      </c>
      <c r="AI467" s="126" t="str">
        <f t="shared" si="15"/>
        <v/>
      </c>
    </row>
    <row r="468" spans="32:35" ht="15.75" customHeight="1">
      <c r="AF468" s="127">
        <f t="shared" si="14"/>
        <v>0</v>
      </c>
      <c r="AG468" s="127" t="str">
        <f>IF(AA468=0,"",Calculator!$B$7)</f>
        <v/>
      </c>
      <c r="AH468" s="127" t="e">
        <f>(AF468/Calculator!$B$10)*Calculator!$B$9</f>
        <v>#DIV/0!</v>
      </c>
      <c r="AI468" s="126" t="str">
        <f t="shared" si="15"/>
        <v/>
      </c>
    </row>
    <row r="469" spans="32:35" ht="15.75" customHeight="1">
      <c r="AF469" s="127">
        <f t="shared" si="14"/>
        <v>0</v>
      </c>
      <c r="AG469" s="127" t="str">
        <f>IF(AA469=0,"",Calculator!$B$7)</f>
        <v/>
      </c>
      <c r="AH469" s="127" t="e">
        <f>(AF469/Calculator!$B$10)*Calculator!$B$9</f>
        <v>#DIV/0!</v>
      </c>
      <c r="AI469" s="126" t="str">
        <f t="shared" si="15"/>
        <v/>
      </c>
    </row>
    <row r="470" spans="32:35" ht="15.75" customHeight="1">
      <c r="AF470" s="127">
        <f t="shared" si="14"/>
        <v>0</v>
      </c>
      <c r="AG470" s="127" t="str">
        <f>IF(AA470=0,"",Calculator!$B$7)</f>
        <v/>
      </c>
      <c r="AH470" s="127" t="e">
        <f>(AF470/Calculator!$B$10)*Calculator!$B$9</f>
        <v>#DIV/0!</v>
      </c>
      <c r="AI470" s="126" t="str">
        <f t="shared" si="15"/>
        <v/>
      </c>
    </row>
    <row r="471" spans="32:35" ht="15.75" customHeight="1">
      <c r="AF471" s="127">
        <f t="shared" si="14"/>
        <v>0</v>
      </c>
      <c r="AG471" s="127" t="str">
        <f>IF(AA471=0,"",Calculator!$B$7)</f>
        <v/>
      </c>
      <c r="AH471" s="127" t="e">
        <f>(AF471/Calculator!$B$10)*Calculator!$B$9</f>
        <v>#DIV/0!</v>
      </c>
      <c r="AI471" s="126" t="str">
        <f t="shared" si="15"/>
        <v/>
      </c>
    </row>
    <row r="472" spans="32:35" ht="15.75" customHeight="1">
      <c r="AF472" s="127">
        <f t="shared" si="14"/>
        <v>0</v>
      </c>
      <c r="AG472" s="127" t="str">
        <f>IF(AA472=0,"",Calculator!$B$7)</f>
        <v/>
      </c>
      <c r="AH472" s="127" t="e">
        <f>(AF472/Calculator!$B$10)*Calculator!$B$9</f>
        <v>#DIV/0!</v>
      </c>
      <c r="AI472" s="126" t="str">
        <f t="shared" si="15"/>
        <v/>
      </c>
    </row>
    <row r="473" spans="32:35" ht="15.75" customHeight="1">
      <c r="AF473" s="127">
        <f t="shared" si="14"/>
        <v>0</v>
      </c>
      <c r="AG473" s="127" t="str">
        <f>IF(AA473=0,"",Calculator!$B$7)</f>
        <v/>
      </c>
      <c r="AH473" s="127" t="e">
        <f>(AF473/Calculator!$B$10)*Calculator!$B$9</f>
        <v>#DIV/0!</v>
      </c>
      <c r="AI473" s="126" t="str">
        <f t="shared" si="15"/>
        <v/>
      </c>
    </row>
    <row r="474" spans="32:35" ht="15.75" customHeight="1">
      <c r="AF474" s="127">
        <f t="shared" si="14"/>
        <v>0</v>
      </c>
      <c r="AG474" s="127" t="str">
        <f>IF(AA474=0,"",Calculator!$B$7)</f>
        <v/>
      </c>
      <c r="AH474" s="127" t="e">
        <f>(AF474/Calculator!$B$10)*Calculator!$B$9</f>
        <v>#DIV/0!</v>
      </c>
      <c r="AI474" s="126" t="str">
        <f t="shared" si="15"/>
        <v/>
      </c>
    </row>
    <row r="475" spans="32:35" ht="15.75" customHeight="1">
      <c r="AF475" s="127">
        <f t="shared" si="14"/>
        <v>0</v>
      </c>
      <c r="AG475" s="127" t="str">
        <f>IF(AA475=0,"",Calculator!$B$7)</f>
        <v/>
      </c>
      <c r="AH475" s="127" t="e">
        <f>(AF475/Calculator!$B$10)*Calculator!$B$9</f>
        <v>#DIV/0!</v>
      </c>
      <c r="AI475" s="126" t="str">
        <f t="shared" si="15"/>
        <v/>
      </c>
    </row>
    <row r="476" spans="32:35" ht="15.75" customHeight="1">
      <c r="AF476" s="127">
        <f t="shared" si="14"/>
        <v>0</v>
      </c>
      <c r="AG476" s="127" t="str">
        <f>IF(AA476=0,"",Calculator!$B$7)</f>
        <v/>
      </c>
      <c r="AH476" s="127" t="e">
        <f>(AF476/Calculator!$B$10)*Calculator!$B$9</f>
        <v>#DIV/0!</v>
      </c>
      <c r="AI476" s="126" t="str">
        <f t="shared" si="15"/>
        <v/>
      </c>
    </row>
    <row r="477" spans="32:35" ht="15.75" customHeight="1">
      <c r="AF477" s="127">
        <f t="shared" si="14"/>
        <v>0</v>
      </c>
      <c r="AG477" s="127" t="str">
        <f>IF(AA477=0,"",Calculator!$B$7)</f>
        <v/>
      </c>
      <c r="AH477" s="127" t="e">
        <f>(AF477/Calculator!$B$10)*Calculator!$B$9</f>
        <v>#DIV/0!</v>
      </c>
      <c r="AI477" s="126" t="str">
        <f t="shared" si="15"/>
        <v/>
      </c>
    </row>
    <row r="478" spans="32:35" ht="15.75" customHeight="1">
      <c r="AF478" s="127">
        <f t="shared" si="14"/>
        <v>0</v>
      </c>
      <c r="AG478" s="127" t="str">
        <f>IF(AA478=0,"",Calculator!$B$7)</f>
        <v/>
      </c>
      <c r="AH478" s="127" t="e">
        <f>(AF478/Calculator!$B$10)*Calculator!$B$9</f>
        <v>#DIV/0!</v>
      </c>
      <c r="AI478" s="126" t="str">
        <f t="shared" si="15"/>
        <v/>
      </c>
    </row>
    <row r="479" spans="32:35" ht="15.75" customHeight="1">
      <c r="AF479" s="127">
        <f t="shared" si="14"/>
        <v>0</v>
      </c>
      <c r="AG479" s="127" t="str">
        <f>IF(AA479=0,"",Calculator!$B$7)</f>
        <v/>
      </c>
      <c r="AH479" s="127" t="e">
        <f>(AF479/Calculator!$B$10)*Calculator!$B$9</f>
        <v>#DIV/0!</v>
      </c>
      <c r="AI479" s="126" t="str">
        <f t="shared" si="15"/>
        <v/>
      </c>
    </row>
    <row r="480" spans="32:35" ht="15.75" customHeight="1">
      <c r="AF480" s="127">
        <f t="shared" si="14"/>
        <v>0</v>
      </c>
      <c r="AG480" s="127" t="str">
        <f>IF(AA480=0,"",Calculator!$B$7)</f>
        <v/>
      </c>
      <c r="AH480" s="127" t="e">
        <f>(AF480/Calculator!$B$10)*Calculator!$B$9</f>
        <v>#DIV/0!</v>
      </c>
      <c r="AI480" s="126" t="str">
        <f t="shared" si="15"/>
        <v/>
      </c>
    </row>
    <row r="481" spans="32:35" ht="15.75" customHeight="1">
      <c r="AF481" s="127">
        <f t="shared" si="14"/>
        <v>0</v>
      </c>
      <c r="AG481" s="127" t="str">
        <f>IF(AA481=0,"",Calculator!$B$7)</f>
        <v/>
      </c>
      <c r="AH481" s="127" t="e">
        <f>(AF481/Calculator!$B$10)*Calculator!$B$9</f>
        <v>#DIV/0!</v>
      </c>
      <c r="AI481" s="126" t="str">
        <f t="shared" si="15"/>
        <v/>
      </c>
    </row>
    <row r="482" spans="32:35" ht="15.75" customHeight="1">
      <c r="AF482" s="127">
        <f t="shared" si="14"/>
        <v>0</v>
      </c>
      <c r="AG482" s="127" t="str">
        <f>IF(AA482=0,"",Calculator!$B$7)</f>
        <v/>
      </c>
      <c r="AH482" s="127" t="e">
        <f>(AF482/Calculator!$B$10)*Calculator!$B$9</f>
        <v>#DIV/0!</v>
      </c>
      <c r="AI482" s="126" t="str">
        <f t="shared" si="15"/>
        <v/>
      </c>
    </row>
    <row r="483" spans="32:35" ht="15.75" customHeight="1">
      <c r="AF483" s="127">
        <f t="shared" si="14"/>
        <v>0</v>
      </c>
      <c r="AG483" s="127" t="str">
        <f>IF(AA483=0,"",Calculator!$B$7)</f>
        <v/>
      </c>
      <c r="AH483" s="127" t="e">
        <f>(AF483/Calculator!$B$10)*Calculator!$B$9</f>
        <v>#DIV/0!</v>
      </c>
      <c r="AI483" s="126" t="str">
        <f t="shared" si="15"/>
        <v/>
      </c>
    </row>
    <row r="484" spans="32:35" ht="15.75" customHeight="1">
      <c r="AF484" s="127">
        <f t="shared" si="14"/>
        <v>0</v>
      </c>
      <c r="AG484" s="127" t="str">
        <f>IF(AA484=0,"",Calculator!$B$7)</f>
        <v/>
      </c>
      <c r="AH484" s="127" t="e">
        <f>(AF484/Calculator!$B$10)*Calculator!$B$9</f>
        <v>#DIV/0!</v>
      </c>
      <c r="AI484" s="126" t="str">
        <f t="shared" si="15"/>
        <v/>
      </c>
    </row>
    <row r="485" spans="32:35" ht="15.75" customHeight="1">
      <c r="AF485" s="127">
        <f t="shared" si="14"/>
        <v>0</v>
      </c>
      <c r="AG485" s="127" t="str">
        <f>IF(AA485=0,"",Calculator!$B$7)</f>
        <v/>
      </c>
      <c r="AH485" s="127" t="e">
        <f>(AF485/Calculator!$B$10)*Calculator!$B$9</f>
        <v>#DIV/0!</v>
      </c>
      <c r="AI485" s="126" t="str">
        <f t="shared" si="15"/>
        <v/>
      </c>
    </row>
    <row r="486" spans="32:35" ht="15.75" customHeight="1">
      <c r="AF486" s="127">
        <f t="shared" si="14"/>
        <v>0</v>
      </c>
      <c r="AG486" s="127" t="str">
        <f>IF(AA486=0,"",Calculator!$B$7)</f>
        <v/>
      </c>
      <c r="AH486" s="127" t="e">
        <f>(AF486/Calculator!$B$10)*Calculator!$B$9</f>
        <v>#DIV/0!</v>
      </c>
      <c r="AI486" s="126" t="str">
        <f t="shared" si="15"/>
        <v/>
      </c>
    </row>
    <row r="487" spans="32:35" ht="15.75" customHeight="1">
      <c r="AF487" s="127">
        <f t="shared" si="14"/>
        <v>0</v>
      </c>
      <c r="AG487" s="127" t="str">
        <f>IF(AA487=0,"",Calculator!$B$7)</f>
        <v/>
      </c>
      <c r="AH487" s="127" t="e">
        <f>(AF487/Calculator!$B$10)*Calculator!$B$9</f>
        <v>#DIV/0!</v>
      </c>
      <c r="AI487" s="126" t="str">
        <f t="shared" si="15"/>
        <v/>
      </c>
    </row>
    <row r="488" spans="32:35" ht="15.75" customHeight="1">
      <c r="AF488" s="127">
        <f t="shared" si="14"/>
        <v>0</v>
      </c>
      <c r="AG488" s="127" t="str">
        <f>IF(AA488=0,"",Calculator!$B$7)</f>
        <v/>
      </c>
      <c r="AH488" s="127" t="e">
        <f>(AF488/Calculator!$B$10)*Calculator!$B$9</f>
        <v>#DIV/0!</v>
      </c>
      <c r="AI488" s="126" t="str">
        <f t="shared" si="15"/>
        <v/>
      </c>
    </row>
    <row r="489" spans="32:35" ht="15.75" customHeight="1">
      <c r="AF489" s="127">
        <f t="shared" si="14"/>
        <v>0</v>
      </c>
      <c r="AG489" s="127" t="str">
        <f>IF(AA489=0,"",Calculator!$B$7)</f>
        <v/>
      </c>
      <c r="AH489" s="127" t="e">
        <f>(AF489/Calculator!$B$10)*Calculator!$B$9</f>
        <v>#DIV/0!</v>
      </c>
      <c r="AI489" s="126" t="str">
        <f t="shared" si="15"/>
        <v/>
      </c>
    </row>
    <row r="490" spans="32:35" ht="15.75" customHeight="1">
      <c r="AF490" s="127">
        <f t="shared" si="14"/>
        <v>0</v>
      </c>
      <c r="AG490" s="127" t="str">
        <f>IF(AA490=0,"",Calculator!$B$7)</f>
        <v/>
      </c>
      <c r="AH490" s="127" t="e">
        <f>(AF490/Calculator!$B$10)*Calculator!$B$9</f>
        <v>#DIV/0!</v>
      </c>
      <c r="AI490" s="126" t="str">
        <f t="shared" si="15"/>
        <v/>
      </c>
    </row>
    <row r="491" spans="32:35" ht="15.75" customHeight="1">
      <c r="AF491" s="127">
        <f t="shared" si="14"/>
        <v>0</v>
      </c>
      <c r="AG491" s="127" t="str">
        <f>IF(AA491=0,"",Calculator!$B$7)</f>
        <v/>
      </c>
      <c r="AH491" s="127" t="e">
        <f>(AF491/Calculator!$B$10)*Calculator!$B$9</f>
        <v>#DIV/0!</v>
      </c>
      <c r="AI491" s="126" t="str">
        <f t="shared" si="15"/>
        <v/>
      </c>
    </row>
    <row r="492" spans="32:35" ht="15.75" customHeight="1">
      <c r="AF492" s="127">
        <f t="shared" si="14"/>
        <v>0</v>
      </c>
      <c r="AG492" s="127" t="str">
        <f>IF(AA492=0,"",Calculator!$B$7)</f>
        <v/>
      </c>
      <c r="AH492" s="127" t="e">
        <f>(AF492/Calculator!$B$10)*Calculator!$B$9</f>
        <v>#DIV/0!</v>
      </c>
      <c r="AI492" s="126" t="str">
        <f t="shared" si="15"/>
        <v/>
      </c>
    </row>
    <row r="493" spans="32:35" ht="15.75" customHeight="1">
      <c r="AF493" s="127">
        <f t="shared" si="14"/>
        <v>0</v>
      </c>
      <c r="AG493" s="127" t="str">
        <f>IF(AA493=0,"",Calculator!$B$7)</f>
        <v/>
      </c>
      <c r="AH493" s="127" t="e">
        <f>(AF493/Calculator!$B$10)*Calculator!$B$9</f>
        <v>#DIV/0!</v>
      </c>
      <c r="AI493" s="126" t="str">
        <f t="shared" si="15"/>
        <v/>
      </c>
    </row>
    <row r="494" spans="32:35" ht="15.75" customHeight="1">
      <c r="AF494" s="127">
        <f t="shared" si="14"/>
        <v>0</v>
      </c>
      <c r="AG494" s="127" t="str">
        <f>IF(AA494=0,"",Calculator!$B$7)</f>
        <v/>
      </c>
      <c r="AH494" s="127" t="e">
        <f>(AF494/Calculator!$B$10)*Calculator!$B$9</f>
        <v>#DIV/0!</v>
      </c>
      <c r="AI494" s="126" t="str">
        <f t="shared" si="15"/>
        <v/>
      </c>
    </row>
    <row r="495" spans="32:35" ht="15.75" customHeight="1">
      <c r="AF495" s="127">
        <f t="shared" si="14"/>
        <v>0</v>
      </c>
      <c r="AG495" s="127" t="str">
        <f>IF(AA495=0,"",Calculator!$B$7)</f>
        <v/>
      </c>
      <c r="AH495" s="127" t="e">
        <f>(AF495/Calculator!$B$10)*Calculator!$B$9</f>
        <v>#DIV/0!</v>
      </c>
      <c r="AI495" s="126" t="str">
        <f t="shared" si="15"/>
        <v/>
      </c>
    </row>
    <row r="496" spans="32:35" ht="15.75" customHeight="1">
      <c r="AF496" s="127">
        <f t="shared" si="14"/>
        <v>0</v>
      </c>
      <c r="AG496" s="127" t="str">
        <f>IF(AA496=0,"",Calculator!$B$7)</f>
        <v/>
      </c>
      <c r="AH496" s="127" t="e">
        <f>(AF496/Calculator!$B$10)*Calculator!$B$9</f>
        <v>#DIV/0!</v>
      </c>
      <c r="AI496" s="126" t="str">
        <f t="shared" si="15"/>
        <v/>
      </c>
    </row>
    <row r="497" spans="32:35" ht="15.75" customHeight="1">
      <c r="AF497" s="127">
        <f t="shared" si="14"/>
        <v>0</v>
      </c>
      <c r="AG497" s="127" t="str">
        <f>IF(AA497=0,"",Calculator!$B$7)</f>
        <v/>
      </c>
      <c r="AH497" s="127" t="e">
        <f>(AF497/Calculator!$B$10)*Calculator!$B$9</f>
        <v>#DIV/0!</v>
      </c>
      <c r="AI497" s="126" t="str">
        <f t="shared" si="15"/>
        <v/>
      </c>
    </row>
    <row r="498" spans="32:35" ht="15.75" customHeight="1">
      <c r="AF498" s="127">
        <f t="shared" si="14"/>
        <v>0</v>
      </c>
      <c r="AG498" s="127" t="str">
        <f>IF(AA498=0,"",Calculator!$B$7)</f>
        <v/>
      </c>
      <c r="AH498" s="127" t="e">
        <f>(AF498/Calculator!$B$10)*Calculator!$B$9</f>
        <v>#DIV/0!</v>
      </c>
      <c r="AI498" s="126" t="str">
        <f t="shared" si="15"/>
        <v/>
      </c>
    </row>
    <row r="499" spans="32:35" ht="15.75" customHeight="1">
      <c r="AF499" s="127">
        <f t="shared" si="14"/>
        <v>0</v>
      </c>
      <c r="AG499" s="127" t="str">
        <f>IF(AA499=0,"",Calculator!$B$7)</f>
        <v/>
      </c>
      <c r="AH499" s="127" t="e">
        <f>(AF499/Calculator!$B$10)*Calculator!$B$9</f>
        <v>#DIV/0!</v>
      </c>
      <c r="AI499" s="126" t="str">
        <f t="shared" si="15"/>
        <v/>
      </c>
    </row>
    <row r="500" spans="32:35" ht="15.75" customHeight="1">
      <c r="AF500" s="127">
        <f t="shared" si="14"/>
        <v>0</v>
      </c>
      <c r="AG500" s="127" t="str">
        <f>IF(AA500=0,"",Calculator!$B$7)</f>
        <v/>
      </c>
      <c r="AH500" s="127" t="e">
        <f>(AF500/Calculator!$B$10)*Calculator!$B$9</f>
        <v>#DIV/0!</v>
      </c>
      <c r="AI500" s="126" t="str">
        <f t="shared" si="15"/>
        <v/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CA446-2F09-5C40-8A68-C34A83DFF2D9}">
  <sheetPr codeName="Sheet12"/>
  <dimension ref="A1:S949"/>
  <sheetViews>
    <sheetView workbookViewId="0">
      <selection activeCell="A6" sqref="A6"/>
    </sheetView>
  </sheetViews>
  <sheetFormatPr defaultColWidth="11.19921875" defaultRowHeight="15.6"/>
  <cols>
    <col min="1" max="1" width="24.69921875" style="270" customWidth="1"/>
    <col min="2" max="4" width="15" style="270" customWidth="1"/>
    <col min="5" max="5" width="13.796875" customWidth="1"/>
    <col min="12" max="13" width="15" customWidth="1"/>
  </cols>
  <sheetData>
    <row r="1" spans="1:19">
      <c r="A1" s="198" t="s">
        <v>287</v>
      </c>
      <c r="B1" s="268">
        <f>'Client Summary'!G13</f>
        <v>45292</v>
      </c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  <c r="Q1" s="199"/>
      <c r="R1" s="199"/>
      <c r="S1" s="199"/>
    </row>
    <row r="2" spans="1:19">
      <c r="A2" s="198" t="s">
        <v>288</v>
      </c>
      <c r="B2" s="269" t="str">
        <f>'Client Summary'!G12</f>
        <v>861 E 800 S, Salt Lake City, UT 84102</v>
      </c>
      <c r="C2" s="199"/>
      <c r="D2" s="199"/>
      <c r="E2" s="199"/>
      <c r="F2" s="199"/>
      <c r="G2" s="199"/>
      <c r="H2" s="199"/>
      <c r="I2" s="199"/>
      <c r="J2" s="199"/>
      <c r="K2" s="199"/>
      <c r="L2" s="199"/>
      <c r="M2" s="199"/>
      <c r="N2" s="199"/>
      <c r="O2" s="199"/>
      <c r="P2" s="199"/>
      <c r="Q2" s="199"/>
      <c r="R2" s="199"/>
      <c r="S2" s="199"/>
    </row>
    <row r="3" spans="1:19">
      <c r="A3" s="199"/>
      <c r="B3" s="199"/>
      <c r="C3" s="199"/>
      <c r="D3" s="199"/>
      <c r="E3" s="199"/>
      <c r="F3" s="199"/>
      <c r="G3" s="199"/>
      <c r="H3" s="199"/>
      <c r="I3" s="199"/>
      <c r="J3" s="199"/>
      <c r="K3" s="199"/>
      <c r="L3" s="199"/>
      <c r="M3" s="199"/>
      <c r="N3" s="199"/>
      <c r="O3" s="199"/>
      <c r="P3" s="199"/>
      <c r="Q3" s="199"/>
      <c r="R3" s="199"/>
      <c r="S3" s="199"/>
    </row>
    <row r="4" spans="1:19">
      <c r="A4" s="198" t="s">
        <v>289</v>
      </c>
      <c r="B4" s="200" t="s">
        <v>290</v>
      </c>
      <c r="C4" s="200" t="s">
        <v>291</v>
      </c>
      <c r="D4" s="200" t="s">
        <v>292</v>
      </c>
      <c r="E4" s="199"/>
      <c r="F4" s="199"/>
      <c r="G4" s="199"/>
      <c r="H4" s="199"/>
      <c r="I4" s="199"/>
      <c r="J4" s="199"/>
      <c r="K4" s="199"/>
      <c r="L4" s="199"/>
      <c r="M4" s="199"/>
      <c r="N4" s="199"/>
      <c r="O4" s="199"/>
      <c r="P4" s="199"/>
      <c r="Q4" s="199"/>
      <c r="R4" s="199"/>
      <c r="S4" s="199"/>
    </row>
    <row r="5" spans="1:19">
      <c r="A5" s="201" t="str">
        <f>'Client Summary'!$G$26&amp;" year"</f>
        <v>27.5 year</v>
      </c>
      <c r="B5" s="202">
        <v>1</v>
      </c>
      <c r="C5" s="203">
        <f>_xlfn.IFNA((INDEX('Real Property'!$AF:$AF,MATCH("Grand Total",'Real Property'!$A:$A,0))/$B$10)*$B$9,0)</f>
        <v>0</v>
      </c>
      <c r="D5" s="204">
        <f>IFERROR((C5/B9)*1,0)</f>
        <v>0</v>
      </c>
      <c r="E5" s="204"/>
      <c r="F5" s="204"/>
      <c r="G5" s="199"/>
      <c r="H5" s="205"/>
      <c r="I5" s="199"/>
      <c r="J5" s="199"/>
      <c r="K5" s="199"/>
      <c r="L5" s="203"/>
      <c r="M5" s="204"/>
      <c r="N5" s="199"/>
      <c r="O5" s="199"/>
      <c r="P5" s="199"/>
      <c r="Q5" s="199"/>
      <c r="R5" s="199"/>
      <c r="S5" s="199"/>
    </row>
    <row r="6" spans="1:19">
      <c r="A6" s="201" t="s">
        <v>293</v>
      </c>
      <c r="B6" s="202">
        <v>1</v>
      </c>
      <c r="C6" s="206">
        <f>_xlfn.IFNA((INDEX('15 yr'!$AF:$AF,MATCH("Grand Total",'15 yr'!$A:$A,0))/$B$10)*$B$9,0)</f>
        <v>0</v>
      </c>
      <c r="D6" s="207">
        <f>IFERROR((C6/B9)*1,0)</f>
        <v>0</v>
      </c>
      <c r="E6" s="204"/>
      <c r="F6" s="204"/>
      <c r="G6" s="199"/>
      <c r="H6" s="205"/>
      <c r="I6" s="199"/>
      <c r="J6" s="199"/>
      <c r="K6" s="199"/>
      <c r="L6" s="203"/>
      <c r="M6" s="204"/>
      <c r="N6" s="199"/>
      <c r="O6" s="199"/>
      <c r="P6" s="199"/>
      <c r="Q6" s="199"/>
      <c r="R6" s="199"/>
      <c r="S6" s="199"/>
    </row>
    <row r="7" spans="1:19">
      <c r="A7" s="208" t="s">
        <v>294</v>
      </c>
      <c r="B7" s="209">
        <v>1</v>
      </c>
      <c r="C7" s="210">
        <f>_xlfn.IFNA((INDEX('5 yr'!$AF:$AF,MATCH("Grand Total",'5 yr'!$A:$A,0))/$B$10)*$B$9,0)</f>
        <v>0</v>
      </c>
      <c r="D7" s="211">
        <f>IFERROR((C7/B9)*1,0)</f>
        <v>0</v>
      </c>
      <c r="E7" s="204"/>
      <c r="F7" s="204"/>
      <c r="G7" s="199"/>
      <c r="H7" s="205"/>
      <c r="I7" s="199"/>
      <c r="J7" s="199"/>
      <c r="K7" s="199"/>
      <c r="L7" s="203"/>
      <c r="M7" s="204"/>
      <c r="N7" s="199"/>
      <c r="O7" s="199"/>
      <c r="P7" s="199"/>
      <c r="Q7" s="199"/>
      <c r="R7" s="199"/>
      <c r="S7" s="199"/>
    </row>
    <row r="8" spans="1:19">
      <c r="A8" s="201" t="s">
        <v>268</v>
      </c>
      <c r="B8" s="212">
        <f>SUM(B5:B7)</f>
        <v>3</v>
      </c>
      <c r="C8" s="213">
        <f>SUM(C6:C7)</f>
        <v>0</v>
      </c>
      <c r="D8" s="207">
        <f>SUM(D6:D7)</f>
        <v>0</v>
      </c>
      <c r="E8" s="204"/>
      <c r="F8" s="204"/>
      <c r="G8" s="205"/>
      <c r="H8" s="205"/>
      <c r="I8" s="199"/>
      <c r="J8" s="199"/>
      <c r="K8" s="199"/>
      <c r="L8" s="202"/>
      <c r="M8" s="204"/>
      <c r="N8" s="199"/>
      <c r="O8" s="199"/>
      <c r="P8" s="199"/>
      <c r="Q8" s="199"/>
      <c r="R8" s="199"/>
      <c r="S8" s="199"/>
    </row>
    <row r="9" spans="1:19">
      <c r="A9" s="201" t="s">
        <v>269</v>
      </c>
      <c r="B9" s="202">
        <f>'Client Summary'!G18</f>
        <v>0</v>
      </c>
      <c r="C9" s="201"/>
      <c r="D9" s="214"/>
      <c r="E9" s="215"/>
      <c r="F9" s="199"/>
      <c r="G9" s="199"/>
      <c r="H9" s="199"/>
      <c r="I9" s="199"/>
      <c r="J9" s="199"/>
      <c r="K9" s="199"/>
      <c r="N9" s="199"/>
      <c r="O9" s="199"/>
      <c r="P9" s="199"/>
      <c r="Q9" s="199"/>
      <c r="R9" s="199"/>
      <c r="S9" s="199"/>
    </row>
    <row r="10" spans="1:19">
      <c r="A10" s="201" t="s">
        <v>268</v>
      </c>
      <c r="B10" s="202">
        <f>_xlfn.IFNA(INDEX('Real Property'!$AF:$AF,MATCH("Grand Total",'Real Property'!$A:$A,0))+INDEX('15 yr'!$AF:$AF,MATCH("Grand Total",'15 yr'!$A:$A,0))+INDEX('5 yr'!$AF:$AF,MATCH("Grand Total",'5 yr'!$A:$A,0)),0)</f>
        <v>0</v>
      </c>
      <c r="C10" s="201"/>
      <c r="D10" s="214"/>
      <c r="E10" s="215"/>
      <c r="F10" s="199"/>
      <c r="G10" s="199"/>
      <c r="H10" s="199"/>
      <c r="I10" s="199"/>
      <c r="J10" s="199"/>
      <c r="K10" s="199"/>
      <c r="L10" s="199"/>
      <c r="M10" s="204"/>
      <c r="N10" s="199"/>
      <c r="O10" s="199"/>
      <c r="P10" s="199"/>
      <c r="Q10" s="199"/>
      <c r="R10" s="199"/>
      <c r="S10" s="199"/>
    </row>
    <row r="11" spans="1:19">
      <c r="A11" s="199"/>
      <c r="B11" s="199"/>
      <c r="C11" s="199"/>
      <c r="D11" s="199"/>
      <c r="E11" s="199"/>
      <c r="F11" s="199"/>
      <c r="G11" s="199"/>
      <c r="H11" s="199"/>
      <c r="I11" s="199"/>
      <c r="J11" s="199"/>
      <c r="K11" s="199"/>
      <c r="L11" s="199"/>
      <c r="M11" s="199"/>
      <c r="N11" s="199"/>
      <c r="O11" s="199"/>
      <c r="P11" s="199"/>
      <c r="Q11" s="199"/>
      <c r="R11" s="199"/>
      <c r="S11" s="199"/>
    </row>
    <row r="12" spans="1:19">
      <c r="C12" s="199"/>
      <c r="D12" s="199"/>
      <c r="E12" s="199"/>
      <c r="F12" s="199"/>
      <c r="G12" s="199"/>
      <c r="H12" s="199"/>
      <c r="I12" s="199"/>
      <c r="J12" s="199"/>
      <c r="K12" s="199"/>
      <c r="L12" s="199"/>
      <c r="M12" s="199"/>
      <c r="N12" s="199"/>
      <c r="O12" s="199"/>
      <c r="P12" s="199"/>
      <c r="Q12" s="199"/>
      <c r="R12" s="199"/>
      <c r="S12" s="199"/>
    </row>
    <row r="13" spans="1:19">
      <c r="C13" s="199"/>
      <c r="D13" s="199"/>
      <c r="E13" s="199"/>
      <c r="F13" s="199"/>
      <c r="G13" s="199"/>
      <c r="H13" s="199"/>
      <c r="I13" s="199"/>
      <c r="J13" s="199"/>
      <c r="K13" s="199"/>
      <c r="L13" s="199"/>
      <c r="M13" s="199"/>
      <c r="N13" s="199"/>
      <c r="O13" s="199"/>
      <c r="P13" s="199"/>
      <c r="Q13" s="199"/>
      <c r="R13" s="199"/>
      <c r="S13" s="199"/>
    </row>
    <row r="14" spans="1:19">
      <c r="C14" s="199"/>
      <c r="D14" s="199"/>
      <c r="E14" s="199"/>
      <c r="F14" s="199"/>
      <c r="G14" s="199"/>
      <c r="H14" s="199"/>
      <c r="I14" s="199"/>
      <c r="J14" s="199"/>
      <c r="K14" s="199"/>
      <c r="L14" s="199"/>
      <c r="M14" s="199"/>
      <c r="N14" s="199"/>
      <c r="O14" s="199"/>
      <c r="P14" s="199"/>
      <c r="Q14" s="199"/>
      <c r="R14" s="199"/>
      <c r="S14" s="199"/>
    </row>
    <row r="15" spans="1:19">
      <c r="C15" s="199"/>
      <c r="D15" s="199"/>
      <c r="E15" s="199"/>
      <c r="F15" s="199"/>
      <c r="G15" s="199"/>
      <c r="H15" s="199"/>
      <c r="I15" s="199"/>
      <c r="J15" s="199"/>
      <c r="K15" s="199"/>
      <c r="L15" s="199"/>
      <c r="M15" s="199"/>
      <c r="N15" s="199"/>
      <c r="O15" s="199"/>
      <c r="P15" s="199"/>
      <c r="Q15" s="199"/>
      <c r="R15" s="199"/>
      <c r="S15" s="199"/>
    </row>
    <row r="16" spans="1:19">
      <c r="C16" s="199"/>
      <c r="D16" s="199"/>
      <c r="E16" s="199"/>
      <c r="F16" s="199"/>
      <c r="G16" s="199"/>
      <c r="H16" s="199"/>
      <c r="I16" s="199"/>
      <c r="J16" s="199"/>
      <c r="K16" s="199"/>
      <c r="L16" s="199"/>
      <c r="M16" s="199"/>
      <c r="N16" s="199"/>
      <c r="O16" s="199"/>
      <c r="P16" s="199"/>
      <c r="Q16" s="199"/>
      <c r="R16" s="199"/>
      <c r="S16" s="199"/>
    </row>
    <row r="17" spans="3:19">
      <c r="C17" s="199"/>
      <c r="D17" s="199"/>
      <c r="E17" s="199"/>
      <c r="F17" s="199"/>
      <c r="G17" s="199"/>
      <c r="H17" s="199"/>
      <c r="I17" s="199"/>
      <c r="J17" s="199"/>
      <c r="K17" s="199"/>
      <c r="L17" s="199"/>
      <c r="M17" s="199"/>
      <c r="N17" s="199"/>
      <c r="O17" s="199"/>
      <c r="P17" s="199"/>
      <c r="Q17" s="199"/>
      <c r="R17" s="199"/>
      <c r="S17" s="199"/>
    </row>
    <row r="18" spans="3:19">
      <c r="C18" s="199"/>
      <c r="D18" s="199"/>
      <c r="E18" s="199"/>
      <c r="F18" s="199"/>
      <c r="G18" s="199"/>
      <c r="H18" s="199"/>
      <c r="I18" s="199"/>
      <c r="J18" s="199"/>
      <c r="K18" s="199"/>
      <c r="L18" s="199"/>
      <c r="M18" s="199"/>
      <c r="N18" s="199"/>
      <c r="O18" s="199"/>
      <c r="P18" s="199"/>
      <c r="Q18" s="199"/>
      <c r="R18" s="199"/>
      <c r="S18" s="199"/>
    </row>
    <row r="19" spans="3:19">
      <c r="C19" s="199"/>
      <c r="D19" s="199"/>
      <c r="E19" s="199"/>
      <c r="F19" s="199"/>
      <c r="G19" s="199"/>
      <c r="H19" s="199"/>
      <c r="I19" s="199"/>
      <c r="J19" s="199"/>
      <c r="K19" s="199"/>
      <c r="L19" s="199"/>
      <c r="M19" s="199"/>
      <c r="N19" s="199"/>
      <c r="O19" s="199"/>
      <c r="P19" s="199"/>
      <c r="Q19" s="199"/>
      <c r="R19" s="199"/>
      <c r="S19" s="199"/>
    </row>
    <row r="20" spans="3:19">
      <c r="C20" s="199"/>
      <c r="D20" s="199"/>
      <c r="E20" s="199"/>
      <c r="F20" s="199"/>
      <c r="G20" s="199"/>
      <c r="H20" s="199"/>
      <c r="I20" s="199"/>
      <c r="J20" s="199"/>
      <c r="K20" s="199"/>
      <c r="L20" s="199"/>
      <c r="M20" s="199"/>
      <c r="N20" s="199"/>
      <c r="O20" s="199"/>
      <c r="P20" s="199"/>
      <c r="Q20" s="199"/>
      <c r="R20" s="199"/>
      <c r="S20" s="199"/>
    </row>
    <row r="21" spans="3:19">
      <c r="C21" s="199"/>
      <c r="D21" s="199"/>
      <c r="E21" s="199"/>
      <c r="F21" s="199"/>
      <c r="G21" s="199"/>
      <c r="H21" s="199"/>
      <c r="I21" s="199"/>
      <c r="J21" s="199"/>
      <c r="K21" s="199"/>
      <c r="L21" s="199"/>
      <c r="M21" s="199"/>
      <c r="N21" s="199"/>
      <c r="O21" s="199"/>
      <c r="P21" s="199"/>
      <c r="Q21" s="199"/>
      <c r="R21" s="199"/>
      <c r="S21" s="199"/>
    </row>
    <row r="22" spans="3:19">
      <c r="D22" s="199"/>
      <c r="E22" s="199"/>
      <c r="F22" s="199"/>
      <c r="G22" s="199"/>
      <c r="H22" s="199"/>
      <c r="I22" s="199"/>
      <c r="J22" s="199"/>
      <c r="K22" s="199"/>
      <c r="L22" s="199"/>
      <c r="M22" s="199"/>
      <c r="N22" s="199"/>
      <c r="O22" s="199"/>
      <c r="P22" s="199"/>
      <c r="Q22" s="199"/>
      <c r="R22" s="199"/>
      <c r="S22" s="199"/>
    </row>
    <row r="23" spans="3:19">
      <c r="D23" s="199"/>
      <c r="E23" s="199"/>
      <c r="F23" s="199"/>
      <c r="G23" s="199"/>
      <c r="H23" s="199"/>
      <c r="I23" s="199"/>
      <c r="J23" s="199"/>
      <c r="K23" s="199"/>
      <c r="L23" s="199"/>
      <c r="M23" s="199"/>
      <c r="N23" s="199"/>
      <c r="O23" s="199"/>
      <c r="P23" s="199"/>
      <c r="Q23" s="199"/>
      <c r="R23" s="199"/>
      <c r="S23" s="199"/>
    </row>
    <row r="24" spans="3:19">
      <c r="D24" s="199"/>
      <c r="E24" s="199"/>
      <c r="F24" s="199"/>
      <c r="G24" s="199"/>
      <c r="H24" s="199"/>
      <c r="I24" s="199"/>
      <c r="J24" s="199"/>
      <c r="K24" s="199"/>
      <c r="L24" s="199"/>
      <c r="M24" s="199"/>
      <c r="N24" s="199"/>
      <c r="O24" s="199"/>
      <c r="P24" s="199"/>
      <c r="Q24" s="199"/>
      <c r="R24" s="199"/>
      <c r="S24" s="199"/>
    </row>
    <row r="25" spans="3:19">
      <c r="D25" s="199"/>
      <c r="E25" s="199"/>
      <c r="F25" s="199"/>
      <c r="G25" s="199"/>
      <c r="H25" s="199"/>
      <c r="I25" s="199"/>
      <c r="J25" s="199"/>
      <c r="K25" s="199"/>
      <c r="L25" s="199"/>
      <c r="M25" s="199"/>
      <c r="N25" s="199"/>
      <c r="O25" s="199"/>
      <c r="P25" s="199"/>
      <c r="Q25" s="199"/>
      <c r="R25" s="199"/>
      <c r="S25" s="199"/>
    </row>
    <row r="26" spans="3:19">
      <c r="D26" s="199"/>
      <c r="E26" s="199"/>
      <c r="F26" s="199"/>
      <c r="G26" s="199"/>
      <c r="H26" s="199"/>
      <c r="I26" s="199"/>
      <c r="J26" s="199"/>
      <c r="K26" s="199"/>
      <c r="L26" s="199"/>
      <c r="M26" s="199"/>
      <c r="N26" s="199"/>
      <c r="O26" s="199"/>
      <c r="P26" s="199"/>
      <c r="Q26" s="199"/>
      <c r="R26" s="199"/>
      <c r="S26" s="199"/>
    </row>
    <row r="27" spans="3:19">
      <c r="D27" s="199"/>
      <c r="E27" s="199"/>
      <c r="F27" s="199"/>
      <c r="G27" s="199"/>
      <c r="H27" s="199"/>
      <c r="I27" s="199"/>
      <c r="J27" s="199"/>
      <c r="K27" s="199"/>
      <c r="L27" s="199"/>
      <c r="M27" s="199"/>
      <c r="N27" s="199"/>
      <c r="O27" s="199"/>
      <c r="P27" s="199"/>
      <c r="Q27" s="199"/>
      <c r="R27" s="199"/>
      <c r="S27" s="199"/>
    </row>
    <row r="28" spans="3:19">
      <c r="D28" s="199"/>
      <c r="E28" s="199"/>
      <c r="F28" s="199"/>
      <c r="G28" s="199"/>
      <c r="H28" s="199"/>
      <c r="I28" s="199"/>
      <c r="J28" s="199"/>
      <c r="K28" s="199"/>
      <c r="L28" s="199"/>
      <c r="M28" s="199"/>
      <c r="N28" s="199"/>
      <c r="O28" s="199"/>
      <c r="P28" s="199"/>
      <c r="Q28" s="199"/>
      <c r="R28" s="199"/>
      <c r="S28" s="199"/>
    </row>
    <row r="29" spans="3:19">
      <c r="D29" s="199"/>
      <c r="E29" s="199"/>
      <c r="F29" s="199"/>
      <c r="G29" s="199"/>
      <c r="H29" s="199"/>
      <c r="I29" s="199"/>
      <c r="J29" s="199"/>
      <c r="K29" s="199"/>
      <c r="L29" s="199"/>
      <c r="M29" s="199"/>
      <c r="N29" s="199"/>
      <c r="O29" s="199"/>
      <c r="P29" s="199"/>
      <c r="Q29" s="199"/>
      <c r="R29" s="199"/>
      <c r="S29" s="199"/>
    </row>
    <row r="30" spans="3:19">
      <c r="D30" s="199"/>
      <c r="E30" s="199"/>
      <c r="F30" s="199"/>
      <c r="G30" s="199"/>
      <c r="H30" s="199"/>
      <c r="I30" s="199"/>
      <c r="J30" s="199"/>
      <c r="K30" s="199"/>
      <c r="L30" s="199"/>
      <c r="M30" s="199"/>
      <c r="N30" s="199"/>
      <c r="O30" s="199"/>
      <c r="P30" s="199"/>
      <c r="Q30" s="199"/>
      <c r="R30" s="199"/>
      <c r="S30" s="199"/>
    </row>
    <row r="31" spans="3:19">
      <c r="D31" s="199"/>
      <c r="E31" s="199"/>
      <c r="F31" s="199"/>
      <c r="G31" s="199"/>
      <c r="H31" s="199"/>
      <c r="I31" s="199"/>
      <c r="J31" s="199"/>
      <c r="K31" s="199"/>
      <c r="L31" s="199"/>
      <c r="M31" s="199"/>
      <c r="N31" s="199"/>
      <c r="O31" s="199"/>
      <c r="P31" s="199"/>
      <c r="Q31" s="199"/>
      <c r="R31" s="199"/>
      <c r="S31" s="199"/>
    </row>
    <row r="32" spans="3:19">
      <c r="D32" s="199"/>
      <c r="E32" s="199"/>
      <c r="F32" s="199"/>
      <c r="G32" s="199"/>
      <c r="H32" s="199"/>
      <c r="I32" s="199"/>
      <c r="J32" s="199"/>
      <c r="K32" s="199"/>
      <c r="L32" s="199"/>
      <c r="M32" s="199"/>
      <c r="N32" s="199"/>
      <c r="O32" s="199"/>
      <c r="P32" s="199"/>
      <c r="Q32" s="199"/>
      <c r="R32" s="199"/>
      <c r="S32" s="199"/>
    </row>
    <row r="33" spans="4:19">
      <c r="D33" s="199"/>
      <c r="E33" s="199"/>
      <c r="F33" s="199"/>
      <c r="G33" s="199"/>
      <c r="H33" s="199"/>
      <c r="I33" s="199"/>
      <c r="J33" s="199"/>
      <c r="K33" s="199"/>
      <c r="L33" s="199"/>
      <c r="M33" s="199"/>
      <c r="N33" s="199"/>
      <c r="O33" s="199"/>
      <c r="P33" s="199"/>
      <c r="Q33" s="199"/>
      <c r="R33" s="199"/>
      <c r="S33" s="199"/>
    </row>
    <row r="34" spans="4:19">
      <c r="D34" s="199"/>
      <c r="E34" s="199"/>
      <c r="F34" s="199"/>
      <c r="G34" s="199"/>
      <c r="H34" s="199"/>
      <c r="I34" s="199"/>
      <c r="J34" s="199"/>
      <c r="K34" s="199"/>
      <c r="L34" s="199"/>
      <c r="M34" s="199"/>
      <c r="N34" s="199"/>
      <c r="O34" s="199"/>
      <c r="P34" s="199"/>
      <c r="Q34" s="199"/>
      <c r="R34" s="199"/>
      <c r="S34" s="199"/>
    </row>
    <row r="35" spans="4:19">
      <c r="D35" s="199"/>
      <c r="E35" s="199"/>
      <c r="F35" s="199"/>
      <c r="G35" s="199"/>
      <c r="H35" s="199"/>
      <c r="I35" s="199"/>
      <c r="J35" s="199"/>
      <c r="K35" s="199"/>
      <c r="L35" s="199"/>
      <c r="M35" s="199"/>
      <c r="N35" s="199"/>
      <c r="O35" s="199"/>
      <c r="P35" s="199"/>
      <c r="Q35" s="199"/>
      <c r="R35" s="199"/>
      <c r="S35" s="199"/>
    </row>
    <row r="36" spans="4:19">
      <c r="D36" s="199"/>
      <c r="E36" s="199"/>
      <c r="F36" s="199"/>
      <c r="G36" s="199"/>
      <c r="H36" s="199"/>
      <c r="I36" s="199"/>
      <c r="J36" s="199"/>
      <c r="K36" s="199"/>
      <c r="L36" s="199"/>
      <c r="M36" s="199"/>
      <c r="N36" s="199"/>
      <c r="O36" s="199"/>
      <c r="P36" s="199"/>
      <c r="Q36" s="199"/>
      <c r="R36" s="199"/>
      <c r="S36" s="199"/>
    </row>
    <row r="37" spans="4:19">
      <c r="D37" s="199"/>
      <c r="E37" s="199"/>
      <c r="F37" s="199"/>
      <c r="G37" s="199"/>
      <c r="H37" s="199"/>
      <c r="I37" s="199"/>
      <c r="J37" s="199"/>
      <c r="K37" s="199"/>
      <c r="L37" s="199"/>
      <c r="M37" s="199"/>
      <c r="N37" s="199"/>
      <c r="O37" s="199"/>
      <c r="P37" s="199"/>
      <c r="Q37" s="199"/>
      <c r="R37" s="199"/>
      <c r="S37" s="199"/>
    </row>
    <row r="38" spans="4:19">
      <c r="D38" s="199"/>
      <c r="E38" s="199"/>
      <c r="F38" s="199"/>
      <c r="G38" s="199"/>
      <c r="H38" s="199"/>
      <c r="I38" s="199"/>
      <c r="J38" s="199"/>
      <c r="K38" s="199"/>
      <c r="L38" s="199"/>
      <c r="M38" s="199"/>
      <c r="N38" s="199"/>
      <c r="O38" s="199"/>
      <c r="P38" s="199"/>
      <c r="Q38" s="199"/>
      <c r="R38" s="199"/>
      <c r="S38" s="199"/>
    </row>
    <row r="39" spans="4:19">
      <c r="D39" s="199"/>
      <c r="E39" s="199"/>
      <c r="F39" s="199"/>
      <c r="G39" s="199"/>
      <c r="H39" s="199"/>
      <c r="I39" s="199"/>
      <c r="J39" s="199"/>
      <c r="K39" s="199"/>
      <c r="L39" s="199"/>
      <c r="M39" s="199"/>
      <c r="N39" s="199"/>
      <c r="O39" s="199"/>
      <c r="P39" s="199"/>
      <c r="Q39" s="199"/>
      <c r="R39" s="199"/>
      <c r="S39" s="199"/>
    </row>
    <row r="40" spans="4:19">
      <c r="D40" s="199"/>
      <c r="E40" s="199"/>
      <c r="F40" s="199"/>
      <c r="G40" s="199"/>
      <c r="H40" s="199"/>
      <c r="I40" s="199"/>
      <c r="J40" s="199"/>
      <c r="K40" s="199"/>
      <c r="L40" s="199"/>
      <c r="M40" s="199"/>
      <c r="N40" s="199"/>
      <c r="O40" s="199"/>
      <c r="P40" s="199"/>
      <c r="Q40" s="199"/>
      <c r="R40" s="199"/>
      <c r="S40" s="199"/>
    </row>
    <row r="41" spans="4:19">
      <c r="D41" s="199"/>
      <c r="E41" s="199"/>
      <c r="F41" s="199"/>
      <c r="G41" s="199"/>
      <c r="H41" s="199"/>
      <c r="I41" s="199"/>
      <c r="J41" s="199"/>
      <c r="K41" s="199"/>
      <c r="L41" s="199"/>
      <c r="M41" s="199"/>
      <c r="N41" s="199"/>
      <c r="O41" s="199"/>
      <c r="P41" s="199"/>
      <c r="Q41" s="199"/>
      <c r="R41" s="199"/>
      <c r="S41" s="199"/>
    </row>
    <row r="42" spans="4:19">
      <c r="D42" s="199"/>
      <c r="E42" s="199"/>
      <c r="F42" s="199"/>
      <c r="G42" s="199"/>
      <c r="H42" s="199"/>
      <c r="I42" s="199"/>
      <c r="J42" s="199"/>
      <c r="K42" s="199"/>
      <c r="L42" s="199"/>
      <c r="M42" s="199"/>
      <c r="N42" s="199"/>
      <c r="O42" s="199"/>
      <c r="P42" s="199"/>
      <c r="Q42" s="199"/>
      <c r="R42" s="199"/>
      <c r="S42" s="199"/>
    </row>
    <row r="43" spans="4:19">
      <c r="D43" s="199"/>
      <c r="E43" s="199"/>
      <c r="F43" s="199"/>
      <c r="G43" s="199"/>
      <c r="H43" s="199"/>
      <c r="I43" s="199"/>
      <c r="J43" s="199"/>
      <c r="K43" s="199"/>
      <c r="L43" s="199"/>
      <c r="M43" s="199"/>
      <c r="N43" s="199"/>
      <c r="O43" s="199"/>
      <c r="P43" s="199"/>
      <c r="Q43" s="199"/>
      <c r="R43" s="199"/>
      <c r="S43" s="199"/>
    </row>
    <row r="44" spans="4:19">
      <c r="D44" s="199"/>
      <c r="E44" s="199"/>
      <c r="F44" s="199"/>
      <c r="G44" s="199"/>
      <c r="H44" s="199"/>
      <c r="I44" s="199"/>
      <c r="J44" s="199"/>
      <c r="K44" s="199"/>
      <c r="L44" s="199"/>
      <c r="M44" s="199"/>
      <c r="N44" s="199"/>
      <c r="O44" s="199"/>
      <c r="P44" s="199"/>
      <c r="Q44" s="199"/>
      <c r="R44" s="199"/>
      <c r="S44" s="199"/>
    </row>
    <row r="45" spans="4:19">
      <c r="D45" s="199"/>
      <c r="E45" s="199"/>
      <c r="F45" s="199"/>
      <c r="G45" s="199"/>
      <c r="H45" s="199"/>
      <c r="I45" s="199"/>
      <c r="J45" s="199"/>
      <c r="K45" s="199"/>
      <c r="L45" s="199"/>
      <c r="M45" s="199"/>
      <c r="N45" s="199"/>
      <c r="O45" s="199"/>
      <c r="P45" s="199"/>
      <c r="Q45" s="199"/>
      <c r="R45" s="199"/>
      <c r="S45" s="199"/>
    </row>
    <row r="46" spans="4:19">
      <c r="D46" s="199"/>
      <c r="E46" s="199"/>
      <c r="F46" s="199"/>
      <c r="G46" s="199"/>
      <c r="H46" s="199"/>
      <c r="I46" s="199"/>
      <c r="J46" s="199"/>
      <c r="K46" s="199"/>
      <c r="L46" s="199"/>
      <c r="M46" s="199"/>
      <c r="N46" s="199"/>
      <c r="O46" s="199"/>
      <c r="P46" s="199"/>
      <c r="Q46" s="199"/>
      <c r="R46" s="199"/>
      <c r="S46" s="199"/>
    </row>
    <row r="47" spans="4:19">
      <c r="D47" s="199"/>
      <c r="E47" s="199"/>
      <c r="F47" s="199"/>
      <c r="G47" s="199"/>
      <c r="H47" s="199"/>
      <c r="I47" s="199"/>
      <c r="J47" s="199"/>
      <c r="K47" s="199"/>
      <c r="L47" s="199"/>
      <c r="M47" s="199"/>
      <c r="N47" s="199"/>
      <c r="O47" s="199"/>
      <c r="P47" s="199"/>
      <c r="Q47" s="199"/>
      <c r="R47" s="199"/>
      <c r="S47" s="199"/>
    </row>
    <row r="48" spans="4:19">
      <c r="D48" s="199"/>
      <c r="E48" s="199"/>
      <c r="F48" s="199"/>
      <c r="G48" s="199"/>
      <c r="H48" s="199"/>
      <c r="I48" s="199"/>
      <c r="J48" s="199"/>
      <c r="K48" s="199"/>
      <c r="L48" s="199"/>
      <c r="M48" s="199"/>
      <c r="N48" s="199"/>
      <c r="O48" s="199"/>
      <c r="P48" s="199"/>
      <c r="Q48" s="199"/>
      <c r="R48" s="199"/>
      <c r="S48" s="199"/>
    </row>
    <row r="49" spans="4:19">
      <c r="D49" s="199"/>
      <c r="E49" s="199"/>
      <c r="F49" s="199"/>
      <c r="G49" s="199"/>
      <c r="H49" s="199"/>
      <c r="I49" s="199"/>
      <c r="J49" s="199"/>
      <c r="K49" s="199"/>
      <c r="L49" s="199"/>
      <c r="M49" s="199"/>
      <c r="N49" s="199"/>
      <c r="O49" s="199"/>
      <c r="P49" s="199"/>
      <c r="Q49" s="199"/>
      <c r="R49" s="199"/>
      <c r="S49" s="199"/>
    </row>
    <row r="50" spans="4:19">
      <c r="D50" s="199"/>
      <c r="E50" s="199"/>
      <c r="F50" s="199"/>
      <c r="G50" s="199"/>
      <c r="H50" s="199"/>
      <c r="I50" s="199"/>
      <c r="J50" s="199"/>
      <c r="K50" s="199"/>
      <c r="L50" s="199"/>
      <c r="M50" s="199"/>
      <c r="N50" s="199"/>
      <c r="O50" s="199"/>
      <c r="P50" s="199"/>
      <c r="Q50" s="199"/>
      <c r="R50" s="199"/>
      <c r="S50" s="199"/>
    </row>
    <row r="51" spans="4:19">
      <c r="D51" s="199"/>
      <c r="E51" s="199"/>
      <c r="F51" s="199"/>
      <c r="G51" s="199"/>
      <c r="H51" s="199"/>
      <c r="I51" s="199"/>
      <c r="J51" s="199"/>
      <c r="K51" s="199"/>
      <c r="L51" s="199"/>
      <c r="M51" s="199"/>
      <c r="N51" s="199"/>
      <c r="O51" s="199"/>
      <c r="P51" s="199"/>
      <c r="Q51" s="199"/>
      <c r="R51" s="199"/>
      <c r="S51" s="199"/>
    </row>
    <row r="52" spans="4:19">
      <c r="D52" s="199"/>
      <c r="E52" s="199"/>
      <c r="F52" s="199"/>
      <c r="G52" s="199"/>
      <c r="H52" s="199"/>
      <c r="I52" s="199"/>
      <c r="J52" s="199"/>
      <c r="K52" s="199"/>
      <c r="L52" s="199"/>
      <c r="M52" s="199"/>
      <c r="N52" s="199"/>
      <c r="O52" s="199"/>
      <c r="P52" s="199"/>
      <c r="Q52" s="199"/>
      <c r="R52" s="199"/>
      <c r="S52" s="199"/>
    </row>
    <row r="53" spans="4:19">
      <c r="D53" s="199"/>
      <c r="E53" s="199"/>
      <c r="F53" s="199"/>
      <c r="G53" s="199"/>
      <c r="H53" s="199"/>
      <c r="I53" s="199"/>
      <c r="J53" s="199"/>
      <c r="K53" s="199"/>
      <c r="L53" s="199"/>
      <c r="M53" s="199"/>
      <c r="N53" s="199"/>
      <c r="O53" s="199"/>
      <c r="P53" s="199"/>
      <c r="Q53" s="199"/>
      <c r="R53" s="199"/>
      <c r="S53" s="199"/>
    </row>
    <row r="54" spans="4:19">
      <c r="D54" s="199"/>
      <c r="E54" s="199"/>
      <c r="F54" s="199"/>
      <c r="G54" s="199"/>
      <c r="H54" s="199"/>
      <c r="I54" s="199"/>
      <c r="J54" s="199"/>
      <c r="K54" s="199"/>
      <c r="L54" s="199"/>
      <c r="M54" s="199"/>
      <c r="N54" s="199"/>
      <c r="O54" s="199"/>
      <c r="P54" s="199"/>
      <c r="Q54" s="199"/>
      <c r="R54" s="199"/>
      <c r="S54" s="199"/>
    </row>
    <row r="55" spans="4:19">
      <c r="D55" s="199"/>
      <c r="E55" s="199"/>
      <c r="F55" s="199"/>
      <c r="G55" s="199"/>
      <c r="H55" s="199"/>
      <c r="I55" s="199"/>
      <c r="J55" s="199"/>
      <c r="K55" s="199"/>
      <c r="L55" s="199"/>
      <c r="M55" s="199"/>
      <c r="N55" s="199"/>
      <c r="O55" s="199"/>
      <c r="P55" s="199"/>
      <c r="Q55" s="199"/>
      <c r="R55" s="199"/>
      <c r="S55" s="199"/>
    </row>
    <row r="56" spans="4:19">
      <c r="D56" s="199"/>
      <c r="E56" s="199"/>
      <c r="F56" s="199"/>
      <c r="G56" s="199"/>
      <c r="H56" s="199"/>
      <c r="I56" s="199"/>
      <c r="J56" s="199"/>
      <c r="K56" s="199"/>
      <c r="L56" s="199"/>
      <c r="M56" s="199"/>
      <c r="N56" s="199"/>
      <c r="O56" s="199"/>
      <c r="P56" s="199"/>
      <c r="Q56" s="199"/>
      <c r="R56" s="199"/>
      <c r="S56" s="199"/>
    </row>
    <row r="57" spans="4:19">
      <c r="D57" s="199"/>
      <c r="E57" s="199"/>
      <c r="F57" s="199"/>
      <c r="G57" s="199"/>
      <c r="H57" s="199"/>
      <c r="I57" s="199"/>
      <c r="J57" s="199"/>
      <c r="K57" s="199"/>
      <c r="L57" s="199"/>
      <c r="M57" s="199"/>
      <c r="N57" s="199"/>
      <c r="O57" s="199"/>
      <c r="P57" s="199"/>
      <c r="Q57" s="199"/>
      <c r="R57" s="199"/>
      <c r="S57" s="199"/>
    </row>
    <row r="58" spans="4:19">
      <c r="D58" s="199"/>
      <c r="E58" s="199"/>
      <c r="F58" s="199"/>
      <c r="G58" s="199"/>
      <c r="H58" s="199"/>
      <c r="I58" s="199"/>
      <c r="J58" s="199"/>
      <c r="K58" s="199"/>
      <c r="L58" s="199"/>
      <c r="M58" s="199"/>
      <c r="N58" s="199"/>
      <c r="O58" s="199"/>
      <c r="P58" s="199"/>
      <c r="Q58" s="199"/>
      <c r="R58" s="199"/>
      <c r="S58" s="199"/>
    </row>
    <row r="59" spans="4:19">
      <c r="D59" s="199"/>
      <c r="E59" s="199"/>
      <c r="F59" s="199"/>
      <c r="G59" s="199"/>
      <c r="H59" s="199"/>
      <c r="I59" s="199"/>
      <c r="J59" s="199"/>
      <c r="K59" s="199"/>
      <c r="L59" s="199"/>
      <c r="M59" s="199"/>
      <c r="N59" s="199"/>
      <c r="O59" s="199"/>
      <c r="P59" s="199"/>
      <c r="Q59" s="199"/>
      <c r="R59" s="199"/>
      <c r="S59" s="199"/>
    </row>
    <row r="60" spans="4:19">
      <c r="D60" s="199"/>
      <c r="E60" s="199"/>
      <c r="F60" s="199"/>
      <c r="G60" s="199"/>
      <c r="H60" s="199"/>
      <c r="I60" s="199"/>
      <c r="J60" s="199"/>
      <c r="K60" s="199"/>
      <c r="L60" s="199"/>
      <c r="M60" s="199"/>
      <c r="N60" s="199"/>
      <c r="O60" s="199"/>
      <c r="P60" s="199"/>
      <c r="Q60" s="199"/>
      <c r="R60" s="199"/>
      <c r="S60" s="199"/>
    </row>
    <row r="61" spans="4:19">
      <c r="D61" s="199"/>
      <c r="E61" s="199"/>
      <c r="F61" s="199"/>
      <c r="G61" s="199"/>
      <c r="H61" s="199"/>
      <c r="I61" s="199"/>
      <c r="J61" s="199"/>
      <c r="K61" s="199"/>
      <c r="L61" s="199"/>
      <c r="M61" s="199"/>
      <c r="N61" s="199"/>
      <c r="O61" s="199"/>
      <c r="P61" s="199"/>
      <c r="Q61" s="199"/>
      <c r="R61" s="199"/>
      <c r="S61" s="199"/>
    </row>
    <row r="62" spans="4:19">
      <c r="D62" s="199"/>
      <c r="E62" s="199"/>
      <c r="F62" s="199"/>
      <c r="G62" s="199"/>
      <c r="H62" s="199"/>
      <c r="I62" s="199"/>
      <c r="J62" s="199"/>
      <c r="K62" s="199"/>
      <c r="L62" s="199"/>
      <c r="M62" s="199"/>
      <c r="N62" s="199"/>
      <c r="O62" s="199"/>
      <c r="P62" s="199"/>
      <c r="Q62" s="199"/>
      <c r="R62" s="199"/>
      <c r="S62" s="199"/>
    </row>
    <row r="63" spans="4:19">
      <c r="D63" s="199"/>
      <c r="E63" s="199"/>
      <c r="F63" s="199"/>
      <c r="G63" s="199"/>
      <c r="H63" s="199"/>
      <c r="I63" s="199"/>
      <c r="J63" s="199"/>
      <c r="K63" s="199"/>
      <c r="L63" s="199"/>
      <c r="M63" s="199"/>
      <c r="N63" s="199"/>
      <c r="O63" s="199"/>
      <c r="P63" s="199"/>
      <c r="Q63" s="199"/>
      <c r="R63" s="199"/>
      <c r="S63" s="199"/>
    </row>
    <row r="64" spans="4:19">
      <c r="D64" s="199"/>
      <c r="E64" s="199"/>
      <c r="F64" s="199"/>
      <c r="G64" s="199"/>
      <c r="H64" s="199"/>
      <c r="I64" s="199"/>
      <c r="J64" s="199"/>
      <c r="K64" s="199"/>
      <c r="L64" s="199"/>
      <c r="M64" s="199"/>
      <c r="N64" s="199"/>
      <c r="O64" s="199"/>
      <c r="P64" s="199"/>
      <c r="Q64" s="199"/>
      <c r="R64" s="199"/>
      <c r="S64" s="199"/>
    </row>
    <row r="65" spans="4:19">
      <c r="D65" s="199"/>
      <c r="E65" s="199"/>
      <c r="F65" s="199"/>
      <c r="G65" s="199"/>
      <c r="H65" s="199"/>
      <c r="I65" s="199"/>
      <c r="J65" s="199"/>
      <c r="K65" s="199"/>
      <c r="L65" s="199"/>
      <c r="M65" s="199"/>
      <c r="N65" s="199"/>
      <c r="O65" s="199"/>
      <c r="P65" s="199"/>
      <c r="Q65" s="199"/>
      <c r="R65" s="199"/>
      <c r="S65" s="199"/>
    </row>
    <row r="66" spans="4:19">
      <c r="D66" s="199"/>
      <c r="E66" s="199"/>
      <c r="F66" s="199"/>
      <c r="G66" s="199"/>
      <c r="H66" s="199"/>
      <c r="I66" s="199"/>
      <c r="J66" s="199"/>
      <c r="K66" s="199"/>
      <c r="L66" s="199"/>
      <c r="M66" s="199"/>
      <c r="N66" s="199"/>
      <c r="O66" s="199"/>
      <c r="P66" s="199"/>
      <c r="Q66" s="199"/>
      <c r="R66" s="199"/>
      <c r="S66" s="199"/>
    </row>
    <row r="67" spans="4:19">
      <c r="D67" s="199"/>
      <c r="E67" s="199"/>
      <c r="F67" s="199"/>
      <c r="G67" s="199"/>
      <c r="H67" s="199"/>
      <c r="I67" s="199"/>
      <c r="J67" s="199"/>
      <c r="K67" s="199"/>
      <c r="L67" s="199"/>
      <c r="M67" s="199"/>
      <c r="N67" s="199"/>
      <c r="O67" s="199"/>
      <c r="P67" s="199"/>
      <c r="Q67" s="199"/>
      <c r="R67" s="199"/>
      <c r="S67" s="199"/>
    </row>
    <row r="68" spans="4:19">
      <c r="D68" s="199"/>
      <c r="E68" s="199"/>
      <c r="F68" s="199"/>
      <c r="G68" s="199"/>
      <c r="H68" s="199"/>
      <c r="I68" s="199"/>
      <c r="J68" s="199"/>
      <c r="K68" s="199"/>
      <c r="L68" s="199"/>
      <c r="M68" s="199"/>
      <c r="N68" s="199"/>
      <c r="O68" s="199"/>
      <c r="P68" s="199"/>
      <c r="Q68" s="199"/>
      <c r="R68" s="199"/>
      <c r="S68" s="199"/>
    </row>
    <row r="69" spans="4:19">
      <c r="D69" s="199"/>
      <c r="E69" s="199"/>
      <c r="F69" s="199"/>
      <c r="G69" s="199"/>
      <c r="H69" s="199"/>
      <c r="I69" s="199"/>
      <c r="J69" s="199"/>
      <c r="K69" s="199"/>
      <c r="L69" s="199"/>
      <c r="M69" s="199"/>
      <c r="N69" s="199"/>
      <c r="O69" s="199"/>
      <c r="P69" s="199"/>
      <c r="Q69" s="199"/>
      <c r="R69" s="199"/>
      <c r="S69" s="199"/>
    </row>
    <row r="70" spans="4:19">
      <c r="D70" s="199"/>
      <c r="E70" s="199"/>
      <c r="F70" s="199"/>
      <c r="G70" s="199"/>
      <c r="H70" s="199"/>
      <c r="I70" s="199"/>
      <c r="J70" s="199"/>
      <c r="K70" s="199"/>
      <c r="L70" s="199"/>
      <c r="M70" s="199"/>
      <c r="N70" s="199"/>
      <c r="O70" s="199"/>
      <c r="P70" s="199"/>
      <c r="Q70" s="199"/>
      <c r="R70" s="199"/>
      <c r="S70" s="199"/>
    </row>
    <row r="71" spans="4:19">
      <c r="D71" s="199"/>
      <c r="E71" s="199"/>
      <c r="F71" s="199"/>
      <c r="G71" s="199"/>
      <c r="H71" s="199"/>
      <c r="I71" s="199"/>
      <c r="J71" s="199"/>
      <c r="K71" s="199"/>
      <c r="L71" s="199"/>
      <c r="M71" s="199"/>
      <c r="N71" s="199"/>
      <c r="O71" s="199"/>
      <c r="P71" s="199"/>
      <c r="Q71" s="199"/>
      <c r="R71" s="199"/>
      <c r="S71" s="199"/>
    </row>
    <row r="72" spans="4:19">
      <c r="D72" s="199"/>
      <c r="E72" s="199"/>
      <c r="F72" s="199"/>
      <c r="G72" s="199"/>
      <c r="H72" s="199"/>
      <c r="I72" s="199"/>
      <c r="J72" s="199"/>
      <c r="K72" s="199"/>
      <c r="L72" s="199"/>
      <c r="M72" s="199"/>
      <c r="N72" s="199"/>
      <c r="O72" s="199"/>
      <c r="P72" s="199"/>
      <c r="Q72" s="199"/>
      <c r="R72" s="199"/>
      <c r="S72" s="199"/>
    </row>
    <row r="73" spans="4:19">
      <c r="D73" s="199"/>
      <c r="E73" s="199"/>
      <c r="F73" s="199"/>
      <c r="G73" s="199"/>
      <c r="H73" s="199"/>
      <c r="I73" s="199"/>
      <c r="J73" s="199"/>
      <c r="K73" s="199"/>
      <c r="L73" s="199"/>
      <c r="M73" s="199"/>
      <c r="N73" s="199"/>
      <c r="O73" s="199"/>
      <c r="P73" s="199"/>
      <c r="Q73" s="199"/>
      <c r="R73" s="199"/>
      <c r="S73" s="199"/>
    </row>
    <row r="74" spans="4:19">
      <c r="D74" s="199"/>
      <c r="E74" s="199"/>
      <c r="F74" s="199"/>
      <c r="G74" s="199"/>
      <c r="H74" s="199"/>
      <c r="I74" s="199"/>
      <c r="J74" s="199"/>
      <c r="K74" s="199"/>
      <c r="L74" s="199"/>
      <c r="M74" s="199"/>
      <c r="N74" s="199"/>
      <c r="O74" s="199"/>
      <c r="P74" s="199"/>
      <c r="Q74" s="199"/>
      <c r="R74" s="199"/>
      <c r="S74" s="199"/>
    </row>
    <row r="75" spans="4:19">
      <c r="D75" s="199"/>
      <c r="E75" s="199"/>
      <c r="F75" s="199"/>
      <c r="G75" s="199"/>
      <c r="H75" s="199"/>
      <c r="I75" s="199"/>
      <c r="J75" s="199"/>
      <c r="K75" s="199"/>
      <c r="L75" s="199"/>
      <c r="M75" s="199"/>
      <c r="N75" s="199"/>
      <c r="O75" s="199"/>
      <c r="P75" s="199"/>
      <c r="Q75" s="199"/>
      <c r="R75" s="199"/>
      <c r="S75" s="199"/>
    </row>
    <row r="76" spans="4:19">
      <c r="D76" s="199"/>
      <c r="E76" s="199"/>
      <c r="F76" s="199"/>
      <c r="G76" s="199"/>
      <c r="H76" s="199"/>
      <c r="I76" s="199"/>
      <c r="J76" s="199"/>
      <c r="K76" s="199"/>
      <c r="L76" s="199"/>
      <c r="M76" s="199"/>
      <c r="N76" s="199"/>
      <c r="O76" s="199"/>
      <c r="P76" s="199"/>
      <c r="Q76" s="199"/>
      <c r="R76" s="199"/>
      <c r="S76" s="199"/>
    </row>
    <row r="77" spans="4:19">
      <c r="D77" s="199"/>
      <c r="E77" s="199"/>
      <c r="F77" s="199"/>
      <c r="G77" s="199"/>
      <c r="H77" s="199"/>
      <c r="I77" s="199"/>
      <c r="J77" s="199"/>
      <c r="K77" s="199"/>
      <c r="L77" s="199"/>
      <c r="M77" s="199"/>
      <c r="N77" s="199"/>
      <c r="O77" s="199"/>
      <c r="P77" s="199"/>
      <c r="Q77" s="199"/>
      <c r="R77" s="199"/>
      <c r="S77" s="199"/>
    </row>
    <row r="78" spans="4:19">
      <c r="D78" s="199"/>
      <c r="E78" s="199"/>
      <c r="F78" s="199"/>
      <c r="G78" s="199"/>
      <c r="H78" s="199"/>
      <c r="I78" s="199"/>
      <c r="J78" s="199"/>
      <c r="K78" s="199"/>
      <c r="L78" s="199"/>
      <c r="M78" s="199"/>
      <c r="N78" s="199"/>
      <c r="O78" s="199"/>
      <c r="P78" s="199"/>
      <c r="Q78" s="199"/>
      <c r="R78" s="199"/>
      <c r="S78" s="199"/>
    </row>
    <row r="79" spans="4:19">
      <c r="D79" s="199"/>
      <c r="E79" s="199"/>
      <c r="F79" s="199"/>
      <c r="G79" s="199"/>
      <c r="H79" s="199"/>
      <c r="I79" s="199"/>
      <c r="J79" s="199"/>
      <c r="K79" s="199"/>
      <c r="L79" s="199"/>
      <c r="M79" s="199"/>
      <c r="N79" s="199"/>
      <c r="O79" s="199"/>
      <c r="P79" s="199"/>
      <c r="Q79" s="199"/>
      <c r="R79" s="199"/>
      <c r="S79" s="199"/>
    </row>
    <row r="80" spans="4:19">
      <c r="D80" s="199"/>
      <c r="E80" s="199"/>
      <c r="F80" s="199"/>
      <c r="G80" s="199"/>
      <c r="H80" s="199"/>
      <c r="I80" s="199"/>
      <c r="J80" s="199"/>
      <c r="K80" s="199"/>
      <c r="L80" s="199"/>
      <c r="M80" s="199"/>
      <c r="N80" s="199"/>
      <c r="O80" s="199"/>
      <c r="P80" s="199"/>
      <c r="Q80" s="199"/>
      <c r="R80" s="199"/>
      <c r="S80" s="199"/>
    </row>
    <row r="81" spans="4:19">
      <c r="D81" s="199"/>
      <c r="E81" s="199"/>
      <c r="F81" s="199"/>
      <c r="G81" s="199"/>
      <c r="H81" s="199"/>
      <c r="I81" s="199"/>
      <c r="J81" s="199"/>
      <c r="K81" s="199"/>
      <c r="L81" s="199"/>
      <c r="M81" s="199"/>
      <c r="N81" s="199"/>
      <c r="O81" s="199"/>
      <c r="P81" s="199"/>
      <c r="Q81" s="199"/>
      <c r="R81" s="199"/>
      <c r="S81" s="199"/>
    </row>
    <row r="82" spans="4:19">
      <c r="D82" s="199"/>
      <c r="E82" s="199"/>
      <c r="F82" s="199"/>
      <c r="G82" s="199"/>
      <c r="H82" s="199"/>
      <c r="I82" s="199"/>
      <c r="J82" s="199"/>
      <c r="K82" s="199"/>
      <c r="L82" s="199"/>
      <c r="M82" s="199"/>
      <c r="N82" s="199"/>
      <c r="O82" s="199"/>
      <c r="P82" s="199"/>
      <c r="Q82" s="199"/>
      <c r="R82" s="199"/>
      <c r="S82" s="199"/>
    </row>
    <row r="83" spans="4:19">
      <c r="D83" s="199"/>
      <c r="E83" s="199"/>
      <c r="F83" s="199"/>
      <c r="G83" s="199"/>
      <c r="H83" s="199"/>
      <c r="I83" s="199"/>
      <c r="J83" s="199"/>
      <c r="K83" s="199"/>
      <c r="L83" s="199"/>
      <c r="M83" s="199"/>
      <c r="N83" s="199"/>
      <c r="O83" s="199"/>
      <c r="P83" s="199"/>
      <c r="Q83" s="199"/>
      <c r="R83" s="199"/>
      <c r="S83" s="199"/>
    </row>
    <row r="84" spans="4:19">
      <c r="D84" s="199"/>
      <c r="E84" s="199"/>
      <c r="F84" s="199"/>
      <c r="G84" s="199"/>
      <c r="H84" s="199"/>
      <c r="I84" s="199"/>
      <c r="J84" s="199"/>
      <c r="K84" s="199"/>
      <c r="L84" s="199"/>
      <c r="M84" s="199"/>
      <c r="N84" s="199"/>
      <c r="O84" s="199"/>
      <c r="P84" s="199"/>
      <c r="Q84" s="199"/>
      <c r="R84" s="199"/>
      <c r="S84" s="199"/>
    </row>
    <row r="85" spans="4:19">
      <c r="D85" s="199"/>
      <c r="E85" s="199"/>
      <c r="F85" s="199"/>
      <c r="G85" s="199"/>
      <c r="H85" s="199"/>
      <c r="I85" s="199"/>
      <c r="J85" s="199"/>
      <c r="K85" s="199"/>
      <c r="L85" s="199"/>
      <c r="M85" s="199"/>
      <c r="N85" s="199"/>
      <c r="O85" s="199"/>
      <c r="P85" s="199"/>
      <c r="Q85" s="199"/>
      <c r="R85" s="199"/>
      <c r="S85" s="199"/>
    </row>
    <row r="86" spans="4:19">
      <c r="D86" s="199"/>
      <c r="E86" s="199"/>
      <c r="F86" s="199"/>
      <c r="G86" s="199"/>
      <c r="H86" s="199"/>
      <c r="I86" s="199"/>
      <c r="J86" s="199"/>
      <c r="K86" s="199"/>
      <c r="L86" s="199"/>
      <c r="M86" s="199"/>
      <c r="N86" s="199"/>
      <c r="O86" s="199"/>
      <c r="P86" s="199"/>
      <c r="Q86" s="199"/>
      <c r="R86" s="199"/>
      <c r="S86" s="199"/>
    </row>
    <row r="87" spans="4:19">
      <c r="D87" s="199"/>
      <c r="E87" s="199"/>
      <c r="F87" s="199"/>
      <c r="G87" s="199"/>
      <c r="H87" s="199"/>
      <c r="I87" s="199"/>
      <c r="J87" s="199"/>
      <c r="K87" s="199"/>
      <c r="L87" s="199"/>
      <c r="M87" s="199"/>
      <c r="N87" s="199"/>
      <c r="O87" s="199"/>
      <c r="P87" s="199"/>
      <c r="Q87" s="199"/>
      <c r="R87" s="199"/>
      <c r="S87" s="199"/>
    </row>
    <row r="88" spans="4:19">
      <c r="D88" s="199"/>
      <c r="E88" s="199"/>
      <c r="F88" s="199"/>
      <c r="G88" s="199"/>
      <c r="H88" s="199"/>
      <c r="I88" s="199"/>
      <c r="J88" s="199"/>
      <c r="K88" s="199"/>
      <c r="L88" s="199"/>
      <c r="M88" s="199"/>
      <c r="N88" s="199"/>
      <c r="O88" s="199"/>
      <c r="P88" s="199"/>
      <c r="Q88" s="199"/>
      <c r="R88" s="199"/>
      <c r="S88" s="199"/>
    </row>
    <row r="89" spans="4:19">
      <c r="D89" s="199"/>
      <c r="E89" s="199"/>
      <c r="F89" s="199"/>
      <c r="G89" s="199"/>
      <c r="H89" s="199"/>
      <c r="I89" s="199"/>
      <c r="J89" s="199"/>
      <c r="K89" s="199"/>
      <c r="L89" s="199"/>
      <c r="M89" s="199"/>
      <c r="N89" s="199"/>
      <c r="O89" s="199"/>
      <c r="P89" s="199"/>
      <c r="Q89" s="199"/>
      <c r="R89" s="199"/>
      <c r="S89" s="199"/>
    </row>
    <row r="90" spans="4:19">
      <c r="D90" s="199"/>
      <c r="E90" s="199"/>
      <c r="F90" s="199"/>
      <c r="G90" s="199"/>
      <c r="H90" s="199"/>
      <c r="I90" s="199"/>
      <c r="J90" s="199"/>
      <c r="K90" s="199"/>
      <c r="L90" s="199"/>
      <c r="M90" s="199"/>
      <c r="N90" s="199"/>
      <c r="O90" s="199"/>
      <c r="P90" s="199"/>
      <c r="Q90" s="199"/>
      <c r="R90" s="199"/>
      <c r="S90" s="199"/>
    </row>
    <row r="91" spans="4:19">
      <c r="D91" s="199"/>
      <c r="E91" s="199"/>
      <c r="F91" s="199"/>
      <c r="G91" s="199"/>
      <c r="H91" s="199"/>
      <c r="I91" s="199"/>
      <c r="J91" s="199"/>
      <c r="K91" s="199"/>
      <c r="L91" s="199"/>
      <c r="M91" s="199"/>
      <c r="N91" s="199"/>
      <c r="O91" s="199"/>
      <c r="P91" s="199"/>
      <c r="Q91" s="199"/>
      <c r="R91" s="199"/>
      <c r="S91" s="199"/>
    </row>
    <row r="92" spans="4:19">
      <c r="D92" s="199"/>
      <c r="E92" s="199"/>
      <c r="F92" s="199"/>
      <c r="G92" s="199"/>
      <c r="H92" s="199"/>
      <c r="I92" s="199"/>
      <c r="J92" s="199"/>
      <c r="K92" s="199"/>
      <c r="L92" s="199"/>
      <c r="M92" s="199"/>
      <c r="N92" s="199"/>
      <c r="O92" s="199"/>
      <c r="P92" s="199"/>
      <c r="Q92" s="199"/>
      <c r="R92" s="199"/>
      <c r="S92" s="199"/>
    </row>
    <row r="93" spans="4:19">
      <c r="D93" s="199"/>
      <c r="E93" s="199"/>
      <c r="F93" s="199"/>
      <c r="G93" s="199"/>
      <c r="H93" s="199"/>
      <c r="I93" s="199"/>
      <c r="J93" s="199"/>
      <c r="K93" s="199"/>
      <c r="L93" s="199"/>
      <c r="M93" s="199"/>
      <c r="N93" s="199"/>
      <c r="O93" s="199"/>
      <c r="P93" s="199"/>
      <c r="Q93" s="199"/>
      <c r="R93" s="199"/>
      <c r="S93" s="199"/>
    </row>
    <row r="94" spans="4:19">
      <c r="D94" s="199"/>
      <c r="E94" s="199"/>
      <c r="F94" s="199"/>
      <c r="G94" s="199"/>
      <c r="H94" s="199"/>
      <c r="I94" s="199"/>
      <c r="J94" s="199"/>
      <c r="K94" s="199"/>
      <c r="L94" s="199"/>
      <c r="M94" s="199"/>
      <c r="N94" s="199"/>
      <c r="O94" s="199"/>
      <c r="P94" s="199"/>
      <c r="Q94" s="199"/>
      <c r="R94" s="199"/>
      <c r="S94" s="199"/>
    </row>
    <row r="95" spans="4:19">
      <c r="D95" s="199"/>
      <c r="E95" s="199"/>
      <c r="F95" s="199"/>
      <c r="G95" s="199"/>
      <c r="H95" s="199"/>
      <c r="I95" s="199"/>
      <c r="J95" s="199"/>
      <c r="K95" s="199"/>
      <c r="L95" s="199"/>
      <c r="M95" s="199"/>
      <c r="N95" s="199"/>
      <c r="O95" s="199"/>
      <c r="P95" s="199"/>
      <c r="Q95" s="199"/>
      <c r="R95" s="199"/>
      <c r="S95" s="199"/>
    </row>
    <row r="96" spans="4:19">
      <c r="D96" s="199"/>
      <c r="E96" s="199"/>
      <c r="F96" s="199"/>
      <c r="G96" s="199"/>
      <c r="H96" s="199"/>
      <c r="I96" s="199"/>
      <c r="J96" s="199"/>
      <c r="K96" s="199"/>
      <c r="L96" s="199"/>
      <c r="M96" s="199"/>
      <c r="N96" s="199"/>
      <c r="O96" s="199"/>
      <c r="P96" s="199"/>
      <c r="Q96" s="199"/>
      <c r="R96" s="199"/>
      <c r="S96" s="199"/>
    </row>
    <row r="97" spans="4:19">
      <c r="D97" s="199"/>
      <c r="E97" s="199"/>
      <c r="F97" s="199"/>
      <c r="G97" s="199"/>
      <c r="H97" s="199"/>
      <c r="I97" s="199"/>
      <c r="J97" s="199"/>
      <c r="K97" s="199"/>
      <c r="L97" s="199"/>
      <c r="M97" s="199"/>
      <c r="N97" s="199"/>
      <c r="O97" s="199"/>
      <c r="P97" s="199"/>
      <c r="Q97" s="199"/>
      <c r="R97" s="199"/>
      <c r="S97" s="199"/>
    </row>
    <row r="98" spans="4:19">
      <c r="D98" s="199"/>
      <c r="E98" s="199"/>
      <c r="F98" s="199"/>
      <c r="G98" s="199"/>
      <c r="H98" s="199"/>
      <c r="I98" s="199"/>
      <c r="J98" s="199"/>
      <c r="K98" s="199"/>
      <c r="L98" s="199"/>
      <c r="M98" s="199"/>
      <c r="N98" s="199"/>
      <c r="O98" s="199"/>
      <c r="P98" s="199"/>
      <c r="Q98" s="199"/>
      <c r="R98" s="199"/>
      <c r="S98" s="199"/>
    </row>
    <row r="99" spans="4:19">
      <c r="D99" s="199"/>
      <c r="E99" s="199"/>
      <c r="F99" s="199"/>
      <c r="G99" s="199"/>
      <c r="H99" s="199"/>
      <c r="I99" s="199"/>
      <c r="J99" s="199"/>
      <c r="K99" s="199"/>
      <c r="L99" s="199"/>
      <c r="M99" s="199"/>
      <c r="N99" s="199"/>
      <c r="O99" s="199"/>
      <c r="P99" s="199"/>
      <c r="Q99" s="199"/>
      <c r="R99" s="199"/>
      <c r="S99" s="199"/>
    </row>
    <row r="100" spans="4:19">
      <c r="D100" s="199"/>
      <c r="E100" s="199"/>
      <c r="F100" s="199"/>
      <c r="G100" s="199"/>
      <c r="H100" s="199"/>
      <c r="I100" s="199"/>
      <c r="J100" s="199"/>
      <c r="K100" s="199"/>
      <c r="L100" s="199"/>
      <c r="M100" s="199"/>
      <c r="N100" s="199"/>
      <c r="O100" s="199"/>
      <c r="P100" s="199"/>
      <c r="Q100" s="199"/>
      <c r="R100" s="199"/>
      <c r="S100" s="199"/>
    </row>
    <row r="101" spans="4:19">
      <c r="D101" s="199"/>
      <c r="E101" s="199"/>
      <c r="F101" s="199"/>
      <c r="G101" s="199"/>
      <c r="H101" s="199"/>
      <c r="I101" s="199"/>
      <c r="J101" s="199"/>
      <c r="K101" s="199"/>
      <c r="L101" s="199"/>
      <c r="M101" s="199"/>
      <c r="N101" s="199"/>
      <c r="O101" s="199"/>
      <c r="P101" s="199"/>
      <c r="Q101" s="199"/>
      <c r="R101" s="199"/>
      <c r="S101" s="199"/>
    </row>
    <row r="102" spans="4:19">
      <c r="D102" s="199"/>
      <c r="E102" s="199"/>
      <c r="F102" s="199"/>
      <c r="G102" s="199"/>
      <c r="H102" s="199"/>
      <c r="I102" s="199"/>
      <c r="J102" s="199"/>
      <c r="K102" s="199"/>
      <c r="L102" s="199"/>
      <c r="M102" s="199"/>
      <c r="N102" s="199"/>
      <c r="O102" s="199"/>
      <c r="P102" s="199"/>
      <c r="Q102" s="199"/>
      <c r="R102" s="199"/>
      <c r="S102" s="199"/>
    </row>
    <row r="103" spans="4:19">
      <c r="D103" s="199"/>
      <c r="E103" s="199"/>
      <c r="F103" s="199"/>
      <c r="G103" s="199"/>
      <c r="H103" s="199"/>
      <c r="I103" s="199"/>
      <c r="J103" s="199"/>
      <c r="K103" s="199"/>
      <c r="L103" s="199"/>
      <c r="M103" s="199"/>
      <c r="N103" s="199"/>
      <c r="O103" s="199"/>
      <c r="P103" s="199"/>
      <c r="Q103" s="199"/>
      <c r="R103" s="199"/>
      <c r="S103" s="199"/>
    </row>
    <row r="104" spans="4:19">
      <c r="D104" s="199"/>
      <c r="E104" s="199"/>
      <c r="F104" s="199"/>
      <c r="G104" s="199"/>
      <c r="H104" s="199"/>
      <c r="I104" s="199"/>
      <c r="J104" s="199"/>
      <c r="K104" s="199"/>
      <c r="L104" s="199"/>
      <c r="M104" s="199"/>
      <c r="N104" s="199"/>
      <c r="O104" s="199"/>
      <c r="P104" s="199"/>
      <c r="Q104" s="199"/>
      <c r="R104" s="199"/>
      <c r="S104" s="199"/>
    </row>
    <row r="105" spans="4:19">
      <c r="D105" s="199"/>
      <c r="E105" s="199"/>
      <c r="F105" s="199"/>
      <c r="G105" s="199"/>
      <c r="H105" s="199"/>
      <c r="I105" s="199"/>
      <c r="J105" s="199"/>
      <c r="K105" s="199"/>
      <c r="L105" s="199"/>
      <c r="M105" s="199"/>
      <c r="N105" s="199"/>
      <c r="O105" s="199"/>
      <c r="P105" s="199"/>
      <c r="Q105" s="199"/>
      <c r="R105" s="199"/>
      <c r="S105" s="199"/>
    </row>
    <row r="106" spans="4:19">
      <c r="D106" s="199"/>
      <c r="E106" s="199"/>
      <c r="F106" s="199"/>
      <c r="G106" s="199"/>
      <c r="H106" s="199"/>
      <c r="I106" s="199"/>
      <c r="J106" s="199"/>
      <c r="K106" s="199"/>
      <c r="L106" s="199"/>
      <c r="M106" s="199"/>
      <c r="N106" s="199"/>
      <c r="O106" s="199"/>
      <c r="P106" s="199"/>
      <c r="Q106" s="199"/>
      <c r="R106" s="199"/>
      <c r="S106" s="199"/>
    </row>
    <row r="107" spans="4:19">
      <c r="D107" s="199"/>
      <c r="E107" s="199"/>
      <c r="F107" s="199"/>
      <c r="G107" s="199"/>
      <c r="H107" s="199"/>
      <c r="I107" s="199"/>
      <c r="J107" s="199"/>
      <c r="K107" s="199"/>
      <c r="L107" s="199"/>
      <c r="M107" s="199"/>
      <c r="N107" s="199"/>
      <c r="O107" s="199"/>
      <c r="P107" s="199"/>
      <c r="Q107" s="199"/>
      <c r="R107" s="199"/>
      <c r="S107" s="199"/>
    </row>
    <row r="108" spans="4:19">
      <c r="D108" s="199"/>
      <c r="E108" s="199"/>
      <c r="F108" s="199"/>
      <c r="G108" s="199"/>
      <c r="H108" s="199"/>
      <c r="I108" s="199"/>
      <c r="J108" s="199"/>
      <c r="K108" s="199"/>
      <c r="L108" s="199"/>
      <c r="M108" s="199"/>
      <c r="N108" s="199"/>
      <c r="O108" s="199"/>
      <c r="P108" s="199"/>
      <c r="Q108" s="199"/>
      <c r="R108" s="199"/>
      <c r="S108" s="199"/>
    </row>
    <row r="109" spans="4:19">
      <c r="D109" s="199"/>
      <c r="E109" s="199"/>
      <c r="F109" s="199"/>
      <c r="G109" s="199"/>
      <c r="H109" s="199"/>
      <c r="I109" s="199"/>
      <c r="J109" s="199"/>
      <c r="K109" s="199"/>
      <c r="L109" s="199"/>
      <c r="M109" s="199"/>
      <c r="N109" s="199"/>
      <c r="O109" s="199"/>
      <c r="P109" s="199"/>
      <c r="Q109" s="199"/>
      <c r="R109" s="199"/>
      <c r="S109" s="199"/>
    </row>
    <row r="110" spans="4:19">
      <c r="D110" s="199"/>
      <c r="E110" s="199"/>
      <c r="F110" s="199"/>
      <c r="G110" s="199"/>
      <c r="H110" s="199"/>
      <c r="I110" s="199"/>
      <c r="J110" s="199"/>
      <c r="K110" s="199"/>
      <c r="L110" s="199"/>
      <c r="M110" s="199"/>
      <c r="N110" s="199"/>
      <c r="O110" s="199"/>
      <c r="P110" s="199"/>
      <c r="Q110" s="199"/>
      <c r="R110" s="199"/>
      <c r="S110" s="199"/>
    </row>
    <row r="111" spans="4:19">
      <c r="D111" s="199"/>
      <c r="E111" s="199"/>
      <c r="F111" s="199"/>
      <c r="G111" s="199"/>
      <c r="H111" s="199"/>
      <c r="I111" s="199"/>
      <c r="J111" s="199"/>
      <c r="K111" s="199"/>
      <c r="L111" s="199"/>
      <c r="M111" s="199"/>
      <c r="N111" s="199"/>
      <c r="O111" s="199"/>
      <c r="P111" s="199"/>
      <c r="Q111" s="199"/>
      <c r="R111" s="199"/>
      <c r="S111" s="199"/>
    </row>
    <row r="112" spans="4:19">
      <c r="D112" s="199"/>
      <c r="E112" s="199"/>
      <c r="F112" s="199"/>
      <c r="G112" s="199"/>
      <c r="H112" s="199"/>
      <c r="I112" s="199"/>
      <c r="J112" s="199"/>
      <c r="K112" s="199"/>
      <c r="L112" s="199"/>
      <c r="M112" s="199"/>
      <c r="N112" s="199"/>
      <c r="O112" s="199"/>
      <c r="P112" s="199"/>
      <c r="Q112" s="199"/>
      <c r="R112" s="199"/>
      <c r="S112" s="199"/>
    </row>
    <row r="113" spans="4:19">
      <c r="D113" s="199"/>
      <c r="E113" s="199"/>
      <c r="F113" s="199"/>
      <c r="G113" s="199"/>
      <c r="H113" s="199"/>
      <c r="I113" s="199"/>
      <c r="J113" s="199"/>
      <c r="K113" s="199"/>
      <c r="L113" s="199"/>
      <c r="M113" s="199"/>
      <c r="N113" s="199"/>
      <c r="O113" s="199"/>
      <c r="P113" s="199"/>
      <c r="Q113" s="199"/>
      <c r="R113" s="199"/>
      <c r="S113" s="199"/>
    </row>
    <row r="114" spans="4:19">
      <c r="D114" s="199"/>
      <c r="E114" s="199"/>
      <c r="F114" s="199"/>
      <c r="G114" s="199"/>
      <c r="H114" s="199"/>
      <c r="I114" s="199"/>
      <c r="J114" s="199"/>
      <c r="K114" s="199"/>
      <c r="L114" s="199"/>
      <c r="M114" s="199"/>
      <c r="N114" s="199"/>
      <c r="O114" s="199"/>
      <c r="P114" s="199"/>
      <c r="Q114" s="199"/>
      <c r="R114" s="199"/>
      <c r="S114" s="199"/>
    </row>
    <row r="115" spans="4:19">
      <c r="D115" s="199"/>
      <c r="E115" s="199"/>
      <c r="F115" s="199"/>
      <c r="G115" s="199"/>
      <c r="H115" s="199"/>
      <c r="I115" s="199"/>
      <c r="J115" s="199"/>
      <c r="K115" s="199"/>
      <c r="L115" s="199"/>
      <c r="M115" s="199"/>
      <c r="N115" s="199"/>
      <c r="O115" s="199"/>
      <c r="P115" s="199"/>
      <c r="Q115" s="199"/>
      <c r="R115" s="199"/>
      <c r="S115" s="199"/>
    </row>
    <row r="116" spans="4:19">
      <c r="D116" s="199"/>
      <c r="E116" s="199"/>
      <c r="F116" s="199"/>
      <c r="G116" s="199"/>
      <c r="H116" s="199"/>
      <c r="I116" s="199"/>
      <c r="J116" s="199"/>
      <c r="K116" s="199"/>
      <c r="L116" s="199"/>
      <c r="M116" s="199"/>
      <c r="N116" s="199"/>
      <c r="O116" s="199"/>
      <c r="P116" s="199"/>
      <c r="Q116" s="199"/>
      <c r="R116" s="199"/>
      <c r="S116" s="199"/>
    </row>
    <row r="117" spans="4:19">
      <c r="D117" s="199"/>
      <c r="E117" s="199"/>
      <c r="F117" s="199"/>
      <c r="G117" s="199"/>
      <c r="H117" s="199"/>
      <c r="I117" s="199"/>
      <c r="J117" s="199"/>
      <c r="K117" s="199"/>
      <c r="L117" s="199"/>
      <c r="M117" s="199"/>
      <c r="N117" s="199"/>
      <c r="O117" s="199"/>
      <c r="P117" s="199"/>
      <c r="Q117" s="199"/>
      <c r="R117" s="199"/>
      <c r="S117" s="199"/>
    </row>
    <row r="118" spans="4:19">
      <c r="D118" s="199"/>
      <c r="E118" s="199"/>
      <c r="F118" s="199"/>
      <c r="G118" s="199"/>
      <c r="H118" s="199"/>
      <c r="I118" s="199"/>
      <c r="J118" s="199"/>
      <c r="K118" s="199"/>
      <c r="L118" s="199"/>
      <c r="M118" s="199"/>
      <c r="N118" s="199"/>
      <c r="O118" s="199"/>
      <c r="P118" s="199"/>
      <c r="Q118" s="199"/>
      <c r="R118" s="199"/>
      <c r="S118" s="199"/>
    </row>
    <row r="119" spans="4:19">
      <c r="D119" s="199"/>
      <c r="E119" s="199"/>
      <c r="F119" s="199"/>
      <c r="G119" s="199"/>
      <c r="H119" s="199"/>
      <c r="I119" s="199"/>
      <c r="J119" s="199"/>
      <c r="K119" s="199"/>
      <c r="L119" s="199"/>
      <c r="M119" s="199"/>
      <c r="N119" s="199"/>
      <c r="O119" s="199"/>
      <c r="P119" s="199"/>
      <c r="Q119" s="199"/>
      <c r="R119" s="199"/>
      <c r="S119" s="199"/>
    </row>
    <row r="120" spans="4:19">
      <c r="D120" s="199"/>
      <c r="E120" s="199"/>
      <c r="F120" s="199"/>
      <c r="G120" s="199"/>
      <c r="H120" s="199"/>
      <c r="I120" s="199"/>
      <c r="J120" s="199"/>
      <c r="K120" s="199"/>
      <c r="L120" s="199"/>
      <c r="M120" s="199"/>
      <c r="N120" s="199"/>
      <c r="O120" s="199"/>
      <c r="P120" s="199"/>
      <c r="Q120" s="199"/>
      <c r="R120" s="199"/>
      <c r="S120" s="199"/>
    </row>
    <row r="121" spans="4:19">
      <c r="D121" s="199"/>
      <c r="E121" s="199"/>
      <c r="F121" s="199"/>
      <c r="G121" s="199"/>
      <c r="H121" s="199"/>
      <c r="I121" s="199"/>
      <c r="J121" s="199"/>
      <c r="K121" s="199"/>
      <c r="L121" s="199"/>
      <c r="M121" s="199"/>
      <c r="N121" s="199"/>
      <c r="O121" s="199"/>
      <c r="P121" s="199"/>
      <c r="Q121" s="199"/>
      <c r="R121" s="199"/>
      <c r="S121" s="199"/>
    </row>
    <row r="122" spans="4:19">
      <c r="D122" s="199"/>
      <c r="E122" s="199"/>
      <c r="F122" s="199"/>
      <c r="G122" s="199"/>
      <c r="H122" s="199"/>
      <c r="I122" s="199"/>
      <c r="J122" s="199"/>
      <c r="K122" s="199"/>
      <c r="L122" s="199"/>
      <c r="M122" s="199"/>
      <c r="N122" s="199"/>
      <c r="O122" s="199"/>
      <c r="P122" s="199"/>
      <c r="Q122" s="199"/>
      <c r="R122" s="199"/>
      <c r="S122" s="199"/>
    </row>
    <row r="123" spans="4:19">
      <c r="D123" s="199"/>
      <c r="E123" s="199"/>
      <c r="F123" s="199"/>
      <c r="G123" s="199"/>
      <c r="H123" s="199"/>
      <c r="I123" s="199"/>
      <c r="J123" s="199"/>
      <c r="K123" s="199"/>
      <c r="L123" s="199"/>
      <c r="M123" s="199"/>
      <c r="N123" s="199"/>
      <c r="O123" s="199"/>
      <c r="P123" s="199"/>
      <c r="Q123" s="199"/>
      <c r="R123" s="199"/>
      <c r="S123" s="199"/>
    </row>
    <row r="124" spans="4:19">
      <c r="D124" s="199"/>
      <c r="E124" s="199"/>
      <c r="F124" s="199"/>
      <c r="G124" s="199"/>
      <c r="H124" s="199"/>
      <c r="I124" s="199"/>
      <c r="J124" s="199"/>
      <c r="K124" s="199"/>
      <c r="L124" s="199"/>
      <c r="M124" s="199"/>
      <c r="N124" s="199"/>
      <c r="O124" s="199"/>
      <c r="P124" s="199"/>
      <c r="Q124" s="199"/>
      <c r="R124" s="199"/>
      <c r="S124" s="199"/>
    </row>
    <row r="125" spans="4:19">
      <c r="D125" s="199"/>
      <c r="E125" s="199"/>
      <c r="F125" s="199"/>
      <c r="G125" s="199"/>
      <c r="H125" s="199"/>
      <c r="I125" s="199"/>
      <c r="J125" s="199"/>
      <c r="K125" s="199"/>
      <c r="L125" s="199"/>
      <c r="M125" s="199"/>
      <c r="N125" s="199"/>
      <c r="O125" s="199"/>
      <c r="P125" s="199"/>
      <c r="Q125" s="199"/>
      <c r="R125" s="199"/>
      <c r="S125" s="199"/>
    </row>
    <row r="126" spans="4:19">
      <c r="D126" s="199"/>
      <c r="E126" s="199"/>
      <c r="F126" s="199"/>
      <c r="G126" s="199"/>
      <c r="H126" s="199"/>
      <c r="I126" s="199"/>
      <c r="J126" s="199"/>
      <c r="K126" s="199"/>
      <c r="L126" s="199"/>
      <c r="M126" s="199"/>
      <c r="N126" s="199"/>
      <c r="O126" s="199"/>
      <c r="P126" s="199"/>
      <c r="Q126" s="199"/>
      <c r="R126" s="199"/>
      <c r="S126" s="199"/>
    </row>
    <row r="127" spans="4:19">
      <c r="D127" s="199"/>
      <c r="E127" s="199"/>
      <c r="F127" s="199"/>
      <c r="G127" s="199"/>
      <c r="H127" s="199"/>
      <c r="I127" s="199"/>
      <c r="J127" s="199"/>
      <c r="K127" s="199"/>
      <c r="L127" s="199"/>
      <c r="M127" s="199"/>
      <c r="N127" s="199"/>
      <c r="O127" s="199"/>
      <c r="P127" s="199"/>
      <c r="Q127" s="199"/>
      <c r="R127" s="199"/>
      <c r="S127" s="199"/>
    </row>
    <row r="128" spans="4:19">
      <c r="D128" s="199"/>
      <c r="E128" s="199"/>
      <c r="F128" s="199"/>
      <c r="G128" s="199"/>
      <c r="H128" s="199"/>
      <c r="I128" s="199"/>
      <c r="J128" s="199"/>
      <c r="K128" s="199"/>
      <c r="L128" s="199"/>
      <c r="M128" s="199"/>
      <c r="N128" s="199"/>
      <c r="O128" s="199"/>
      <c r="P128" s="199"/>
      <c r="Q128" s="199"/>
      <c r="R128" s="199"/>
      <c r="S128" s="199"/>
    </row>
    <row r="129" spans="4:19">
      <c r="D129" s="199"/>
      <c r="E129" s="199"/>
      <c r="F129" s="199"/>
      <c r="G129" s="199"/>
      <c r="H129" s="199"/>
      <c r="I129" s="199"/>
      <c r="J129" s="199"/>
      <c r="K129" s="199"/>
      <c r="L129" s="199"/>
      <c r="M129" s="199"/>
      <c r="N129" s="199"/>
      <c r="O129" s="199"/>
      <c r="P129" s="199"/>
      <c r="Q129" s="199"/>
      <c r="R129" s="199"/>
      <c r="S129" s="199"/>
    </row>
    <row r="130" spans="4:19">
      <c r="D130" s="199"/>
      <c r="E130" s="199"/>
      <c r="F130" s="199"/>
      <c r="G130" s="199"/>
      <c r="H130" s="199"/>
      <c r="I130" s="199"/>
      <c r="J130" s="199"/>
      <c r="K130" s="199"/>
      <c r="L130" s="199"/>
      <c r="M130" s="199"/>
      <c r="N130" s="199"/>
      <c r="O130" s="199"/>
      <c r="P130" s="199"/>
      <c r="Q130" s="199"/>
      <c r="R130" s="199"/>
      <c r="S130" s="199"/>
    </row>
    <row r="131" spans="4:19">
      <c r="D131" s="199"/>
      <c r="E131" s="199"/>
      <c r="F131" s="199"/>
      <c r="G131" s="199"/>
      <c r="H131" s="199"/>
      <c r="I131" s="199"/>
      <c r="J131" s="199"/>
      <c r="K131" s="199"/>
      <c r="L131" s="199"/>
      <c r="M131" s="199"/>
      <c r="N131" s="199"/>
      <c r="O131" s="199"/>
      <c r="P131" s="199"/>
      <c r="Q131" s="199"/>
      <c r="R131" s="199"/>
      <c r="S131" s="199"/>
    </row>
    <row r="132" spans="4:19">
      <c r="D132" s="199"/>
      <c r="E132" s="199"/>
      <c r="F132" s="199"/>
      <c r="G132" s="199"/>
      <c r="H132" s="199"/>
      <c r="I132" s="199"/>
      <c r="J132" s="199"/>
      <c r="K132" s="199"/>
      <c r="L132" s="199"/>
      <c r="M132" s="199"/>
      <c r="N132" s="199"/>
      <c r="O132" s="199"/>
      <c r="P132" s="199"/>
      <c r="Q132" s="199"/>
      <c r="R132" s="199"/>
      <c r="S132" s="199"/>
    </row>
    <row r="133" spans="4:19">
      <c r="D133" s="199"/>
      <c r="E133" s="199"/>
      <c r="F133" s="199"/>
      <c r="G133" s="199"/>
      <c r="H133" s="199"/>
      <c r="I133" s="199"/>
      <c r="J133" s="199"/>
      <c r="K133" s="199"/>
      <c r="L133" s="199"/>
      <c r="M133" s="199"/>
      <c r="N133" s="199"/>
      <c r="O133" s="199"/>
      <c r="P133" s="199"/>
      <c r="Q133" s="199"/>
      <c r="R133" s="199"/>
      <c r="S133" s="199"/>
    </row>
    <row r="134" spans="4:19">
      <c r="D134" s="199"/>
      <c r="E134" s="199"/>
      <c r="F134" s="199"/>
      <c r="G134" s="199"/>
      <c r="H134" s="199"/>
      <c r="I134" s="199"/>
      <c r="J134" s="199"/>
      <c r="K134" s="199"/>
      <c r="L134" s="199"/>
      <c r="M134" s="199"/>
      <c r="N134" s="199"/>
      <c r="O134" s="199"/>
      <c r="P134" s="199"/>
      <c r="Q134" s="199"/>
      <c r="R134" s="199"/>
      <c r="S134" s="199"/>
    </row>
    <row r="135" spans="4:19">
      <c r="D135" s="199"/>
      <c r="E135" s="199"/>
      <c r="F135" s="199"/>
      <c r="G135" s="199"/>
      <c r="H135" s="199"/>
      <c r="I135" s="199"/>
      <c r="J135" s="199"/>
      <c r="K135" s="199"/>
      <c r="L135" s="199"/>
      <c r="M135" s="199"/>
      <c r="N135" s="199"/>
      <c r="O135" s="199"/>
      <c r="P135" s="199"/>
      <c r="Q135" s="199"/>
      <c r="R135" s="199"/>
      <c r="S135" s="199"/>
    </row>
    <row r="136" spans="4:19">
      <c r="D136" s="199"/>
      <c r="E136" s="199"/>
      <c r="F136" s="199"/>
      <c r="G136" s="199"/>
      <c r="H136" s="199"/>
      <c r="I136" s="199"/>
      <c r="J136" s="199"/>
      <c r="K136" s="199"/>
      <c r="L136" s="199"/>
      <c r="M136" s="199"/>
      <c r="N136" s="199"/>
      <c r="O136" s="199"/>
      <c r="P136" s="199"/>
      <c r="Q136" s="199"/>
      <c r="R136" s="199"/>
      <c r="S136" s="199"/>
    </row>
    <row r="137" spans="4:19">
      <c r="D137" s="199"/>
      <c r="E137" s="199"/>
      <c r="F137" s="199"/>
      <c r="G137" s="199"/>
      <c r="H137" s="199"/>
      <c r="I137" s="199"/>
      <c r="J137" s="199"/>
      <c r="K137" s="199"/>
      <c r="L137" s="199"/>
      <c r="M137" s="199"/>
      <c r="N137" s="199"/>
      <c r="O137" s="199"/>
      <c r="P137" s="199"/>
      <c r="Q137" s="199"/>
      <c r="R137" s="199"/>
      <c r="S137" s="199"/>
    </row>
    <row r="138" spans="4:19">
      <c r="D138" s="199"/>
      <c r="E138" s="199"/>
      <c r="F138" s="199"/>
      <c r="G138" s="199"/>
      <c r="H138" s="199"/>
      <c r="I138" s="199"/>
      <c r="J138" s="199"/>
      <c r="K138" s="199"/>
      <c r="L138" s="199"/>
      <c r="M138" s="199"/>
      <c r="N138" s="199"/>
      <c r="O138" s="199"/>
      <c r="P138" s="199"/>
      <c r="Q138" s="199"/>
      <c r="R138" s="199"/>
      <c r="S138" s="199"/>
    </row>
    <row r="139" spans="4:19">
      <c r="D139" s="199"/>
      <c r="E139" s="199"/>
      <c r="F139" s="199"/>
      <c r="G139" s="199"/>
      <c r="H139" s="199"/>
      <c r="I139" s="199"/>
      <c r="J139" s="199"/>
      <c r="K139" s="199"/>
      <c r="L139" s="199"/>
      <c r="M139" s="199"/>
      <c r="N139" s="199"/>
      <c r="O139" s="199"/>
      <c r="P139" s="199"/>
      <c r="Q139" s="199"/>
      <c r="R139" s="199"/>
      <c r="S139" s="199"/>
    </row>
    <row r="140" spans="4:19">
      <c r="D140" s="199"/>
      <c r="E140" s="199"/>
      <c r="F140" s="199"/>
      <c r="G140" s="199"/>
      <c r="H140" s="199"/>
      <c r="I140" s="199"/>
      <c r="J140" s="199"/>
      <c r="K140" s="199"/>
      <c r="L140" s="199"/>
      <c r="M140" s="199"/>
      <c r="N140" s="199"/>
      <c r="O140" s="199"/>
      <c r="P140" s="199"/>
      <c r="Q140" s="199"/>
      <c r="R140" s="199"/>
      <c r="S140" s="199"/>
    </row>
    <row r="141" spans="4:19">
      <c r="D141" s="199"/>
      <c r="E141" s="199"/>
      <c r="F141" s="199"/>
      <c r="G141" s="199"/>
      <c r="H141" s="199"/>
      <c r="I141" s="199"/>
      <c r="J141" s="199"/>
      <c r="K141" s="199"/>
      <c r="L141" s="199"/>
      <c r="M141" s="199"/>
      <c r="N141" s="199"/>
      <c r="O141" s="199"/>
      <c r="P141" s="199"/>
      <c r="Q141" s="199"/>
      <c r="R141" s="199"/>
      <c r="S141" s="199"/>
    </row>
    <row r="142" spans="4:19">
      <c r="D142" s="199"/>
      <c r="E142" s="199"/>
      <c r="F142" s="199"/>
      <c r="G142" s="199"/>
      <c r="H142" s="199"/>
      <c r="I142" s="199"/>
      <c r="J142" s="199"/>
      <c r="K142" s="199"/>
      <c r="L142" s="199"/>
      <c r="M142" s="199"/>
      <c r="N142" s="199"/>
      <c r="O142" s="199"/>
      <c r="P142" s="199"/>
      <c r="Q142" s="199"/>
      <c r="R142" s="199"/>
      <c r="S142" s="199"/>
    </row>
    <row r="143" spans="4:19">
      <c r="D143" s="199"/>
      <c r="E143" s="199"/>
      <c r="F143" s="199"/>
      <c r="G143" s="199"/>
      <c r="H143" s="199"/>
      <c r="I143" s="199"/>
      <c r="J143" s="199"/>
      <c r="K143" s="199"/>
      <c r="L143" s="199"/>
      <c r="M143" s="199"/>
      <c r="N143" s="199"/>
      <c r="O143" s="199"/>
      <c r="P143" s="199"/>
      <c r="Q143" s="199"/>
      <c r="R143" s="199"/>
      <c r="S143" s="199"/>
    </row>
    <row r="144" spans="4:19">
      <c r="D144" s="199"/>
      <c r="E144" s="199"/>
      <c r="F144" s="199"/>
      <c r="G144" s="199"/>
      <c r="H144" s="199"/>
      <c r="I144" s="199"/>
      <c r="J144" s="199"/>
      <c r="K144" s="199"/>
      <c r="L144" s="199"/>
      <c r="M144" s="199"/>
      <c r="N144" s="199"/>
      <c r="O144" s="199"/>
      <c r="P144" s="199"/>
      <c r="Q144" s="199"/>
      <c r="R144" s="199"/>
      <c r="S144" s="199"/>
    </row>
    <row r="145" spans="4:19">
      <c r="D145" s="199"/>
      <c r="E145" s="199"/>
      <c r="F145" s="199"/>
      <c r="G145" s="199"/>
      <c r="H145" s="199"/>
      <c r="I145" s="199"/>
      <c r="J145" s="199"/>
      <c r="K145" s="199"/>
      <c r="L145" s="199"/>
      <c r="M145" s="199"/>
      <c r="N145" s="199"/>
      <c r="O145" s="199"/>
      <c r="P145" s="199"/>
      <c r="Q145" s="199"/>
      <c r="R145" s="199"/>
      <c r="S145" s="199"/>
    </row>
    <row r="146" spans="4:19">
      <c r="D146" s="199"/>
      <c r="E146" s="199"/>
      <c r="F146" s="199"/>
      <c r="G146" s="199"/>
      <c r="H146" s="199"/>
      <c r="I146" s="199"/>
      <c r="J146" s="199"/>
      <c r="K146" s="199"/>
      <c r="L146" s="199"/>
      <c r="M146" s="199"/>
      <c r="N146" s="199"/>
      <c r="O146" s="199"/>
      <c r="P146" s="199"/>
      <c r="Q146" s="199"/>
      <c r="R146" s="199"/>
      <c r="S146" s="199"/>
    </row>
    <row r="147" spans="4:19">
      <c r="D147" s="199"/>
      <c r="E147" s="199"/>
      <c r="F147" s="199"/>
      <c r="G147" s="199"/>
      <c r="H147" s="199"/>
      <c r="I147" s="199"/>
      <c r="J147" s="199"/>
      <c r="K147" s="199"/>
      <c r="L147" s="199"/>
      <c r="M147" s="199"/>
      <c r="N147" s="199"/>
      <c r="O147" s="199"/>
      <c r="P147" s="199"/>
      <c r="Q147" s="199"/>
      <c r="R147" s="199"/>
      <c r="S147" s="199"/>
    </row>
    <row r="148" spans="4:19">
      <c r="D148" s="199"/>
      <c r="E148" s="199"/>
      <c r="F148" s="199"/>
      <c r="G148" s="199"/>
      <c r="H148" s="199"/>
      <c r="I148" s="199"/>
      <c r="J148" s="199"/>
      <c r="K148" s="199"/>
      <c r="L148" s="199"/>
      <c r="M148" s="199"/>
      <c r="N148" s="199"/>
      <c r="O148" s="199"/>
      <c r="P148" s="199"/>
      <c r="Q148" s="199"/>
      <c r="R148" s="199"/>
      <c r="S148" s="199"/>
    </row>
    <row r="149" spans="4:19">
      <c r="D149" s="199"/>
      <c r="E149" s="199"/>
      <c r="F149" s="199"/>
      <c r="G149" s="199"/>
      <c r="H149" s="199"/>
      <c r="I149" s="199"/>
      <c r="J149" s="199"/>
      <c r="K149" s="199"/>
      <c r="L149" s="199"/>
      <c r="M149" s="199"/>
      <c r="N149" s="199"/>
      <c r="O149" s="199"/>
      <c r="P149" s="199"/>
      <c r="Q149" s="199"/>
      <c r="R149" s="199"/>
      <c r="S149" s="199"/>
    </row>
    <row r="150" spans="4:19">
      <c r="D150" s="199"/>
      <c r="E150" s="199"/>
      <c r="F150" s="199"/>
      <c r="G150" s="199"/>
      <c r="H150" s="199"/>
      <c r="I150" s="199"/>
      <c r="J150" s="199"/>
      <c r="K150" s="199"/>
      <c r="L150" s="199"/>
      <c r="M150" s="199"/>
      <c r="N150" s="199"/>
      <c r="O150" s="199"/>
      <c r="P150" s="199"/>
      <c r="Q150" s="199"/>
      <c r="R150" s="199"/>
      <c r="S150" s="199"/>
    </row>
    <row r="151" spans="4:19">
      <c r="D151" s="199"/>
      <c r="E151" s="199"/>
      <c r="F151" s="199"/>
      <c r="G151" s="199"/>
      <c r="H151" s="199"/>
      <c r="I151" s="199"/>
      <c r="J151" s="199"/>
      <c r="K151" s="199"/>
      <c r="L151" s="199"/>
      <c r="M151" s="199"/>
      <c r="N151" s="199"/>
      <c r="O151" s="199"/>
      <c r="P151" s="199"/>
      <c r="Q151" s="199"/>
      <c r="R151" s="199"/>
      <c r="S151" s="199"/>
    </row>
    <row r="152" spans="4:19">
      <c r="D152" s="199"/>
      <c r="E152" s="199"/>
      <c r="F152" s="199"/>
      <c r="G152" s="199"/>
      <c r="H152" s="199"/>
      <c r="I152" s="199"/>
      <c r="J152" s="199"/>
      <c r="K152" s="199"/>
      <c r="L152" s="199"/>
      <c r="M152" s="199"/>
      <c r="N152" s="199"/>
      <c r="O152" s="199"/>
      <c r="P152" s="199"/>
      <c r="Q152" s="199"/>
      <c r="R152" s="199"/>
      <c r="S152" s="199"/>
    </row>
    <row r="153" spans="4:19">
      <c r="D153" s="199"/>
      <c r="E153" s="199"/>
      <c r="F153" s="199"/>
      <c r="G153" s="199"/>
      <c r="H153" s="199"/>
      <c r="I153" s="199"/>
      <c r="J153" s="199"/>
      <c r="K153" s="199"/>
      <c r="L153" s="199"/>
      <c r="M153" s="199"/>
      <c r="N153" s="199"/>
      <c r="O153" s="199"/>
      <c r="P153" s="199"/>
      <c r="Q153" s="199"/>
      <c r="R153" s="199"/>
      <c r="S153" s="199"/>
    </row>
    <row r="154" spans="4:19">
      <c r="D154" s="199"/>
      <c r="E154" s="199"/>
      <c r="F154" s="199"/>
      <c r="G154" s="199"/>
      <c r="H154" s="199"/>
      <c r="I154" s="199"/>
      <c r="J154" s="199"/>
      <c r="K154" s="199"/>
      <c r="L154" s="199"/>
      <c r="M154" s="199"/>
      <c r="N154" s="199"/>
      <c r="O154" s="199"/>
      <c r="P154" s="199"/>
      <c r="Q154" s="199"/>
      <c r="R154" s="199"/>
      <c r="S154" s="199"/>
    </row>
    <row r="155" spans="4:19">
      <c r="D155" s="199"/>
      <c r="E155" s="199"/>
      <c r="F155" s="199"/>
      <c r="G155" s="199"/>
      <c r="H155" s="199"/>
      <c r="I155" s="199"/>
      <c r="J155" s="199"/>
      <c r="K155" s="199"/>
      <c r="L155" s="199"/>
      <c r="M155" s="199"/>
      <c r="N155" s="199"/>
      <c r="O155" s="199"/>
      <c r="P155" s="199"/>
      <c r="Q155" s="199"/>
      <c r="R155" s="199"/>
      <c r="S155" s="199"/>
    </row>
    <row r="156" spans="4:19">
      <c r="D156" s="199"/>
      <c r="E156" s="199"/>
      <c r="F156" s="199"/>
      <c r="G156" s="199"/>
      <c r="H156" s="199"/>
      <c r="I156" s="199"/>
      <c r="J156" s="199"/>
      <c r="K156" s="199"/>
      <c r="L156" s="199"/>
      <c r="M156" s="199"/>
      <c r="N156" s="199"/>
      <c r="O156" s="199"/>
      <c r="P156" s="199"/>
      <c r="Q156" s="199"/>
      <c r="R156" s="199"/>
      <c r="S156" s="199"/>
    </row>
    <row r="157" spans="4:19">
      <c r="D157" s="199"/>
      <c r="E157" s="199"/>
      <c r="F157" s="199"/>
      <c r="G157" s="199"/>
      <c r="H157" s="199"/>
      <c r="I157" s="199"/>
      <c r="J157" s="199"/>
      <c r="K157" s="199"/>
      <c r="L157" s="199"/>
      <c r="M157" s="199"/>
      <c r="N157" s="199"/>
      <c r="O157" s="199"/>
      <c r="P157" s="199"/>
      <c r="Q157" s="199"/>
      <c r="R157" s="199"/>
      <c r="S157" s="199"/>
    </row>
    <row r="158" spans="4:19">
      <c r="D158" s="199"/>
      <c r="E158" s="199"/>
      <c r="F158" s="199"/>
      <c r="G158" s="199"/>
      <c r="H158" s="199"/>
      <c r="I158" s="199"/>
      <c r="J158" s="199"/>
      <c r="K158" s="199"/>
      <c r="L158" s="199"/>
      <c r="M158" s="199"/>
      <c r="N158" s="199"/>
      <c r="O158" s="199"/>
      <c r="P158" s="199"/>
      <c r="Q158" s="199"/>
      <c r="R158" s="199"/>
      <c r="S158" s="199"/>
    </row>
    <row r="159" spans="4:19">
      <c r="D159" s="199"/>
      <c r="E159" s="199"/>
      <c r="F159" s="199"/>
      <c r="G159" s="199"/>
      <c r="H159" s="199"/>
      <c r="I159" s="199"/>
      <c r="J159" s="199"/>
      <c r="K159" s="199"/>
      <c r="L159" s="199"/>
      <c r="M159" s="199"/>
      <c r="N159" s="199"/>
      <c r="O159" s="199"/>
      <c r="P159" s="199"/>
      <c r="Q159" s="199"/>
      <c r="R159" s="199"/>
      <c r="S159" s="199"/>
    </row>
    <row r="160" spans="4:19">
      <c r="D160" s="199"/>
      <c r="E160" s="199"/>
      <c r="F160" s="199"/>
      <c r="G160" s="199"/>
      <c r="H160" s="199"/>
      <c r="I160" s="199"/>
      <c r="J160" s="199"/>
      <c r="K160" s="199"/>
      <c r="L160" s="199"/>
      <c r="M160" s="199"/>
      <c r="N160" s="199"/>
      <c r="O160" s="199"/>
      <c r="P160" s="199"/>
      <c r="Q160" s="199"/>
      <c r="R160" s="199"/>
      <c r="S160" s="199"/>
    </row>
    <row r="161" spans="4:19">
      <c r="D161" s="199"/>
      <c r="E161" s="199"/>
      <c r="F161" s="199"/>
      <c r="G161" s="199"/>
      <c r="H161" s="199"/>
      <c r="I161" s="199"/>
      <c r="J161" s="199"/>
      <c r="K161" s="199"/>
      <c r="L161" s="199"/>
      <c r="M161" s="199"/>
      <c r="N161" s="199"/>
      <c r="O161" s="199"/>
      <c r="P161" s="199"/>
      <c r="Q161" s="199"/>
      <c r="R161" s="199"/>
      <c r="S161" s="199"/>
    </row>
    <row r="162" spans="4:19">
      <c r="D162" s="199"/>
      <c r="E162" s="199"/>
      <c r="F162" s="199"/>
      <c r="G162" s="199"/>
      <c r="H162" s="199"/>
      <c r="I162" s="199"/>
      <c r="J162" s="199"/>
      <c r="K162" s="199"/>
      <c r="L162" s="199"/>
      <c r="M162" s="199"/>
      <c r="N162" s="199"/>
      <c r="O162" s="199"/>
      <c r="P162" s="199"/>
      <c r="Q162" s="199"/>
      <c r="R162" s="199"/>
      <c r="S162" s="199"/>
    </row>
    <row r="163" spans="4:19">
      <c r="D163" s="199"/>
      <c r="E163" s="199"/>
      <c r="F163" s="199"/>
      <c r="G163" s="199"/>
      <c r="H163" s="199"/>
      <c r="I163" s="199"/>
      <c r="J163" s="199"/>
      <c r="K163" s="199"/>
      <c r="L163" s="199"/>
      <c r="M163" s="199"/>
      <c r="N163" s="199"/>
      <c r="O163" s="199"/>
      <c r="P163" s="199"/>
      <c r="Q163" s="199"/>
      <c r="R163" s="199"/>
      <c r="S163" s="199"/>
    </row>
    <row r="164" spans="4:19">
      <c r="D164" s="199"/>
      <c r="E164" s="199"/>
      <c r="F164" s="199"/>
      <c r="G164" s="199"/>
      <c r="H164" s="199"/>
      <c r="I164" s="199"/>
      <c r="J164" s="199"/>
      <c r="K164" s="199"/>
      <c r="L164" s="199"/>
      <c r="M164" s="199"/>
      <c r="N164" s="199"/>
      <c r="O164" s="199"/>
      <c r="P164" s="199"/>
      <c r="Q164" s="199"/>
      <c r="R164" s="199"/>
      <c r="S164" s="199"/>
    </row>
    <row r="165" spans="4:19">
      <c r="D165" s="199"/>
      <c r="E165" s="199"/>
      <c r="F165" s="199"/>
      <c r="G165" s="199"/>
      <c r="H165" s="199"/>
      <c r="I165" s="199"/>
      <c r="J165" s="199"/>
      <c r="K165" s="199"/>
      <c r="L165" s="199"/>
      <c r="M165" s="199"/>
      <c r="N165" s="199"/>
      <c r="O165" s="199"/>
      <c r="P165" s="199"/>
      <c r="Q165" s="199"/>
      <c r="R165" s="199"/>
      <c r="S165" s="199"/>
    </row>
    <row r="166" spans="4:19">
      <c r="D166" s="199"/>
      <c r="E166" s="199"/>
      <c r="F166" s="199"/>
      <c r="G166" s="199"/>
      <c r="H166" s="199"/>
      <c r="I166" s="199"/>
      <c r="J166" s="199"/>
      <c r="K166" s="199"/>
      <c r="L166" s="199"/>
      <c r="M166" s="199"/>
      <c r="N166" s="199"/>
      <c r="O166" s="199"/>
      <c r="P166" s="199"/>
      <c r="Q166" s="199"/>
      <c r="R166" s="199"/>
      <c r="S166" s="199"/>
    </row>
    <row r="167" spans="4:19">
      <c r="D167" s="199"/>
      <c r="E167" s="199"/>
      <c r="F167" s="199"/>
      <c r="G167" s="199"/>
      <c r="H167" s="199"/>
      <c r="I167" s="199"/>
      <c r="J167" s="199"/>
      <c r="K167" s="199"/>
      <c r="L167" s="199"/>
      <c r="M167" s="199"/>
      <c r="N167" s="199"/>
      <c r="O167" s="199"/>
      <c r="P167" s="199"/>
      <c r="Q167" s="199"/>
      <c r="R167" s="199"/>
      <c r="S167" s="199"/>
    </row>
    <row r="168" spans="4:19">
      <c r="D168" s="199"/>
      <c r="E168" s="199"/>
      <c r="F168" s="199"/>
      <c r="G168" s="199"/>
      <c r="H168" s="199"/>
      <c r="I168" s="199"/>
      <c r="J168" s="199"/>
      <c r="K168" s="199"/>
      <c r="L168" s="199"/>
      <c r="M168" s="199"/>
      <c r="N168" s="199"/>
      <c r="O168" s="199"/>
      <c r="P168" s="199"/>
      <c r="Q168" s="199"/>
      <c r="R168" s="199"/>
      <c r="S168" s="199"/>
    </row>
    <row r="169" spans="4:19">
      <c r="D169" s="199"/>
      <c r="E169" s="199"/>
      <c r="F169" s="199"/>
      <c r="G169" s="199"/>
      <c r="H169" s="199"/>
      <c r="I169" s="199"/>
      <c r="J169" s="199"/>
      <c r="K169" s="199"/>
      <c r="L169" s="199"/>
      <c r="M169" s="199"/>
      <c r="N169" s="199"/>
      <c r="O169" s="199"/>
      <c r="P169" s="199"/>
      <c r="Q169" s="199"/>
      <c r="R169" s="199"/>
      <c r="S169" s="199"/>
    </row>
    <row r="170" spans="4:19">
      <c r="D170" s="199"/>
      <c r="E170" s="199"/>
      <c r="F170" s="199"/>
      <c r="G170" s="199"/>
      <c r="H170" s="199"/>
      <c r="I170" s="199"/>
      <c r="J170" s="199"/>
      <c r="K170" s="199"/>
      <c r="L170" s="199"/>
      <c r="M170" s="199"/>
      <c r="N170" s="199"/>
      <c r="O170" s="199"/>
      <c r="P170" s="199"/>
      <c r="Q170" s="199"/>
      <c r="R170" s="199"/>
      <c r="S170" s="199"/>
    </row>
    <row r="171" spans="4:19">
      <c r="D171" s="199"/>
      <c r="E171" s="199"/>
      <c r="F171" s="199"/>
      <c r="G171" s="199"/>
      <c r="H171" s="199"/>
      <c r="I171" s="199"/>
      <c r="J171" s="199"/>
      <c r="K171" s="199"/>
      <c r="L171" s="199"/>
      <c r="M171" s="199"/>
      <c r="N171" s="199"/>
      <c r="O171" s="199"/>
      <c r="P171" s="199"/>
      <c r="Q171" s="199"/>
      <c r="R171" s="199"/>
      <c r="S171" s="199"/>
    </row>
    <row r="172" spans="4:19">
      <c r="D172" s="199"/>
      <c r="E172" s="199"/>
      <c r="F172" s="199"/>
      <c r="G172" s="199"/>
      <c r="H172" s="199"/>
      <c r="I172" s="199"/>
      <c r="J172" s="199"/>
      <c r="K172" s="199"/>
      <c r="L172" s="199"/>
      <c r="M172" s="199"/>
      <c r="N172" s="199"/>
      <c r="O172" s="199"/>
      <c r="P172" s="199"/>
      <c r="Q172" s="199"/>
      <c r="R172" s="199"/>
      <c r="S172" s="199"/>
    </row>
    <row r="173" spans="4:19">
      <c r="D173" s="199"/>
      <c r="E173" s="199"/>
      <c r="F173" s="199"/>
      <c r="G173" s="199"/>
      <c r="H173" s="199"/>
      <c r="I173" s="199"/>
      <c r="J173" s="199"/>
      <c r="K173" s="199"/>
      <c r="L173" s="199"/>
      <c r="M173" s="199"/>
      <c r="N173" s="199"/>
      <c r="O173" s="199"/>
      <c r="P173" s="199"/>
      <c r="Q173" s="199"/>
      <c r="R173" s="199"/>
      <c r="S173" s="199"/>
    </row>
    <row r="174" spans="4:19">
      <c r="D174" s="199"/>
      <c r="E174" s="199"/>
      <c r="F174" s="199"/>
      <c r="G174" s="199"/>
      <c r="H174" s="199"/>
      <c r="I174" s="199"/>
      <c r="J174" s="199"/>
      <c r="K174" s="199"/>
      <c r="L174" s="199"/>
      <c r="M174" s="199"/>
      <c r="N174" s="199"/>
      <c r="O174" s="199"/>
      <c r="P174" s="199"/>
      <c r="Q174" s="199"/>
      <c r="R174" s="199"/>
      <c r="S174" s="199"/>
    </row>
    <row r="175" spans="4:19">
      <c r="D175" s="199"/>
      <c r="E175" s="199"/>
      <c r="F175" s="199"/>
      <c r="G175" s="199"/>
      <c r="H175" s="199"/>
      <c r="I175" s="199"/>
      <c r="J175" s="199"/>
      <c r="K175" s="199"/>
      <c r="L175" s="199"/>
      <c r="M175" s="199"/>
      <c r="N175" s="199"/>
      <c r="O175" s="199"/>
      <c r="P175" s="199"/>
      <c r="Q175" s="199"/>
      <c r="R175" s="199"/>
      <c r="S175" s="199"/>
    </row>
    <row r="176" spans="4:19">
      <c r="D176" s="199"/>
      <c r="E176" s="199"/>
      <c r="F176" s="199"/>
      <c r="G176" s="199"/>
      <c r="H176" s="199"/>
      <c r="I176" s="199"/>
      <c r="J176" s="199"/>
      <c r="K176" s="199"/>
      <c r="L176" s="199"/>
      <c r="M176" s="199"/>
      <c r="N176" s="199"/>
      <c r="O176" s="199"/>
      <c r="P176" s="199"/>
      <c r="Q176" s="199"/>
      <c r="R176" s="199"/>
      <c r="S176" s="199"/>
    </row>
    <row r="177" spans="4:19">
      <c r="D177" s="199"/>
      <c r="E177" s="199"/>
      <c r="F177" s="199"/>
      <c r="G177" s="199"/>
      <c r="H177" s="199"/>
      <c r="I177" s="199"/>
      <c r="J177" s="199"/>
      <c r="K177" s="199"/>
      <c r="L177" s="199"/>
      <c r="M177" s="199"/>
      <c r="N177" s="199"/>
      <c r="O177" s="199"/>
      <c r="P177" s="199"/>
      <c r="Q177" s="199"/>
      <c r="R177" s="199"/>
      <c r="S177" s="199"/>
    </row>
    <row r="178" spans="4:19">
      <c r="D178" s="199"/>
      <c r="E178" s="199"/>
      <c r="F178" s="199"/>
      <c r="G178" s="199"/>
      <c r="H178" s="199"/>
      <c r="I178" s="199"/>
      <c r="J178" s="199"/>
      <c r="K178" s="199"/>
      <c r="L178" s="199"/>
      <c r="M178" s="199"/>
      <c r="N178" s="199"/>
      <c r="O178" s="199"/>
      <c r="P178" s="199"/>
      <c r="Q178" s="199"/>
      <c r="R178" s="199"/>
      <c r="S178" s="199"/>
    </row>
    <row r="179" spans="4:19">
      <c r="D179" s="199"/>
      <c r="E179" s="199"/>
      <c r="F179" s="199"/>
      <c r="G179" s="199"/>
      <c r="H179" s="199"/>
      <c r="I179" s="199"/>
      <c r="J179" s="199"/>
      <c r="K179" s="199"/>
      <c r="L179" s="199"/>
      <c r="M179" s="199"/>
      <c r="N179" s="199"/>
      <c r="O179" s="199"/>
      <c r="P179" s="199"/>
      <c r="Q179" s="199"/>
      <c r="R179" s="199"/>
      <c r="S179" s="199"/>
    </row>
    <row r="180" spans="4:19">
      <c r="D180" s="199"/>
      <c r="E180" s="199"/>
      <c r="F180" s="199"/>
      <c r="G180" s="199"/>
      <c r="H180" s="199"/>
      <c r="I180" s="199"/>
      <c r="J180" s="199"/>
      <c r="K180" s="199"/>
      <c r="L180" s="199"/>
      <c r="M180" s="199"/>
      <c r="N180" s="199"/>
      <c r="O180" s="199"/>
      <c r="P180" s="199"/>
      <c r="Q180" s="199"/>
      <c r="R180" s="199"/>
      <c r="S180" s="199"/>
    </row>
    <row r="181" spans="4:19">
      <c r="D181" s="199"/>
      <c r="E181" s="199"/>
      <c r="F181" s="199"/>
      <c r="G181" s="199"/>
      <c r="H181" s="199"/>
      <c r="I181" s="199"/>
      <c r="J181" s="199"/>
      <c r="K181" s="199"/>
      <c r="L181" s="199"/>
      <c r="M181" s="199"/>
      <c r="N181" s="199"/>
      <c r="O181" s="199"/>
      <c r="P181" s="199"/>
      <c r="Q181" s="199"/>
      <c r="R181" s="199"/>
      <c r="S181" s="199"/>
    </row>
    <row r="182" spans="4:19">
      <c r="D182" s="199"/>
      <c r="E182" s="199"/>
      <c r="F182" s="199"/>
      <c r="G182" s="199"/>
      <c r="H182" s="199"/>
      <c r="I182" s="199"/>
      <c r="J182" s="199"/>
      <c r="K182" s="199"/>
      <c r="L182" s="199"/>
      <c r="M182" s="199"/>
      <c r="N182" s="199"/>
      <c r="O182" s="199"/>
      <c r="P182" s="199"/>
      <c r="Q182" s="199"/>
      <c r="R182" s="199"/>
      <c r="S182" s="199"/>
    </row>
    <row r="183" spans="4:19">
      <c r="D183" s="199"/>
      <c r="E183" s="199"/>
      <c r="F183" s="199"/>
      <c r="G183" s="199"/>
      <c r="H183" s="199"/>
      <c r="I183" s="199"/>
      <c r="J183" s="199"/>
      <c r="K183" s="199"/>
      <c r="L183" s="199"/>
      <c r="M183" s="199"/>
      <c r="N183" s="199"/>
      <c r="O183" s="199"/>
      <c r="P183" s="199"/>
      <c r="Q183" s="199"/>
      <c r="R183" s="199"/>
      <c r="S183" s="199"/>
    </row>
    <row r="184" spans="4:19">
      <c r="D184" s="199"/>
      <c r="E184" s="199"/>
      <c r="F184" s="199"/>
      <c r="G184" s="199"/>
      <c r="H184" s="199"/>
      <c r="I184" s="199"/>
      <c r="J184" s="199"/>
      <c r="K184" s="199"/>
      <c r="L184" s="199"/>
      <c r="M184" s="199"/>
      <c r="N184" s="199"/>
      <c r="O184" s="199"/>
      <c r="P184" s="199"/>
      <c r="Q184" s="199"/>
      <c r="R184" s="199"/>
      <c r="S184" s="199"/>
    </row>
    <row r="185" spans="4:19">
      <c r="D185" s="199"/>
      <c r="E185" s="199"/>
      <c r="F185" s="199"/>
      <c r="G185" s="199"/>
      <c r="H185" s="199"/>
      <c r="I185" s="199"/>
      <c r="J185" s="199"/>
      <c r="K185" s="199"/>
      <c r="L185" s="199"/>
      <c r="M185" s="199"/>
      <c r="N185" s="199"/>
      <c r="O185" s="199"/>
      <c r="P185" s="199"/>
      <c r="Q185" s="199"/>
      <c r="R185" s="199"/>
      <c r="S185" s="199"/>
    </row>
    <row r="186" spans="4:19">
      <c r="D186" s="199"/>
      <c r="E186" s="199"/>
      <c r="F186" s="199"/>
      <c r="G186" s="199"/>
      <c r="H186" s="199"/>
      <c r="I186" s="199"/>
      <c r="J186" s="199"/>
      <c r="K186" s="199"/>
      <c r="L186" s="199"/>
      <c r="M186" s="199"/>
      <c r="N186" s="199"/>
      <c r="O186" s="199"/>
      <c r="P186" s="199"/>
      <c r="Q186" s="199"/>
      <c r="R186" s="199"/>
      <c r="S186" s="199"/>
    </row>
    <row r="187" spans="4:19">
      <c r="D187" s="199"/>
      <c r="E187" s="199"/>
      <c r="F187" s="199"/>
      <c r="G187" s="199"/>
      <c r="H187" s="199"/>
      <c r="I187" s="199"/>
      <c r="J187" s="199"/>
      <c r="K187" s="199"/>
      <c r="L187" s="199"/>
      <c r="M187" s="199"/>
      <c r="N187" s="199"/>
      <c r="O187" s="199"/>
      <c r="P187" s="199"/>
      <c r="Q187" s="199"/>
      <c r="R187" s="199"/>
      <c r="S187" s="199"/>
    </row>
    <row r="188" spans="4:19">
      <c r="D188" s="199"/>
      <c r="E188" s="199"/>
      <c r="F188" s="199"/>
      <c r="G188" s="199"/>
      <c r="H188" s="199"/>
      <c r="I188" s="199"/>
      <c r="J188" s="199"/>
      <c r="K188" s="199"/>
      <c r="L188" s="199"/>
      <c r="M188" s="199"/>
      <c r="N188" s="199"/>
      <c r="O188" s="199"/>
      <c r="P188" s="199"/>
      <c r="Q188" s="199"/>
      <c r="R188" s="199"/>
      <c r="S188" s="199"/>
    </row>
    <row r="189" spans="4:19">
      <c r="D189" s="199"/>
      <c r="E189" s="199"/>
      <c r="F189" s="199"/>
      <c r="G189" s="199"/>
      <c r="H189" s="199"/>
      <c r="I189" s="199"/>
      <c r="J189" s="199"/>
      <c r="K189" s="199"/>
      <c r="L189" s="199"/>
      <c r="M189" s="199"/>
      <c r="N189" s="199"/>
      <c r="O189" s="199"/>
      <c r="P189" s="199"/>
      <c r="Q189" s="199"/>
      <c r="R189" s="199"/>
      <c r="S189" s="199"/>
    </row>
    <row r="190" spans="4:19">
      <c r="D190" s="199"/>
      <c r="E190" s="199"/>
      <c r="F190" s="199"/>
      <c r="G190" s="199"/>
      <c r="H190" s="199"/>
      <c r="I190" s="199"/>
      <c r="J190" s="199"/>
      <c r="K190" s="199"/>
      <c r="L190" s="199"/>
      <c r="M190" s="199"/>
      <c r="N190" s="199"/>
      <c r="O190" s="199"/>
      <c r="P190" s="199"/>
      <c r="Q190" s="199"/>
      <c r="R190" s="199"/>
      <c r="S190" s="199"/>
    </row>
    <row r="191" spans="4:19">
      <c r="D191" s="199"/>
      <c r="E191" s="199"/>
      <c r="F191" s="199"/>
      <c r="G191" s="199"/>
      <c r="H191" s="199"/>
      <c r="I191" s="199"/>
      <c r="J191" s="199"/>
      <c r="K191" s="199"/>
      <c r="L191" s="199"/>
      <c r="M191" s="199"/>
      <c r="N191" s="199"/>
      <c r="O191" s="199"/>
      <c r="P191" s="199"/>
      <c r="Q191" s="199"/>
      <c r="R191" s="199"/>
      <c r="S191" s="199"/>
    </row>
    <row r="192" spans="4:19">
      <c r="D192" s="199"/>
      <c r="E192" s="199"/>
      <c r="F192" s="199"/>
      <c r="G192" s="199"/>
      <c r="H192" s="199"/>
      <c r="I192" s="199"/>
      <c r="J192" s="199"/>
      <c r="K192" s="199"/>
      <c r="L192" s="199"/>
      <c r="M192" s="199"/>
      <c r="N192" s="199"/>
      <c r="O192" s="199"/>
      <c r="P192" s="199"/>
      <c r="Q192" s="199"/>
      <c r="R192" s="199"/>
      <c r="S192" s="199"/>
    </row>
    <row r="193" spans="4:19">
      <c r="D193" s="199"/>
      <c r="E193" s="199"/>
      <c r="F193" s="199"/>
      <c r="G193" s="199"/>
      <c r="H193" s="199"/>
      <c r="I193" s="199"/>
      <c r="J193" s="199"/>
      <c r="K193" s="199"/>
      <c r="L193" s="199"/>
      <c r="M193" s="199"/>
      <c r="N193" s="199"/>
      <c r="O193" s="199"/>
      <c r="P193" s="199"/>
      <c r="Q193" s="199"/>
      <c r="R193" s="199"/>
      <c r="S193" s="199"/>
    </row>
    <row r="194" spans="4:19">
      <c r="D194" s="199"/>
      <c r="E194" s="199"/>
      <c r="F194" s="199"/>
      <c r="G194" s="199"/>
      <c r="H194" s="199"/>
      <c r="I194" s="199"/>
      <c r="J194" s="199"/>
      <c r="K194" s="199"/>
      <c r="L194" s="199"/>
      <c r="M194" s="199"/>
      <c r="N194" s="199"/>
      <c r="O194" s="199"/>
      <c r="P194" s="199"/>
      <c r="Q194" s="199"/>
      <c r="R194" s="199"/>
      <c r="S194" s="199"/>
    </row>
    <row r="195" spans="4:19">
      <c r="D195" s="199"/>
      <c r="E195" s="199"/>
      <c r="F195" s="199"/>
      <c r="G195" s="199"/>
      <c r="H195" s="199"/>
      <c r="I195" s="199"/>
      <c r="J195" s="199"/>
      <c r="K195" s="199"/>
      <c r="L195" s="199"/>
      <c r="M195" s="199"/>
      <c r="N195" s="199"/>
      <c r="O195" s="199"/>
      <c r="P195" s="199"/>
      <c r="Q195" s="199"/>
      <c r="R195" s="199"/>
      <c r="S195" s="199"/>
    </row>
    <row r="196" spans="4:19">
      <c r="D196" s="199"/>
      <c r="E196" s="199"/>
      <c r="F196" s="199"/>
      <c r="G196" s="199"/>
      <c r="H196" s="199"/>
      <c r="I196" s="199"/>
      <c r="J196" s="199"/>
      <c r="K196" s="199"/>
      <c r="L196" s="199"/>
      <c r="M196" s="199"/>
      <c r="N196" s="199"/>
      <c r="O196" s="199"/>
      <c r="P196" s="199"/>
      <c r="Q196" s="199"/>
      <c r="R196" s="199"/>
      <c r="S196" s="199"/>
    </row>
    <row r="197" spans="4:19">
      <c r="D197" s="199"/>
      <c r="E197" s="199"/>
      <c r="F197" s="199"/>
      <c r="G197" s="199"/>
      <c r="H197" s="199"/>
      <c r="I197" s="199"/>
      <c r="J197" s="199"/>
      <c r="K197" s="199"/>
      <c r="L197" s="199"/>
      <c r="M197" s="199"/>
      <c r="N197" s="199"/>
      <c r="O197" s="199"/>
      <c r="P197" s="199"/>
      <c r="Q197" s="199"/>
      <c r="R197" s="199"/>
      <c r="S197" s="199"/>
    </row>
    <row r="198" spans="4:19">
      <c r="D198" s="199"/>
      <c r="E198" s="199"/>
      <c r="F198" s="199"/>
      <c r="G198" s="199"/>
      <c r="H198" s="199"/>
      <c r="I198" s="199"/>
      <c r="J198" s="199"/>
      <c r="K198" s="199"/>
      <c r="L198" s="199"/>
      <c r="M198" s="199"/>
      <c r="N198" s="199"/>
      <c r="O198" s="199"/>
      <c r="P198" s="199"/>
      <c r="Q198" s="199"/>
      <c r="R198" s="199"/>
      <c r="S198" s="199"/>
    </row>
    <row r="199" spans="4:19">
      <c r="D199" s="199"/>
      <c r="E199" s="199"/>
      <c r="F199" s="199"/>
      <c r="G199" s="199"/>
      <c r="H199" s="199"/>
      <c r="I199" s="199"/>
      <c r="J199" s="199"/>
      <c r="K199" s="199"/>
      <c r="L199" s="199"/>
      <c r="M199" s="199"/>
      <c r="N199" s="199"/>
      <c r="O199" s="199"/>
      <c r="P199" s="199"/>
      <c r="Q199" s="199"/>
      <c r="R199" s="199"/>
      <c r="S199" s="199"/>
    </row>
    <row r="200" spans="4:19">
      <c r="D200" s="199"/>
      <c r="E200" s="199"/>
      <c r="F200" s="199"/>
      <c r="G200" s="199"/>
      <c r="H200" s="199"/>
      <c r="I200" s="199"/>
      <c r="J200" s="199"/>
      <c r="K200" s="199"/>
      <c r="L200" s="199"/>
      <c r="M200" s="199"/>
      <c r="N200" s="199"/>
      <c r="O200" s="199"/>
      <c r="P200" s="199"/>
      <c r="Q200" s="199"/>
      <c r="R200" s="199"/>
      <c r="S200" s="199"/>
    </row>
    <row r="201" spans="4:19">
      <c r="D201" s="199"/>
      <c r="E201" s="199"/>
      <c r="F201" s="199"/>
      <c r="G201" s="199"/>
      <c r="H201" s="199"/>
      <c r="I201" s="199"/>
      <c r="J201" s="199"/>
      <c r="K201" s="199"/>
      <c r="L201" s="199"/>
      <c r="M201" s="199"/>
      <c r="N201" s="199"/>
      <c r="O201" s="199"/>
      <c r="P201" s="199"/>
      <c r="Q201" s="199"/>
      <c r="R201" s="199"/>
      <c r="S201" s="199"/>
    </row>
    <row r="202" spans="4:19">
      <c r="D202" s="199"/>
      <c r="E202" s="199"/>
      <c r="F202" s="199"/>
      <c r="G202" s="199"/>
      <c r="H202" s="199"/>
      <c r="I202" s="199"/>
      <c r="J202" s="199"/>
      <c r="K202" s="199"/>
      <c r="L202" s="199"/>
      <c r="M202" s="199"/>
      <c r="N202" s="199"/>
      <c r="O202" s="199"/>
      <c r="P202" s="199"/>
      <c r="Q202" s="199"/>
      <c r="R202" s="199"/>
      <c r="S202" s="199"/>
    </row>
    <row r="203" spans="4:19">
      <c r="D203" s="199"/>
      <c r="E203" s="199"/>
      <c r="F203" s="199"/>
      <c r="G203" s="199"/>
      <c r="H203" s="199"/>
      <c r="I203" s="199"/>
      <c r="J203" s="199"/>
      <c r="K203" s="199"/>
      <c r="L203" s="199"/>
      <c r="M203" s="199"/>
      <c r="N203" s="199"/>
      <c r="O203" s="199"/>
      <c r="P203" s="199"/>
      <c r="Q203" s="199"/>
      <c r="R203" s="199"/>
      <c r="S203" s="199"/>
    </row>
    <row r="204" spans="4:19">
      <c r="D204" s="199"/>
      <c r="E204" s="199"/>
      <c r="F204" s="199"/>
      <c r="G204" s="199"/>
      <c r="H204" s="199"/>
      <c r="I204" s="199"/>
      <c r="J204" s="199"/>
      <c r="K204" s="199"/>
      <c r="L204" s="199"/>
      <c r="M204" s="199"/>
      <c r="N204" s="199"/>
      <c r="O204" s="199"/>
      <c r="P204" s="199"/>
      <c r="Q204" s="199"/>
      <c r="R204" s="199"/>
      <c r="S204" s="199"/>
    </row>
    <row r="205" spans="4:19">
      <c r="D205" s="199"/>
      <c r="E205" s="199"/>
      <c r="F205" s="199"/>
      <c r="G205" s="199"/>
      <c r="H205" s="199"/>
      <c r="I205" s="199"/>
      <c r="J205" s="199"/>
      <c r="K205" s="199"/>
      <c r="L205" s="199"/>
      <c r="M205" s="199"/>
      <c r="N205" s="199"/>
      <c r="O205" s="199"/>
      <c r="P205" s="199"/>
      <c r="Q205" s="199"/>
      <c r="R205" s="199"/>
      <c r="S205" s="199"/>
    </row>
    <row r="206" spans="4:19">
      <c r="D206" s="199"/>
      <c r="E206" s="199"/>
      <c r="F206" s="199"/>
      <c r="G206" s="199"/>
      <c r="H206" s="199"/>
      <c r="I206" s="199"/>
      <c r="J206" s="199"/>
      <c r="K206" s="199"/>
      <c r="L206" s="199"/>
      <c r="M206" s="199"/>
      <c r="N206" s="199"/>
      <c r="O206" s="199"/>
      <c r="P206" s="199"/>
      <c r="Q206" s="199"/>
      <c r="R206" s="199"/>
      <c r="S206" s="199"/>
    </row>
    <row r="207" spans="4:19">
      <c r="D207" s="199"/>
      <c r="E207" s="199"/>
      <c r="F207" s="199"/>
      <c r="G207" s="199"/>
      <c r="H207" s="199"/>
      <c r="I207" s="199"/>
      <c r="J207" s="199"/>
      <c r="K207" s="199"/>
      <c r="L207" s="199"/>
      <c r="M207" s="199"/>
      <c r="N207" s="199"/>
      <c r="O207" s="199"/>
      <c r="P207" s="199"/>
      <c r="Q207" s="199"/>
      <c r="R207" s="199"/>
      <c r="S207" s="199"/>
    </row>
    <row r="208" spans="4:19">
      <c r="D208" s="199"/>
      <c r="E208" s="199"/>
      <c r="F208" s="199"/>
      <c r="G208" s="199"/>
      <c r="H208" s="199"/>
      <c r="I208" s="199"/>
      <c r="J208" s="199"/>
      <c r="K208" s="199"/>
      <c r="L208" s="199"/>
      <c r="M208" s="199"/>
      <c r="N208" s="199"/>
      <c r="O208" s="199"/>
      <c r="P208" s="199"/>
      <c r="Q208" s="199"/>
      <c r="R208" s="199"/>
      <c r="S208" s="199"/>
    </row>
    <row r="209" spans="4:19">
      <c r="D209" s="199"/>
      <c r="E209" s="199"/>
      <c r="F209" s="199"/>
      <c r="G209" s="199"/>
      <c r="H209" s="199"/>
      <c r="I209" s="199"/>
      <c r="J209" s="199"/>
      <c r="K209" s="199"/>
      <c r="L209" s="199"/>
      <c r="M209" s="199"/>
      <c r="N209" s="199"/>
      <c r="O209" s="199"/>
      <c r="P209" s="199"/>
      <c r="Q209" s="199"/>
      <c r="R209" s="199"/>
      <c r="S209" s="199"/>
    </row>
    <row r="210" spans="4:19">
      <c r="D210" s="199"/>
      <c r="E210" s="199"/>
      <c r="F210" s="199"/>
      <c r="G210" s="199"/>
      <c r="H210" s="199"/>
      <c r="I210" s="199"/>
      <c r="J210" s="199"/>
      <c r="K210" s="199"/>
      <c r="L210" s="199"/>
      <c r="M210" s="199"/>
      <c r="N210" s="199"/>
      <c r="O210" s="199"/>
      <c r="P210" s="199"/>
      <c r="Q210" s="199"/>
      <c r="R210" s="199"/>
      <c r="S210" s="199"/>
    </row>
    <row r="211" spans="4:19">
      <c r="D211" s="199"/>
      <c r="E211" s="199"/>
      <c r="F211" s="199"/>
      <c r="G211" s="199"/>
      <c r="H211" s="199"/>
      <c r="I211" s="199"/>
      <c r="J211" s="199"/>
      <c r="K211" s="199"/>
      <c r="L211" s="199"/>
      <c r="M211" s="199"/>
      <c r="N211" s="199"/>
      <c r="O211" s="199"/>
      <c r="P211" s="199"/>
      <c r="Q211" s="199"/>
      <c r="R211" s="199"/>
      <c r="S211" s="199"/>
    </row>
    <row r="212" spans="4:19">
      <c r="D212" s="199"/>
      <c r="E212" s="199"/>
      <c r="F212" s="199"/>
      <c r="G212" s="199"/>
      <c r="H212" s="199"/>
      <c r="I212" s="199"/>
      <c r="J212" s="199"/>
      <c r="K212" s="199"/>
      <c r="L212" s="199"/>
      <c r="M212" s="199"/>
      <c r="N212" s="199"/>
      <c r="O212" s="199"/>
      <c r="P212" s="199"/>
      <c r="Q212" s="199"/>
      <c r="R212" s="199"/>
      <c r="S212" s="199"/>
    </row>
    <row r="213" spans="4:19">
      <c r="D213" s="199"/>
      <c r="E213" s="199"/>
      <c r="F213" s="199"/>
      <c r="G213" s="199"/>
      <c r="H213" s="199"/>
      <c r="I213" s="199"/>
      <c r="J213" s="199"/>
      <c r="K213" s="199"/>
      <c r="L213" s="199"/>
      <c r="M213" s="199"/>
      <c r="N213" s="199"/>
      <c r="O213" s="199"/>
      <c r="P213" s="199"/>
      <c r="Q213" s="199"/>
      <c r="R213" s="199"/>
      <c r="S213" s="199"/>
    </row>
    <row r="214" spans="4:19">
      <c r="D214" s="199"/>
      <c r="E214" s="199"/>
      <c r="F214" s="199"/>
      <c r="G214" s="199"/>
      <c r="H214" s="199"/>
      <c r="I214" s="199"/>
      <c r="J214" s="199"/>
      <c r="K214" s="199"/>
      <c r="L214" s="199"/>
      <c r="M214" s="199"/>
      <c r="N214" s="199"/>
      <c r="O214" s="199"/>
      <c r="P214" s="199"/>
      <c r="Q214" s="199"/>
      <c r="R214" s="199"/>
      <c r="S214" s="199"/>
    </row>
    <row r="215" spans="4:19">
      <c r="D215" s="199"/>
      <c r="E215" s="199"/>
      <c r="F215" s="199"/>
      <c r="G215" s="199"/>
      <c r="H215" s="199"/>
      <c r="I215" s="199"/>
      <c r="J215" s="199"/>
      <c r="K215" s="199"/>
      <c r="L215" s="199"/>
      <c r="M215" s="199"/>
      <c r="N215" s="199"/>
      <c r="O215" s="199"/>
      <c r="P215" s="199"/>
      <c r="Q215" s="199"/>
      <c r="R215" s="199"/>
      <c r="S215" s="199"/>
    </row>
    <row r="216" spans="4:19">
      <c r="D216" s="199"/>
      <c r="E216" s="199"/>
      <c r="F216" s="199"/>
      <c r="G216" s="199"/>
      <c r="H216" s="199"/>
      <c r="I216" s="199"/>
      <c r="J216" s="199"/>
      <c r="K216" s="199"/>
      <c r="L216" s="199"/>
      <c r="M216" s="199"/>
      <c r="N216" s="199"/>
      <c r="O216" s="199"/>
      <c r="P216" s="199"/>
      <c r="Q216" s="199"/>
      <c r="R216" s="199"/>
      <c r="S216" s="199"/>
    </row>
    <row r="217" spans="4:19">
      <c r="D217" s="199"/>
      <c r="E217" s="199"/>
      <c r="F217" s="199"/>
      <c r="G217" s="199"/>
      <c r="H217" s="199"/>
      <c r="I217" s="199"/>
      <c r="J217" s="199"/>
      <c r="K217" s="199"/>
      <c r="L217" s="199"/>
      <c r="M217" s="199"/>
      <c r="N217" s="199"/>
      <c r="O217" s="199"/>
      <c r="P217" s="199"/>
      <c r="Q217" s="199"/>
      <c r="R217" s="199"/>
      <c r="S217" s="199"/>
    </row>
    <row r="218" spans="4:19">
      <c r="D218" s="199"/>
      <c r="E218" s="199"/>
      <c r="F218" s="199"/>
      <c r="G218" s="199"/>
      <c r="H218" s="199"/>
      <c r="I218" s="199"/>
      <c r="J218" s="199"/>
      <c r="K218" s="199"/>
      <c r="L218" s="199"/>
      <c r="M218" s="199"/>
      <c r="N218" s="199"/>
      <c r="O218" s="199"/>
      <c r="P218" s="199"/>
      <c r="Q218" s="199"/>
      <c r="R218" s="199"/>
      <c r="S218" s="199"/>
    </row>
    <row r="219" spans="4:19">
      <c r="D219" s="199"/>
      <c r="E219" s="199"/>
      <c r="F219" s="199"/>
      <c r="G219" s="199"/>
      <c r="H219" s="199"/>
      <c r="I219" s="199"/>
      <c r="J219" s="199"/>
      <c r="K219" s="199"/>
      <c r="L219" s="199"/>
      <c r="M219" s="199"/>
      <c r="N219" s="199"/>
      <c r="O219" s="199"/>
      <c r="P219" s="199"/>
      <c r="Q219" s="199"/>
      <c r="R219" s="199"/>
      <c r="S219" s="199"/>
    </row>
    <row r="220" spans="4:19">
      <c r="D220" s="199"/>
      <c r="E220" s="199"/>
      <c r="F220" s="199"/>
      <c r="G220" s="199"/>
      <c r="H220" s="199"/>
      <c r="I220" s="199"/>
      <c r="J220" s="199"/>
      <c r="K220" s="199"/>
      <c r="L220" s="199"/>
      <c r="M220" s="199"/>
      <c r="N220" s="199"/>
      <c r="O220" s="199"/>
      <c r="P220" s="199"/>
      <c r="Q220" s="199"/>
      <c r="R220" s="199"/>
      <c r="S220" s="199"/>
    </row>
    <row r="221" spans="4:19">
      <c r="D221" s="199"/>
      <c r="E221" s="199"/>
      <c r="F221" s="199"/>
      <c r="G221" s="199"/>
      <c r="H221" s="199"/>
      <c r="I221" s="199"/>
      <c r="J221" s="199"/>
      <c r="K221" s="199"/>
      <c r="L221" s="199"/>
      <c r="M221" s="199"/>
      <c r="N221" s="199"/>
      <c r="O221" s="199"/>
      <c r="P221" s="199"/>
      <c r="Q221" s="199"/>
      <c r="R221" s="199"/>
      <c r="S221" s="199"/>
    </row>
    <row r="222" spans="4:19">
      <c r="D222" s="199"/>
      <c r="E222" s="199"/>
      <c r="F222" s="199"/>
      <c r="G222" s="199"/>
      <c r="H222" s="199"/>
      <c r="I222" s="199"/>
      <c r="J222" s="199"/>
      <c r="K222" s="199"/>
      <c r="L222" s="199"/>
      <c r="M222" s="199"/>
      <c r="N222" s="199"/>
      <c r="O222" s="199"/>
      <c r="P222" s="199"/>
      <c r="Q222" s="199"/>
      <c r="R222" s="199"/>
      <c r="S222" s="199"/>
    </row>
    <row r="223" spans="4:19">
      <c r="D223" s="199"/>
      <c r="E223" s="199"/>
      <c r="F223" s="199"/>
      <c r="G223" s="199"/>
      <c r="H223" s="199"/>
      <c r="I223" s="199"/>
      <c r="J223" s="199"/>
      <c r="K223" s="199"/>
      <c r="L223" s="199"/>
      <c r="M223" s="199"/>
      <c r="N223" s="199"/>
      <c r="O223" s="199"/>
      <c r="P223" s="199"/>
      <c r="Q223" s="199"/>
      <c r="R223" s="199"/>
      <c r="S223" s="199"/>
    </row>
    <row r="224" spans="4:19">
      <c r="D224" s="199"/>
      <c r="E224" s="199"/>
      <c r="F224" s="199"/>
      <c r="G224" s="199"/>
      <c r="H224" s="199"/>
      <c r="I224" s="199"/>
      <c r="J224" s="199"/>
      <c r="K224" s="199"/>
      <c r="L224" s="199"/>
      <c r="M224" s="199"/>
      <c r="N224" s="199"/>
      <c r="O224" s="199"/>
      <c r="P224" s="199"/>
      <c r="Q224" s="199"/>
      <c r="R224" s="199"/>
      <c r="S224" s="199"/>
    </row>
    <row r="225" spans="4:19">
      <c r="D225" s="199"/>
      <c r="E225" s="199"/>
      <c r="F225" s="199"/>
      <c r="G225" s="199"/>
      <c r="H225" s="199"/>
      <c r="I225" s="199"/>
      <c r="J225" s="199"/>
      <c r="K225" s="199"/>
      <c r="L225" s="199"/>
      <c r="M225" s="199"/>
      <c r="N225" s="199"/>
      <c r="O225" s="199"/>
      <c r="P225" s="199"/>
      <c r="Q225" s="199"/>
      <c r="R225" s="199"/>
      <c r="S225" s="199"/>
    </row>
    <row r="226" spans="4:19">
      <c r="D226" s="199"/>
      <c r="E226" s="199"/>
      <c r="F226" s="199"/>
      <c r="G226" s="199"/>
      <c r="H226" s="199"/>
      <c r="I226" s="199"/>
      <c r="J226" s="199"/>
      <c r="K226" s="199"/>
      <c r="L226" s="199"/>
      <c r="M226" s="199"/>
      <c r="N226" s="199"/>
      <c r="O226" s="199"/>
      <c r="P226" s="199"/>
      <c r="Q226" s="199"/>
      <c r="R226" s="199"/>
      <c r="S226" s="199"/>
    </row>
    <row r="227" spans="4:19">
      <c r="D227" s="199"/>
      <c r="E227" s="199"/>
      <c r="F227" s="199"/>
      <c r="G227" s="199"/>
      <c r="H227" s="199"/>
      <c r="I227" s="199"/>
      <c r="J227" s="199"/>
      <c r="K227" s="199"/>
      <c r="L227" s="199"/>
      <c r="M227" s="199"/>
      <c r="N227" s="199"/>
      <c r="O227" s="199"/>
      <c r="P227" s="199"/>
      <c r="Q227" s="199"/>
      <c r="R227" s="199"/>
      <c r="S227" s="199"/>
    </row>
    <row r="228" spans="4:19">
      <c r="D228" s="199"/>
      <c r="E228" s="199"/>
      <c r="F228" s="199"/>
      <c r="G228" s="199"/>
      <c r="H228" s="199"/>
      <c r="I228" s="199"/>
      <c r="J228" s="199"/>
      <c r="K228" s="199"/>
      <c r="L228" s="199"/>
      <c r="M228" s="199"/>
      <c r="N228" s="199"/>
      <c r="O228" s="199"/>
      <c r="P228" s="199"/>
      <c r="Q228" s="199"/>
      <c r="R228" s="199"/>
      <c r="S228" s="199"/>
    </row>
    <row r="229" spans="4:19">
      <c r="D229" s="199"/>
      <c r="E229" s="199"/>
      <c r="F229" s="199"/>
      <c r="G229" s="199"/>
      <c r="H229" s="199"/>
      <c r="I229" s="199"/>
      <c r="J229" s="199"/>
      <c r="K229" s="199"/>
      <c r="L229" s="199"/>
      <c r="M229" s="199"/>
      <c r="N229" s="199"/>
      <c r="O229" s="199"/>
      <c r="P229" s="199"/>
      <c r="Q229" s="199"/>
      <c r="R229" s="199"/>
      <c r="S229" s="199"/>
    </row>
    <row r="230" spans="4:19">
      <c r="D230" s="199"/>
      <c r="E230" s="199"/>
      <c r="F230" s="199"/>
      <c r="G230" s="199"/>
      <c r="H230" s="199"/>
      <c r="I230" s="199"/>
      <c r="J230" s="199"/>
      <c r="K230" s="199"/>
      <c r="L230" s="199"/>
      <c r="M230" s="199"/>
      <c r="N230" s="199"/>
      <c r="O230" s="199"/>
      <c r="P230" s="199"/>
      <c r="Q230" s="199"/>
      <c r="R230" s="199"/>
      <c r="S230" s="199"/>
    </row>
    <row r="231" spans="4:19">
      <c r="D231" s="199"/>
      <c r="E231" s="199"/>
      <c r="F231" s="199"/>
      <c r="G231" s="199"/>
      <c r="H231" s="199"/>
      <c r="I231" s="199"/>
      <c r="J231" s="199"/>
      <c r="K231" s="199"/>
      <c r="L231" s="199"/>
      <c r="M231" s="199"/>
      <c r="N231" s="199"/>
      <c r="O231" s="199"/>
      <c r="P231" s="199"/>
      <c r="Q231" s="199"/>
      <c r="R231" s="199"/>
      <c r="S231" s="199"/>
    </row>
    <row r="232" spans="4:19">
      <c r="D232" s="199"/>
      <c r="E232" s="199"/>
      <c r="F232" s="199"/>
      <c r="G232" s="199"/>
      <c r="H232" s="199"/>
      <c r="I232" s="199"/>
      <c r="J232" s="199"/>
      <c r="K232" s="199"/>
      <c r="L232" s="199"/>
      <c r="M232" s="199"/>
      <c r="N232" s="199"/>
      <c r="O232" s="199"/>
      <c r="P232" s="199"/>
      <c r="Q232" s="199"/>
      <c r="R232" s="199"/>
      <c r="S232" s="199"/>
    </row>
    <row r="233" spans="4:19">
      <c r="D233" s="199"/>
      <c r="E233" s="199"/>
      <c r="F233" s="199"/>
      <c r="G233" s="199"/>
      <c r="H233" s="199"/>
      <c r="I233" s="199"/>
      <c r="J233" s="199"/>
      <c r="K233" s="199"/>
      <c r="L233" s="199"/>
      <c r="M233" s="199"/>
      <c r="N233" s="199"/>
      <c r="O233" s="199"/>
      <c r="P233" s="199"/>
      <c r="Q233" s="199"/>
      <c r="R233" s="199"/>
      <c r="S233" s="199"/>
    </row>
    <row r="234" spans="4:19">
      <c r="D234" s="199"/>
      <c r="E234" s="199"/>
      <c r="F234" s="199"/>
      <c r="G234" s="199"/>
      <c r="H234" s="199"/>
      <c r="I234" s="199"/>
      <c r="J234" s="199"/>
      <c r="K234" s="199"/>
      <c r="L234" s="199"/>
      <c r="M234" s="199"/>
      <c r="N234" s="199"/>
      <c r="O234" s="199"/>
      <c r="P234" s="199"/>
      <c r="Q234" s="199"/>
      <c r="R234" s="199"/>
      <c r="S234" s="199"/>
    </row>
    <row r="235" spans="4:19">
      <c r="D235" s="199"/>
      <c r="E235" s="199"/>
      <c r="F235" s="199"/>
      <c r="G235" s="199"/>
      <c r="H235" s="199"/>
      <c r="I235" s="199"/>
      <c r="J235" s="199"/>
      <c r="K235" s="199"/>
      <c r="L235" s="199"/>
      <c r="M235" s="199"/>
      <c r="N235" s="199"/>
      <c r="O235" s="199"/>
      <c r="P235" s="199"/>
      <c r="Q235" s="199"/>
      <c r="R235" s="199"/>
      <c r="S235" s="199"/>
    </row>
    <row r="236" spans="4:19">
      <c r="D236" s="199"/>
      <c r="E236" s="199"/>
      <c r="F236" s="199"/>
      <c r="G236" s="199"/>
      <c r="H236" s="199"/>
      <c r="I236" s="199"/>
      <c r="J236" s="199"/>
      <c r="K236" s="199"/>
      <c r="L236" s="199"/>
      <c r="M236" s="199"/>
      <c r="N236" s="199"/>
      <c r="O236" s="199"/>
      <c r="P236" s="199"/>
      <c r="Q236" s="199"/>
      <c r="R236" s="199"/>
      <c r="S236" s="199"/>
    </row>
    <row r="237" spans="4:19">
      <c r="D237" s="199"/>
      <c r="E237" s="199"/>
      <c r="F237" s="199"/>
      <c r="G237" s="199"/>
      <c r="H237" s="199"/>
      <c r="I237" s="199"/>
      <c r="J237" s="199"/>
      <c r="K237" s="199"/>
      <c r="L237" s="199"/>
      <c r="M237" s="199"/>
      <c r="N237" s="199"/>
      <c r="O237" s="199"/>
      <c r="P237" s="199"/>
      <c r="Q237" s="199"/>
      <c r="R237" s="199"/>
      <c r="S237" s="199"/>
    </row>
    <row r="238" spans="4:19">
      <c r="D238" s="199"/>
      <c r="E238" s="199"/>
      <c r="F238" s="199"/>
      <c r="G238" s="199"/>
      <c r="H238" s="199"/>
      <c r="I238" s="199"/>
      <c r="J238" s="199"/>
      <c r="K238" s="199"/>
      <c r="L238" s="199"/>
      <c r="M238" s="199"/>
      <c r="N238" s="199"/>
      <c r="O238" s="199"/>
      <c r="P238" s="199"/>
      <c r="Q238" s="199"/>
      <c r="R238" s="199"/>
      <c r="S238" s="199"/>
    </row>
    <row r="239" spans="4:19">
      <c r="D239" s="199"/>
      <c r="E239" s="199"/>
      <c r="F239" s="199"/>
      <c r="G239" s="199"/>
      <c r="H239" s="199"/>
      <c r="I239" s="199"/>
      <c r="J239" s="199"/>
      <c r="K239" s="199"/>
      <c r="L239" s="199"/>
      <c r="M239" s="199"/>
      <c r="N239" s="199"/>
      <c r="O239" s="199"/>
      <c r="P239" s="199"/>
      <c r="Q239" s="199"/>
      <c r="R239" s="199"/>
      <c r="S239" s="199"/>
    </row>
    <row r="240" spans="4:19">
      <c r="D240" s="199"/>
      <c r="E240" s="199"/>
      <c r="F240" s="199"/>
      <c r="G240" s="199"/>
      <c r="H240" s="199"/>
      <c r="I240" s="199"/>
      <c r="J240" s="199"/>
      <c r="K240" s="199"/>
      <c r="L240" s="199"/>
      <c r="M240" s="199"/>
      <c r="N240" s="199"/>
      <c r="O240" s="199"/>
      <c r="P240" s="199"/>
      <c r="Q240" s="199"/>
      <c r="R240" s="199"/>
      <c r="S240" s="199"/>
    </row>
    <row r="241" spans="4:19">
      <c r="D241" s="199"/>
      <c r="E241" s="199"/>
      <c r="F241" s="199"/>
      <c r="G241" s="199"/>
      <c r="H241" s="199"/>
      <c r="I241" s="199"/>
      <c r="J241" s="199"/>
      <c r="K241" s="199"/>
      <c r="L241" s="199"/>
      <c r="M241" s="199"/>
      <c r="N241" s="199"/>
      <c r="O241" s="199"/>
      <c r="P241" s="199"/>
      <c r="Q241" s="199"/>
      <c r="R241" s="199"/>
      <c r="S241" s="199"/>
    </row>
    <row r="242" spans="4:19">
      <c r="D242" s="199"/>
      <c r="E242" s="199"/>
      <c r="F242" s="199"/>
      <c r="G242" s="199"/>
      <c r="H242" s="199"/>
      <c r="I242" s="199"/>
      <c r="J242" s="199"/>
      <c r="K242" s="199"/>
      <c r="L242" s="199"/>
      <c r="M242" s="199"/>
      <c r="N242" s="199"/>
      <c r="O242" s="199"/>
      <c r="P242" s="199"/>
      <c r="Q242" s="199"/>
      <c r="R242" s="199"/>
      <c r="S242" s="199"/>
    </row>
    <row r="243" spans="4:19">
      <c r="D243" s="199"/>
      <c r="E243" s="199"/>
      <c r="F243" s="199"/>
      <c r="G243" s="199"/>
      <c r="H243" s="199"/>
      <c r="I243" s="199"/>
      <c r="J243" s="199"/>
      <c r="K243" s="199"/>
      <c r="L243" s="199"/>
      <c r="M243" s="199"/>
      <c r="N243" s="199"/>
      <c r="O243" s="199"/>
      <c r="P243" s="199"/>
      <c r="Q243" s="199"/>
      <c r="R243" s="199"/>
      <c r="S243" s="199"/>
    </row>
    <row r="244" spans="4:19">
      <c r="D244" s="199"/>
      <c r="E244" s="199"/>
      <c r="F244" s="199"/>
      <c r="G244" s="199"/>
      <c r="H244" s="199"/>
      <c r="I244" s="199"/>
      <c r="J244" s="199"/>
      <c r="K244" s="199"/>
      <c r="L244" s="199"/>
      <c r="M244" s="199"/>
      <c r="N244" s="199"/>
      <c r="O244" s="199"/>
      <c r="P244" s="199"/>
      <c r="Q244" s="199"/>
      <c r="R244" s="199"/>
      <c r="S244" s="199"/>
    </row>
    <row r="245" spans="4:19">
      <c r="D245" s="199"/>
      <c r="E245" s="199"/>
      <c r="F245" s="199"/>
      <c r="G245" s="199"/>
      <c r="H245" s="199"/>
      <c r="I245" s="199"/>
      <c r="J245" s="199"/>
      <c r="K245" s="199"/>
      <c r="L245" s="199"/>
      <c r="M245" s="199"/>
      <c r="N245" s="199"/>
      <c r="O245" s="199"/>
      <c r="P245" s="199"/>
      <c r="Q245" s="199"/>
      <c r="R245" s="199"/>
      <c r="S245" s="199"/>
    </row>
    <row r="246" spans="4:19">
      <c r="D246" s="199"/>
      <c r="E246" s="199"/>
      <c r="F246" s="199"/>
      <c r="G246" s="199"/>
      <c r="H246" s="199"/>
      <c r="I246" s="199"/>
      <c r="J246" s="199"/>
      <c r="K246" s="199"/>
      <c r="L246" s="199"/>
      <c r="M246" s="199"/>
      <c r="N246" s="199"/>
      <c r="O246" s="199"/>
      <c r="P246" s="199"/>
      <c r="Q246" s="199"/>
      <c r="R246" s="199"/>
      <c r="S246" s="199"/>
    </row>
    <row r="247" spans="4:19">
      <c r="D247" s="199"/>
      <c r="E247" s="199"/>
      <c r="F247" s="199"/>
      <c r="G247" s="199"/>
      <c r="H247" s="199"/>
      <c r="I247" s="199"/>
      <c r="J247" s="199"/>
      <c r="K247" s="199"/>
      <c r="L247" s="199"/>
      <c r="M247" s="199"/>
      <c r="N247" s="199"/>
      <c r="O247" s="199"/>
      <c r="P247" s="199"/>
      <c r="Q247" s="199"/>
      <c r="R247" s="199"/>
      <c r="S247" s="199"/>
    </row>
    <row r="248" spans="4:19">
      <c r="D248" s="199"/>
      <c r="E248" s="199"/>
      <c r="F248" s="199"/>
      <c r="G248" s="199"/>
      <c r="H248" s="199"/>
      <c r="I248" s="199"/>
      <c r="J248" s="199"/>
      <c r="K248" s="199"/>
      <c r="L248" s="199"/>
      <c r="M248" s="199"/>
      <c r="N248" s="199"/>
      <c r="O248" s="199"/>
      <c r="P248" s="199"/>
      <c r="Q248" s="199"/>
      <c r="R248" s="199"/>
      <c r="S248" s="199"/>
    </row>
    <row r="249" spans="4:19">
      <c r="D249" s="199"/>
      <c r="E249" s="199"/>
      <c r="F249" s="199"/>
      <c r="G249" s="199"/>
      <c r="H249" s="199"/>
      <c r="I249" s="199"/>
      <c r="J249" s="199"/>
      <c r="K249" s="199"/>
      <c r="L249" s="199"/>
      <c r="M249" s="199"/>
      <c r="N249" s="199"/>
      <c r="O249" s="199"/>
      <c r="P249" s="199"/>
      <c r="Q249" s="199"/>
      <c r="R249" s="199"/>
      <c r="S249" s="199"/>
    </row>
    <row r="250" spans="4:19">
      <c r="D250" s="199"/>
      <c r="E250" s="199"/>
      <c r="F250" s="199"/>
      <c r="G250" s="199"/>
      <c r="H250" s="199"/>
      <c r="I250" s="199"/>
      <c r="J250" s="199"/>
      <c r="K250" s="199"/>
      <c r="L250" s="199"/>
      <c r="M250" s="199"/>
      <c r="N250" s="199"/>
      <c r="O250" s="199"/>
      <c r="P250" s="199"/>
      <c r="Q250" s="199"/>
      <c r="R250" s="199"/>
      <c r="S250" s="199"/>
    </row>
    <row r="251" spans="4:19">
      <c r="D251" s="199"/>
      <c r="E251" s="199"/>
      <c r="F251" s="199"/>
      <c r="G251" s="199"/>
      <c r="H251" s="199"/>
      <c r="I251" s="199"/>
      <c r="J251" s="199"/>
      <c r="K251" s="199"/>
      <c r="L251" s="199"/>
      <c r="M251" s="199"/>
      <c r="N251" s="199"/>
      <c r="O251" s="199"/>
      <c r="P251" s="199"/>
      <c r="Q251" s="199"/>
      <c r="R251" s="199"/>
      <c r="S251" s="199"/>
    </row>
    <row r="252" spans="4:19">
      <c r="D252" s="199"/>
      <c r="E252" s="199"/>
      <c r="F252" s="199"/>
      <c r="G252" s="199"/>
      <c r="H252" s="199"/>
      <c r="I252" s="199"/>
      <c r="J252" s="199"/>
      <c r="K252" s="199"/>
      <c r="L252" s="199"/>
      <c r="M252" s="199"/>
      <c r="N252" s="199"/>
      <c r="O252" s="199"/>
      <c r="P252" s="199"/>
      <c r="Q252" s="199"/>
      <c r="R252" s="199"/>
      <c r="S252" s="199"/>
    </row>
    <row r="253" spans="4:19">
      <c r="D253" s="199"/>
      <c r="E253" s="199"/>
      <c r="F253" s="199"/>
      <c r="G253" s="199"/>
      <c r="H253" s="199"/>
      <c r="I253" s="199"/>
      <c r="J253" s="199"/>
      <c r="K253" s="199"/>
      <c r="L253" s="199"/>
      <c r="M253" s="199"/>
      <c r="N253" s="199"/>
      <c r="O253" s="199"/>
      <c r="P253" s="199"/>
      <c r="Q253" s="199"/>
      <c r="R253" s="199"/>
      <c r="S253" s="199"/>
    </row>
    <row r="254" spans="4:19">
      <c r="D254" s="199"/>
      <c r="E254" s="199"/>
      <c r="F254" s="199"/>
      <c r="G254" s="199"/>
      <c r="H254" s="199"/>
      <c r="I254" s="199"/>
      <c r="J254" s="199"/>
      <c r="K254" s="199"/>
      <c r="L254" s="199"/>
      <c r="M254" s="199"/>
      <c r="N254" s="199"/>
      <c r="O254" s="199"/>
      <c r="P254" s="199"/>
      <c r="Q254" s="199"/>
      <c r="R254" s="199"/>
      <c r="S254" s="199"/>
    </row>
    <row r="255" spans="4:19">
      <c r="D255" s="199"/>
      <c r="E255" s="199"/>
      <c r="F255" s="199"/>
      <c r="G255" s="199"/>
      <c r="H255" s="199"/>
      <c r="I255" s="199"/>
      <c r="J255" s="199"/>
      <c r="K255" s="199"/>
      <c r="L255" s="199"/>
      <c r="M255" s="199"/>
      <c r="N255" s="199"/>
      <c r="O255" s="199"/>
      <c r="P255" s="199"/>
      <c r="Q255" s="199"/>
      <c r="R255" s="199"/>
      <c r="S255" s="199"/>
    </row>
    <row r="256" spans="4:19">
      <c r="D256" s="199"/>
      <c r="E256" s="199"/>
      <c r="F256" s="199"/>
      <c r="G256" s="199"/>
      <c r="H256" s="199"/>
      <c r="I256" s="199"/>
      <c r="J256" s="199"/>
      <c r="K256" s="199"/>
      <c r="L256" s="199"/>
      <c r="M256" s="199"/>
      <c r="N256" s="199"/>
      <c r="O256" s="199"/>
      <c r="P256" s="199"/>
      <c r="Q256" s="199"/>
      <c r="R256" s="199"/>
      <c r="S256" s="199"/>
    </row>
    <row r="257" spans="4:19">
      <c r="D257" s="199"/>
      <c r="E257" s="199"/>
      <c r="F257" s="199"/>
      <c r="G257" s="199"/>
      <c r="H257" s="199"/>
      <c r="I257" s="199"/>
      <c r="J257" s="199"/>
      <c r="K257" s="199"/>
      <c r="L257" s="199"/>
      <c r="M257" s="199"/>
      <c r="N257" s="199"/>
      <c r="O257" s="199"/>
      <c r="P257" s="199"/>
      <c r="Q257" s="199"/>
      <c r="R257" s="199"/>
      <c r="S257" s="199"/>
    </row>
    <row r="258" spans="4:19">
      <c r="D258" s="199"/>
      <c r="E258" s="199"/>
      <c r="F258" s="199"/>
      <c r="G258" s="199"/>
      <c r="H258" s="199"/>
      <c r="I258" s="199"/>
      <c r="J258" s="199"/>
      <c r="K258" s="199"/>
      <c r="L258" s="199"/>
      <c r="M258" s="199"/>
      <c r="N258" s="199"/>
      <c r="O258" s="199"/>
      <c r="P258" s="199"/>
      <c r="Q258" s="199"/>
      <c r="R258" s="199"/>
      <c r="S258" s="199"/>
    </row>
    <row r="259" spans="4:19">
      <c r="D259" s="199"/>
      <c r="E259" s="199"/>
      <c r="F259" s="199"/>
      <c r="G259" s="199"/>
      <c r="H259" s="199"/>
      <c r="I259" s="199"/>
      <c r="J259" s="199"/>
      <c r="K259" s="199"/>
      <c r="L259" s="199"/>
      <c r="M259" s="199"/>
      <c r="N259" s="199"/>
      <c r="O259" s="199"/>
      <c r="P259" s="199"/>
      <c r="Q259" s="199"/>
      <c r="R259" s="199"/>
      <c r="S259" s="199"/>
    </row>
    <row r="260" spans="4:19">
      <c r="D260" s="199"/>
      <c r="E260" s="199"/>
      <c r="F260" s="199"/>
      <c r="G260" s="199"/>
      <c r="H260" s="199"/>
      <c r="I260" s="199"/>
      <c r="J260" s="199"/>
      <c r="K260" s="199"/>
      <c r="L260" s="199"/>
      <c r="M260" s="199"/>
      <c r="N260" s="199"/>
      <c r="O260" s="199"/>
      <c r="P260" s="199"/>
      <c r="Q260" s="199"/>
      <c r="R260" s="199"/>
      <c r="S260" s="199"/>
    </row>
    <row r="261" spans="4:19">
      <c r="D261" s="199"/>
      <c r="E261" s="199"/>
      <c r="F261" s="199"/>
      <c r="G261" s="199"/>
      <c r="H261" s="199"/>
      <c r="I261" s="199"/>
      <c r="J261" s="199"/>
      <c r="K261" s="199"/>
      <c r="L261" s="199"/>
      <c r="M261" s="199"/>
      <c r="N261" s="199"/>
      <c r="O261" s="199"/>
      <c r="P261" s="199"/>
      <c r="Q261" s="199"/>
      <c r="R261" s="199"/>
      <c r="S261" s="199"/>
    </row>
    <row r="262" spans="4:19">
      <c r="D262" s="199"/>
      <c r="E262" s="199"/>
      <c r="F262" s="199"/>
      <c r="G262" s="199"/>
      <c r="H262" s="199"/>
      <c r="I262" s="199"/>
      <c r="J262" s="199"/>
      <c r="K262" s="199"/>
      <c r="L262" s="199"/>
      <c r="M262" s="199"/>
      <c r="N262" s="199"/>
      <c r="O262" s="199"/>
      <c r="P262" s="199"/>
      <c r="Q262" s="199"/>
      <c r="R262" s="199"/>
      <c r="S262" s="199"/>
    </row>
    <row r="263" spans="4:19">
      <c r="D263" s="199"/>
      <c r="E263" s="199"/>
      <c r="F263" s="199"/>
      <c r="G263" s="199"/>
      <c r="H263" s="199"/>
      <c r="I263" s="199"/>
      <c r="J263" s="199"/>
      <c r="K263" s="199"/>
      <c r="L263" s="199"/>
      <c r="M263" s="199"/>
      <c r="N263" s="199"/>
      <c r="O263" s="199"/>
      <c r="P263" s="199"/>
      <c r="Q263" s="199"/>
      <c r="R263" s="199"/>
      <c r="S263" s="199"/>
    </row>
    <row r="264" spans="4:19">
      <c r="D264" s="199"/>
      <c r="E264" s="199"/>
      <c r="F264" s="199"/>
      <c r="G264" s="199"/>
      <c r="H264" s="199"/>
      <c r="I264" s="199"/>
      <c r="J264" s="199"/>
      <c r="K264" s="199"/>
      <c r="L264" s="199"/>
      <c r="M264" s="199"/>
      <c r="N264" s="199"/>
      <c r="O264" s="199"/>
      <c r="P264" s="199"/>
      <c r="Q264" s="199"/>
      <c r="R264" s="199"/>
      <c r="S264" s="199"/>
    </row>
    <row r="265" spans="4:19">
      <c r="D265" s="199"/>
      <c r="E265" s="199"/>
      <c r="F265" s="199"/>
      <c r="G265" s="199"/>
      <c r="H265" s="199"/>
      <c r="I265" s="199"/>
      <c r="J265" s="199"/>
      <c r="K265" s="199"/>
      <c r="L265" s="199"/>
      <c r="M265" s="199"/>
      <c r="N265" s="199"/>
      <c r="O265" s="199"/>
      <c r="P265" s="199"/>
      <c r="Q265" s="199"/>
      <c r="R265" s="199"/>
      <c r="S265" s="199"/>
    </row>
    <row r="266" spans="4:19">
      <c r="D266" s="199"/>
      <c r="E266" s="199"/>
      <c r="F266" s="199"/>
      <c r="G266" s="199"/>
      <c r="H266" s="199"/>
      <c r="I266" s="199"/>
      <c r="J266" s="199"/>
      <c r="K266" s="199"/>
      <c r="L266" s="199"/>
      <c r="M266" s="199"/>
      <c r="N266" s="199"/>
      <c r="O266" s="199"/>
      <c r="P266" s="199"/>
      <c r="Q266" s="199"/>
      <c r="R266" s="199"/>
      <c r="S266" s="199"/>
    </row>
    <row r="267" spans="4:19">
      <c r="D267" s="199"/>
      <c r="E267" s="199"/>
      <c r="F267" s="199"/>
      <c r="G267" s="199"/>
      <c r="H267" s="199"/>
      <c r="I267" s="199"/>
      <c r="J267" s="199"/>
      <c r="K267" s="199"/>
      <c r="L267" s="199"/>
      <c r="M267" s="199"/>
      <c r="N267" s="199"/>
      <c r="O267" s="199"/>
      <c r="P267" s="199"/>
      <c r="Q267" s="199"/>
      <c r="R267" s="199"/>
      <c r="S267" s="199"/>
    </row>
    <row r="268" spans="4:19">
      <c r="D268" s="199"/>
      <c r="E268" s="199"/>
      <c r="F268" s="199"/>
      <c r="G268" s="199"/>
      <c r="H268" s="199"/>
      <c r="I268" s="199"/>
      <c r="J268" s="199"/>
      <c r="K268" s="199"/>
      <c r="L268" s="199"/>
      <c r="M268" s="199"/>
      <c r="N268" s="199"/>
      <c r="O268" s="199"/>
      <c r="P268" s="199"/>
      <c r="Q268" s="199"/>
      <c r="R268" s="199"/>
      <c r="S268" s="199"/>
    </row>
    <row r="269" spans="4:19">
      <c r="D269" s="199"/>
      <c r="E269" s="199"/>
      <c r="F269" s="199"/>
      <c r="G269" s="199"/>
      <c r="H269" s="199"/>
      <c r="I269" s="199"/>
      <c r="J269" s="199"/>
      <c r="K269" s="199"/>
      <c r="L269" s="199"/>
      <c r="M269" s="199"/>
      <c r="N269" s="199"/>
      <c r="O269" s="199"/>
      <c r="P269" s="199"/>
      <c r="Q269" s="199"/>
      <c r="R269" s="199"/>
      <c r="S269" s="199"/>
    </row>
    <row r="270" spans="4:19">
      <c r="D270" s="199"/>
      <c r="E270" s="199"/>
      <c r="F270" s="199"/>
      <c r="G270" s="199"/>
      <c r="H270" s="199"/>
      <c r="I270" s="199"/>
      <c r="J270" s="199"/>
      <c r="K270" s="199"/>
      <c r="L270" s="199"/>
      <c r="M270" s="199"/>
      <c r="N270" s="199"/>
      <c r="O270" s="199"/>
      <c r="P270" s="199"/>
      <c r="Q270" s="199"/>
      <c r="R270" s="199"/>
      <c r="S270" s="199"/>
    </row>
    <row r="271" spans="4:19">
      <c r="D271" s="199"/>
      <c r="E271" s="199"/>
      <c r="F271" s="199"/>
      <c r="G271" s="199"/>
      <c r="H271" s="199"/>
      <c r="I271" s="199"/>
      <c r="J271" s="199"/>
      <c r="K271" s="199"/>
      <c r="L271" s="199"/>
      <c r="M271" s="199"/>
      <c r="N271" s="199"/>
      <c r="O271" s="199"/>
      <c r="P271" s="199"/>
      <c r="Q271" s="199"/>
      <c r="R271" s="199"/>
      <c r="S271" s="199"/>
    </row>
    <row r="272" spans="4:19">
      <c r="D272" s="199"/>
      <c r="E272" s="199"/>
      <c r="F272" s="199"/>
      <c r="G272" s="199"/>
      <c r="H272" s="199"/>
      <c r="I272" s="199"/>
      <c r="J272" s="199"/>
      <c r="K272" s="199"/>
      <c r="L272" s="199"/>
      <c r="M272" s="199"/>
      <c r="N272" s="199"/>
      <c r="O272" s="199"/>
      <c r="P272" s="199"/>
      <c r="Q272" s="199"/>
      <c r="R272" s="199"/>
      <c r="S272" s="199"/>
    </row>
    <row r="273" spans="4:19">
      <c r="D273" s="199"/>
      <c r="E273" s="199"/>
      <c r="F273" s="199"/>
      <c r="G273" s="199"/>
      <c r="H273" s="199"/>
      <c r="I273" s="199"/>
      <c r="J273" s="199"/>
      <c r="K273" s="199"/>
      <c r="L273" s="199"/>
      <c r="M273" s="199"/>
      <c r="N273" s="199"/>
      <c r="O273" s="199"/>
      <c r="P273" s="199"/>
      <c r="Q273" s="199"/>
      <c r="R273" s="199"/>
      <c r="S273" s="199"/>
    </row>
    <row r="274" spans="4:19">
      <c r="D274" s="199"/>
      <c r="E274" s="199"/>
      <c r="F274" s="199"/>
      <c r="G274" s="199"/>
      <c r="H274" s="199"/>
      <c r="I274" s="199"/>
      <c r="J274" s="199"/>
      <c r="K274" s="199"/>
      <c r="L274" s="199"/>
      <c r="M274" s="199"/>
      <c r="N274" s="199"/>
      <c r="O274" s="199"/>
      <c r="P274" s="199"/>
      <c r="Q274" s="199"/>
      <c r="R274" s="199"/>
      <c r="S274" s="199"/>
    </row>
    <row r="275" spans="4:19">
      <c r="D275" s="199"/>
      <c r="E275" s="199"/>
      <c r="F275" s="199"/>
      <c r="G275" s="199"/>
      <c r="H275" s="199"/>
      <c r="I275" s="199"/>
      <c r="J275" s="199"/>
      <c r="K275" s="199"/>
      <c r="L275" s="199"/>
      <c r="M275" s="199"/>
      <c r="N275" s="199"/>
      <c r="O275" s="199"/>
      <c r="P275" s="199"/>
      <c r="Q275" s="199"/>
      <c r="R275" s="199"/>
      <c r="S275" s="199"/>
    </row>
    <row r="276" spans="4:19">
      <c r="D276" s="199"/>
      <c r="E276" s="199"/>
      <c r="F276" s="199"/>
      <c r="G276" s="199"/>
      <c r="H276" s="199"/>
      <c r="I276" s="199"/>
      <c r="J276" s="199"/>
      <c r="K276" s="199"/>
      <c r="L276" s="199"/>
      <c r="M276" s="199"/>
      <c r="N276" s="199"/>
      <c r="O276" s="199"/>
      <c r="P276" s="199"/>
      <c r="Q276" s="199"/>
      <c r="R276" s="199"/>
      <c r="S276" s="199"/>
    </row>
    <row r="277" spans="4:19">
      <c r="D277" s="199"/>
      <c r="E277" s="199"/>
      <c r="F277" s="199"/>
      <c r="G277" s="199"/>
      <c r="H277" s="199"/>
      <c r="I277" s="199"/>
      <c r="J277" s="199"/>
      <c r="K277" s="199"/>
      <c r="L277" s="199"/>
      <c r="M277" s="199"/>
      <c r="N277" s="199"/>
      <c r="O277" s="199"/>
      <c r="P277" s="199"/>
      <c r="Q277" s="199"/>
      <c r="R277" s="199"/>
      <c r="S277" s="199"/>
    </row>
    <row r="278" spans="4:19">
      <c r="D278" s="199"/>
      <c r="E278" s="199"/>
      <c r="F278" s="199"/>
      <c r="G278" s="199"/>
      <c r="H278" s="199"/>
      <c r="I278" s="199"/>
      <c r="J278" s="199"/>
      <c r="K278" s="199"/>
      <c r="L278" s="199"/>
      <c r="M278" s="199"/>
      <c r="N278" s="199"/>
      <c r="O278" s="199"/>
      <c r="P278" s="199"/>
      <c r="Q278" s="199"/>
      <c r="R278" s="199"/>
      <c r="S278" s="199"/>
    </row>
    <row r="279" spans="4:19">
      <c r="D279" s="199"/>
      <c r="E279" s="199"/>
      <c r="F279" s="199"/>
      <c r="G279" s="199"/>
      <c r="H279" s="199"/>
      <c r="I279" s="199"/>
      <c r="J279" s="199"/>
      <c r="K279" s="199"/>
      <c r="L279" s="199"/>
      <c r="M279" s="199"/>
      <c r="N279" s="199"/>
      <c r="O279" s="199"/>
      <c r="P279" s="199"/>
      <c r="Q279" s="199"/>
      <c r="R279" s="199"/>
      <c r="S279" s="199"/>
    </row>
    <row r="280" spans="4:19">
      <c r="D280" s="199"/>
      <c r="E280" s="199"/>
      <c r="F280" s="199"/>
      <c r="G280" s="199"/>
      <c r="H280" s="199"/>
      <c r="I280" s="199"/>
      <c r="J280" s="199"/>
      <c r="K280" s="199"/>
      <c r="L280" s="199"/>
      <c r="M280" s="199"/>
      <c r="N280" s="199"/>
      <c r="O280" s="199"/>
      <c r="P280" s="199"/>
      <c r="Q280" s="199"/>
      <c r="R280" s="199"/>
      <c r="S280" s="199"/>
    </row>
    <row r="281" spans="4:19">
      <c r="D281" s="199"/>
      <c r="E281" s="199"/>
      <c r="F281" s="199"/>
      <c r="G281" s="199"/>
      <c r="H281" s="199"/>
      <c r="I281" s="199"/>
      <c r="J281" s="199"/>
      <c r="K281" s="199"/>
      <c r="L281" s="199"/>
      <c r="M281" s="199"/>
      <c r="N281" s="199"/>
      <c r="O281" s="199"/>
      <c r="P281" s="199"/>
      <c r="Q281" s="199"/>
      <c r="R281" s="199"/>
      <c r="S281" s="199"/>
    </row>
    <row r="282" spans="4:19">
      <c r="D282" s="199"/>
      <c r="E282" s="199"/>
      <c r="F282" s="199"/>
      <c r="G282" s="199"/>
      <c r="H282" s="199"/>
      <c r="I282" s="199"/>
      <c r="J282" s="199"/>
      <c r="K282" s="199"/>
      <c r="L282" s="199"/>
      <c r="M282" s="199"/>
      <c r="N282" s="199"/>
      <c r="O282" s="199"/>
      <c r="P282" s="199"/>
      <c r="Q282" s="199"/>
      <c r="R282" s="199"/>
      <c r="S282" s="199"/>
    </row>
    <row r="283" spans="4:19">
      <c r="D283" s="199"/>
      <c r="E283" s="199"/>
      <c r="F283" s="199"/>
      <c r="G283" s="199"/>
      <c r="H283" s="199"/>
      <c r="I283" s="199"/>
      <c r="J283" s="199"/>
      <c r="K283" s="199"/>
      <c r="L283" s="199"/>
      <c r="M283" s="199"/>
      <c r="N283" s="199"/>
      <c r="O283" s="199"/>
      <c r="P283" s="199"/>
      <c r="Q283" s="199"/>
      <c r="R283" s="199"/>
      <c r="S283" s="199"/>
    </row>
    <row r="284" spans="4:19">
      <c r="D284" s="199"/>
      <c r="E284" s="199"/>
      <c r="F284" s="199"/>
      <c r="G284" s="199"/>
      <c r="H284" s="199"/>
      <c r="I284" s="199"/>
      <c r="J284" s="199"/>
      <c r="K284" s="199"/>
      <c r="L284" s="199"/>
      <c r="M284" s="199"/>
      <c r="N284" s="199"/>
      <c r="O284" s="199"/>
      <c r="P284" s="199"/>
      <c r="Q284" s="199"/>
      <c r="R284" s="199"/>
      <c r="S284" s="199"/>
    </row>
    <row r="285" spans="4:19">
      <c r="D285" s="199"/>
      <c r="E285" s="199"/>
      <c r="F285" s="199"/>
      <c r="G285" s="199"/>
      <c r="H285" s="199"/>
      <c r="I285" s="199"/>
      <c r="J285" s="199"/>
      <c r="K285" s="199"/>
      <c r="L285" s="199"/>
      <c r="M285" s="199"/>
      <c r="N285" s="199"/>
      <c r="O285" s="199"/>
      <c r="P285" s="199"/>
      <c r="Q285" s="199"/>
      <c r="R285" s="199"/>
      <c r="S285" s="199"/>
    </row>
    <row r="286" spans="4:19">
      <c r="D286" s="199"/>
      <c r="E286" s="199"/>
      <c r="F286" s="199"/>
      <c r="G286" s="199"/>
      <c r="H286" s="199"/>
      <c r="I286" s="199"/>
      <c r="J286" s="199"/>
      <c r="K286" s="199"/>
      <c r="L286" s="199"/>
      <c r="M286" s="199"/>
      <c r="N286" s="199"/>
      <c r="O286" s="199"/>
      <c r="P286" s="199"/>
      <c r="Q286" s="199"/>
      <c r="R286" s="199"/>
      <c r="S286" s="199"/>
    </row>
    <row r="287" spans="4:19">
      <c r="D287" s="199"/>
      <c r="E287" s="199"/>
      <c r="F287" s="199"/>
      <c r="G287" s="199"/>
      <c r="H287" s="199"/>
      <c r="I287" s="199"/>
      <c r="J287" s="199"/>
      <c r="K287" s="199"/>
      <c r="L287" s="199"/>
      <c r="M287" s="199"/>
      <c r="N287" s="199"/>
      <c r="O287" s="199"/>
      <c r="P287" s="199"/>
      <c r="Q287" s="199"/>
      <c r="R287" s="199"/>
      <c r="S287" s="199"/>
    </row>
    <row r="288" spans="4:19">
      <c r="D288" s="199"/>
      <c r="E288" s="199"/>
      <c r="F288" s="199"/>
      <c r="G288" s="199"/>
      <c r="H288" s="199"/>
      <c r="I288" s="199"/>
      <c r="J288" s="199"/>
      <c r="K288" s="199"/>
      <c r="L288" s="199"/>
      <c r="M288" s="199"/>
      <c r="N288" s="199"/>
      <c r="O288" s="199"/>
      <c r="P288" s="199"/>
      <c r="Q288" s="199"/>
      <c r="R288" s="199"/>
      <c r="S288" s="199"/>
    </row>
    <row r="289" spans="4:19">
      <c r="D289" s="199"/>
      <c r="E289" s="199"/>
      <c r="F289" s="199"/>
      <c r="G289" s="199"/>
      <c r="H289" s="199"/>
      <c r="I289" s="199"/>
      <c r="J289" s="199"/>
      <c r="K289" s="199"/>
      <c r="L289" s="199"/>
      <c r="M289" s="199"/>
      <c r="N289" s="199"/>
      <c r="O289" s="199"/>
      <c r="P289" s="199"/>
      <c r="Q289" s="199"/>
      <c r="R289" s="199"/>
      <c r="S289" s="199"/>
    </row>
    <row r="290" spans="4:19">
      <c r="D290" s="199"/>
      <c r="E290" s="199"/>
      <c r="F290" s="199"/>
      <c r="G290" s="199"/>
      <c r="H290" s="199"/>
      <c r="I290" s="199"/>
      <c r="J290" s="199"/>
      <c r="K290" s="199"/>
      <c r="L290" s="199"/>
      <c r="M290" s="199"/>
      <c r="N290" s="199"/>
      <c r="O290" s="199"/>
      <c r="P290" s="199"/>
      <c r="Q290" s="199"/>
      <c r="R290" s="199"/>
      <c r="S290" s="199"/>
    </row>
    <row r="291" spans="4:19">
      <c r="D291" s="199"/>
      <c r="E291" s="199"/>
      <c r="F291" s="199"/>
      <c r="G291" s="199"/>
      <c r="H291" s="199"/>
      <c r="I291" s="199"/>
      <c r="J291" s="199"/>
      <c r="K291" s="199"/>
      <c r="L291" s="199"/>
      <c r="M291" s="199"/>
      <c r="N291" s="199"/>
      <c r="O291" s="199"/>
      <c r="P291" s="199"/>
      <c r="Q291" s="199"/>
      <c r="R291" s="199"/>
      <c r="S291" s="199"/>
    </row>
    <row r="292" spans="4:19">
      <c r="D292" s="199"/>
      <c r="E292" s="199"/>
      <c r="F292" s="199"/>
      <c r="G292" s="199"/>
      <c r="H292" s="199"/>
      <c r="I292" s="199"/>
      <c r="J292" s="199"/>
      <c r="K292" s="199"/>
      <c r="L292" s="199"/>
      <c r="M292" s="199"/>
      <c r="N292" s="199"/>
      <c r="O292" s="199"/>
      <c r="P292" s="199"/>
      <c r="Q292" s="199"/>
      <c r="R292" s="199"/>
      <c r="S292" s="199"/>
    </row>
    <row r="293" spans="4:19">
      <c r="D293" s="199"/>
      <c r="E293" s="199"/>
      <c r="F293" s="199"/>
      <c r="G293" s="199"/>
      <c r="H293" s="199"/>
      <c r="I293" s="199"/>
      <c r="J293" s="199"/>
      <c r="K293" s="199"/>
      <c r="L293" s="199"/>
      <c r="M293" s="199"/>
      <c r="N293" s="199"/>
      <c r="O293" s="199"/>
      <c r="P293" s="199"/>
      <c r="Q293" s="199"/>
      <c r="R293" s="199"/>
      <c r="S293" s="199"/>
    </row>
    <row r="294" spans="4:19">
      <c r="D294" s="199"/>
      <c r="E294" s="199"/>
      <c r="F294" s="199"/>
      <c r="G294" s="199"/>
      <c r="H294" s="199"/>
      <c r="I294" s="199"/>
      <c r="J294" s="199"/>
      <c r="K294" s="199"/>
      <c r="L294" s="199"/>
      <c r="M294" s="199"/>
      <c r="N294" s="199"/>
      <c r="O294" s="199"/>
      <c r="P294" s="199"/>
      <c r="Q294" s="199"/>
      <c r="R294" s="199"/>
      <c r="S294" s="199"/>
    </row>
    <row r="295" spans="4:19">
      <c r="D295" s="199"/>
      <c r="E295" s="199"/>
      <c r="F295" s="199"/>
      <c r="G295" s="199"/>
      <c r="H295" s="199"/>
      <c r="I295" s="199"/>
      <c r="J295" s="199"/>
      <c r="K295" s="199"/>
      <c r="L295" s="199"/>
      <c r="M295" s="199"/>
      <c r="N295" s="199"/>
      <c r="O295" s="199"/>
      <c r="P295" s="199"/>
      <c r="Q295" s="199"/>
      <c r="R295" s="199"/>
      <c r="S295" s="199"/>
    </row>
    <row r="296" spans="4:19">
      <c r="D296" s="199"/>
      <c r="E296" s="199"/>
      <c r="F296" s="199"/>
      <c r="G296" s="199"/>
      <c r="H296" s="199"/>
      <c r="I296" s="199"/>
      <c r="J296" s="199"/>
      <c r="K296" s="199"/>
      <c r="L296" s="199"/>
      <c r="M296" s="199"/>
      <c r="N296" s="199"/>
      <c r="O296" s="199"/>
      <c r="P296" s="199"/>
      <c r="Q296" s="199"/>
      <c r="R296" s="199"/>
      <c r="S296" s="199"/>
    </row>
    <row r="297" spans="4:19">
      <c r="D297" s="199"/>
      <c r="E297" s="199"/>
      <c r="F297" s="199"/>
      <c r="G297" s="199"/>
      <c r="H297" s="199"/>
      <c r="I297" s="199"/>
      <c r="J297" s="199"/>
      <c r="K297" s="199"/>
      <c r="L297" s="199"/>
      <c r="M297" s="199"/>
      <c r="N297" s="199"/>
      <c r="O297" s="199"/>
      <c r="P297" s="199"/>
      <c r="Q297" s="199"/>
      <c r="R297" s="199"/>
      <c r="S297" s="199"/>
    </row>
    <row r="298" spans="4:19">
      <c r="D298" s="199"/>
      <c r="E298" s="199"/>
      <c r="F298" s="199"/>
      <c r="G298" s="199"/>
      <c r="H298" s="199"/>
      <c r="I298" s="199"/>
      <c r="J298" s="199"/>
      <c r="K298" s="199"/>
      <c r="L298" s="199"/>
      <c r="M298" s="199"/>
      <c r="N298" s="199"/>
      <c r="O298" s="199"/>
      <c r="P298" s="199"/>
      <c r="Q298" s="199"/>
      <c r="R298" s="199"/>
      <c r="S298" s="199"/>
    </row>
    <row r="299" spans="4:19">
      <c r="D299" s="199"/>
      <c r="E299" s="199"/>
      <c r="F299" s="199"/>
      <c r="G299" s="199"/>
      <c r="H299" s="199"/>
      <c r="I299" s="199"/>
      <c r="J299" s="199"/>
      <c r="K299" s="199"/>
      <c r="L299" s="199"/>
      <c r="M299" s="199"/>
      <c r="N299" s="199"/>
      <c r="O299" s="199"/>
      <c r="P299" s="199"/>
      <c r="Q299" s="199"/>
      <c r="R299" s="199"/>
      <c r="S299" s="199"/>
    </row>
    <row r="300" spans="4:19">
      <c r="D300" s="199"/>
      <c r="E300" s="199"/>
      <c r="F300" s="199"/>
      <c r="G300" s="199"/>
      <c r="H300" s="199"/>
      <c r="I300" s="199"/>
      <c r="J300" s="199"/>
      <c r="K300" s="199"/>
      <c r="L300" s="199"/>
      <c r="M300" s="199"/>
      <c r="N300" s="199"/>
      <c r="O300" s="199"/>
      <c r="P300" s="199"/>
      <c r="Q300" s="199"/>
      <c r="R300" s="199"/>
      <c r="S300" s="199"/>
    </row>
    <row r="301" spans="4:19">
      <c r="D301" s="199"/>
      <c r="E301" s="199"/>
      <c r="F301" s="199"/>
      <c r="G301" s="199"/>
      <c r="H301" s="199"/>
      <c r="I301" s="199"/>
      <c r="J301" s="199"/>
      <c r="K301" s="199"/>
      <c r="L301" s="199"/>
      <c r="M301" s="199"/>
      <c r="N301" s="199"/>
      <c r="O301" s="199"/>
      <c r="P301" s="199"/>
      <c r="Q301" s="199"/>
      <c r="R301" s="199"/>
      <c r="S301" s="199"/>
    </row>
    <row r="302" spans="4:19">
      <c r="D302" s="199"/>
      <c r="E302" s="199"/>
      <c r="F302" s="199"/>
      <c r="G302" s="199"/>
      <c r="H302" s="199"/>
      <c r="I302" s="199"/>
      <c r="J302" s="199"/>
      <c r="K302" s="199"/>
      <c r="L302" s="199"/>
      <c r="M302" s="199"/>
      <c r="N302" s="199"/>
      <c r="O302" s="199"/>
      <c r="P302" s="199"/>
      <c r="Q302" s="199"/>
      <c r="R302" s="199"/>
      <c r="S302" s="199"/>
    </row>
    <row r="303" spans="4:19">
      <c r="D303" s="199"/>
      <c r="E303" s="199"/>
      <c r="F303" s="199"/>
      <c r="G303" s="199"/>
      <c r="H303" s="199"/>
      <c r="I303" s="199"/>
      <c r="J303" s="199"/>
      <c r="K303" s="199"/>
      <c r="L303" s="199"/>
      <c r="M303" s="199"/>
      <c r="N303" s="199"/>
      <c r="O303" s="199"/>
      <c r="P303" s="199"/>
      <c r="Q303" s="199"/>
      <c r="R303" s="199"/>
      <c r="S303" s="199"/>
    </row>
    <row r="304" spans="4:19">
      <c r="D304" s="199"/>
      <c r="E304" s="199"/>
      <c r="F304" s="199"/>
      <c r="G304" s="199"/>
      <c r="H304" s="199"/>
      <c r="I304" s="199"/>
      <c r="J304" s="199"/>
      <c r="K304" s="199"/>
      <c r="L304" s="199"/>
      <c r="M304" s="199"/>
      <c r="N304" s="199"/>
      <c r="O304" s="199"/>
      <c r="P304" s="199"/>
      <c r="Q304" s="199"/>
      <c r="R304" s="199"/>
      <c r="S304" s="199"/>
    </row>
    <row r="305" spans="4:19">
      <c r="D305" s="199"/>
      <c r="E305" s="199"/>
      <c r="F305" s="199"/>
      <c r="G305" s="199"/>
      <c r="H305" s="199"/>
      <c r="I305" s="199"/>
      <c r="J305" s="199"/>
      <c r="K305" s="199"/>
      <c r="L305" s="199"/>
      <c r="M305" s="199"/>
      <c r="N305" s="199"/>
      <c r="O305" s="199"/>
      <c r="P305" s="199"/>
      <c r="Q305" s="199"/>
      <c r="R305" s="199"/>
      <c r="S305" s="199"/>
    </row>
    <row r="306" spans="4:19">
      <c r="D306" s="199"/>
      <c r="E306" s="199"/>
      <c r="F306" s="199"/>
      <c r="G306" s="199"/>
      <c r="H306" s="199"/>
      <c r="I306" s="199"/>
      <c r="J306" s="199"/>
      <c r="K306" s="199"/>
      <c r="L306" s="199"/>
      <c r="M306" s="199"/>
      <c r="N306" s="199"/>
      <c r="O306" s="199"/>
      <c r="P306" s="199"/>
      <c r="Q306" s="199"/>
      <c r="R306" s="199"/>
      <c r="S306" s="199"/>
    </row>
    <row r="307" spans="4:19">
      <c r="D307" s="199"/>
      <c r="E307" s="199"/>
      <c r="F307" s="199"/>
      <c r="G307" s="199"/>
      <c r="H307" s="199"/>
      <c r="I307" s="199"/>
      <c r="J307" s="199"/>
      <c r="K307" s="199"/>
      <c r="L307" s="199"/>
      <c r="M307" s="199"/>
      <c r="N307" s="199"/>
      <c r="O307" s="199"/>
      <c r="P307" s="199"/>
      <c r="Q307" s="199"/>
      <c r="R307" s="199"/>
      <c r="S307" s="199"/>
    </row>
    <row r="308" spans="4:19">
      <c r="D308" s="199"/>
      <c r="E308" s="199"/>
      <c r="F308" s="199"/>
      <c r="G308" s="199"/>
      <c r="H308" s="199"/>
      <c r="I308" s="199"/>
      <c r="J308" s="199"/>
      <c r="K308" s="199"/>
      <c r="L308" s="199"/>
      <c r="M308" s="199"/>
      <c r="N308" s="199"/>
      <c r="O308" s="199"/>
      <c r="P308" s="199"/>
      <c r="Q308" s="199"/>
      <c r="R308" s="199"/>
      <c r="S308" s="199"/>
    </row>
    <row r="309" spans="4:19">
      <c r="D309" s="199"/>
      <c r="E309" s="199"/>
      <c r="F309" s="199"/>
      <c r="G309" s="199"/>
      <c r="H309" s="199"/>
      <c r="I309" s="199"/>
      <c r="J309" s="199"/>
      <c r="K309" s="199"/>
      <c r="L309" s="199"/>
      <c r="M309" s="199"/>
      <c r="N309" s="199"/>
      <c r="O309" s="199"/>
      <c r="P309" s="199"/>
      <c r="Q309" s="199"/>
      <c r="R309" s="199"/>
      <c r="S309" s="199"/>
    </row>
    <row r="310" spans="4:19">
      <c r="D310" s="199"/>
      <c r="E310" s="199"/>
      <c r="F310" s="199"/>
      <c r="G310" s="199"/>
      <c r="H310" s="199"/>
      <c r="I310" s="199"/>
      <c r="J310" s="199"/>
      <c r="K310" s="199"/>
      <c r="L310" s="199"/>
      <c r="M310" s="199"/>
      <c r="N310" s="199"/>
      <c r="O310" s="199"/>
      <c r="P310" s="199"/>
      <c r="Q310" s="199"/>
      <c r="R310" s="199"/>
      <c r="S310" s="199"/>
    </row>
    <row r="311" spans="4:19">
      <c r="D311" s="199"/>
      <c r="E311" s="199"/>
      <c r="F311" s="199"/>
      <c r="G311" s="199"/>
      <c r="H311" s="199"/>
      <c r="I311" s="199"/>
      <c r="J311" s="199"/>
      <c r="K311" s="199"/>
      <c r="L311" s="199"/>
      <c r="M311" s="199"/>
      <c r="N311" s="199"/>
      <c r="O311" s="199"/>
      <c r="P311" s="199"/>
      <c r="Q311" s="199"/>
      <c r="R311" s="199"/>
      <c r="S311" s="199"/>
    </row>
    <row r="312" spans="4:19">
      <c r="D312" s="199"/>
      <c r="E312" s="199"/>
      <c r="F312" s="199"/>
      <c r="G312" s="199"/>
      <c r="H312" s="199"/>
      <c r="I312" s="199"/>
      <c r="J312" s="199"/>
      <c r="K312" s="199"/>
      <c r="L312" s="199"/>
      <c r="M312" s="199"/>
      <c r="N312" s="199"/>
      <c r="O312" s="199"/>
      <c r="P312" s="199"/>
      <c r="Q312" s="199"/>
      <c r="R312" s="199"/>
      <c r="S312" s="199"/>
    </row>
    <row r="313" spans="4:19">
      <c r="D313" s="199"/>
      <c r="E313" s="199"/>
      <c r="F313" s="199"/>
      <c r="G313" s="199"/>
      <c r="H313" s="199"/>
      <c r="I313" s="199"/>
      <c r="J313" s="199"/>
      <c r="K313" s="199"/>
      <c r="L313" s="199"/>
      <c r="M313" s="199"/>
      <c r="N313" s="199"/>
      <c r="O313" s="199"/>
      <c r="P313" s="199"/>
      <c r="Q313" s="199"/>
      <c r="R313" s="199"/>
      <c r="S313" s="199"/>
    </row>
    <row r="314" spans="4:19">
      <c r="D314" s="199"/>
      <c r="E314" s="199"/>
      <c r="F314" s="199"/>
      <c r="G314" s="199"/>
      <c r="H314" s="199"/>
      <c r="I314" s="199"/>
      <c r="J314" s="199"/>
      <c r="K314" s="199"/>
      <c r="L314" s="199"/>
      <c r="M314" s="199"/>
      <c r="N314" s="199"/>
      <c r="O314" s="199"/>
      <c r="P314" s="199"/>
      <c r="Q314" s="199"/>
      <c r="R314" s="199"/>
      <c r="S314" s="199"/>
    </row>
    <row r="315" spans="4:19">
      <c r="D315" s="199"/>
      <c r="E315" s="199"/>
      <c r="F315" s="199"/>
      <c r="G315" s="199"/>
      <c r="H315" s="199"/>
      <c r="I315" s="199"/>
      <c r="J315" s="199"/>
      <c r="K315" s="199"/>
      <c r="L315" s="199"/>
      <c r="M315" s="199"/>
      <c r="N315" s="199"/>
      <c r="O315" s="199"/>
      <c r="P315" s="199"/>
      <c r="Q315" s="199"/>
      <c r="R315" s="199"/>
      <c r="S315" s="199"/>
    </row>
    <row r="316" spans="4:19">
      <c r="D316" s="199"/>
      <c r="E316" s="199"/>
      <c r="F316" s="199"/>
      <c r="G316" s="199"/>
      <c r="H316" s="199"/>
      <c r="I316" s="199"/>
      <c r="J316" s="199"/>
      <c r="K316" s="199"/>
      <c r="L316" s="199"/>
      <c r="M316" s="199"/>
      <c r="N316" s="199"/>
      <c r="O316" s="199"/>
      <c r="P316" s="199"/>
      <c r="Q316" s="199"/>
      <c r="R316" s="199"/>
      <c r="S316" s="199"/>
    </row>
    <row r="317" spans="4:19">
      <c r="D317" s="199"/>
      <c r="E317" s="199"/>
      <c r="F317" s="199"/>
      <c r="G317" s="199"/>
      <c r="H317" s="199"/>
      <c r="I317" s="199"/>
      <c r="J317" s="199"/>
      <c r="K317" s="199"/>
      <c r="L317" s="199"/>
      <c r="M317" s="199"/>
      <c r="N317" s="199"/>
      <c r="O317" s="199"/>
      <c r="P317" s="199"/>
      <c r="Q317" s="199"/>
      <c r="R317" s="199"/>
      <c r="S317" s="199"/>
    </row>
    <row r="318" spans="4:19">
      <c r="D318" s="199"/>
      <c r="E318" s="199"/>
      <c r="F318" s="199"/>
      <c r="G318" s="199"/>
      <c r="H318" s="199"/>
      <c r="I318" s="199"/>
      <c r="J318" s="199"/>
      <c r="K318" s="199"/>
      <c r="L318" s="199"/>
      <c r="M318" s="199"/>
      <c r="N318" s="199"/>
      <c r="O318" s="199"/>
      <c r="P318" s="199"/>
      <c r="Q318" s="199"/>
      <c r="R318" s="199"/>
      <c r="S318" s="199"/>
    </row>
    <row r="319" spans="4:19">
      <c r="D319" s="199"/>
      <c r="E319" s="199"/>
      <c r="F319" s="199"/>
      <c r="G319" s="199"/>
      <c r="H319" s="199"/>
      <c r="I319" s="199"/>
      <c r="J319" s="199"/>
      <c r="K319" s="199"/>
      <c r="L319" s="199"/>
      <c r="M319" s="199"/>
      <c r="N319" s="199"/>
      <c r="O319" s="199"/>
      <c r="P319" s="199"/>
      <c r="Q319" s="199"/>
      <c r="R319" s="199"/>
      <c r="S319" s="199"/>
    </row>
    <row r="320" spans="4:19">
      <c r="D320" s="199"/>
      <c r="E320" s="199"/>
      <c r="F320" s="199"/>
      <c r="G320" s="199"/>
      <c r="H320" s="199"/>
      <c r="I320" s="199"/>
      <c r="J320" s="199"/>
      <c r="K320" s="199"/>
      <c r="L320" s="199"/>
      <c r="M320" s="199"/>
      <c r="N320" s="199"/>
      <c r="O320" s="199"/>
      <c r="P320" s="199"/>
      <c r="Q320" s="199"/>
      <c r="R320" s="199"/>
      <c r="S320" s="199"/>
    </row>
    <row r="321" spans="4:19">
      <c r="D321" s="199"/>
      <c r="E321" s="199"/>
      <c r="F321" s="199"/>
      <c r="G321" s="199"/>
      <c r="H321" s="199"/>
      <c r="I321" s="199"/>
      <c r="J321" s="199"/>
      <c r="K321" s="199"/>
      <c r="L321" s="199"/>
      <c r="M321" s="199"/>
      <c r="N321" s="199"/>
      <c r="O321" s="199"/>
      <c r="P321" s="199"/>
      <c r="Q321" s="199"/>
      <c r="R321" s="199"/>
      <c r="S321" s="199"/>
    </row>
    <row r="322" spans="4:19">
      <c r="D322" s="199"/>
      <c r="E322" s="199"/>
      <c r="F322" s="199"/>
      <c r="G322" s="199"/>
      <c r="H322" s="199"/>
      <c r="I322" s="199"/>
      <c r="J322" s="199"/>
      <c r="K322" s="199"/>
      <c r="L322" s="199"/>
      <c r="M322" s="199"/>
      <c r="N322" s="199"/>
      <c r="O322" s="199"/>
      <c r="P322" s="199"/>
      <c r="Q322" s="199"/>
      <c r="R322" s="199"/>
      <c r="S322" s="199"/>
    </row>
    <row r="323" spans="4:19">
      <c r="D323" s="199"/>
      <c r="E323" s="199"/>
      <c r="F323" s="199"/>
      <c r="G323" s="199"/>
      <c r="H323" s="199"/>
      <c r="I323" s="199"/>
      <c r="J323" s="199"/>
      <c r="K323" s="199"/>
      <c r="L323" s="199"/>
      <c r="M323" s="199"/>
      <c r="N323" s="199"/>
      <c r="O323" s="199"/>
      <c r="P323" s="199"/>
      <c r="Q323" s="199"/>
      <c r="R323" s="199"/>
      <c r="S323" s="199"/>
    </row>
    <row r="324" spans="4:19">
      <c r="D324" s="199"/>
      <c r="E324" s="199"/>
      <c r="F324" s="199"/>
      <c r="G324" s="199"/>
      <c r="H324" s="199"/>
      <c r="I324" s="199"/>
      <c r="J324" s="199"/>
      <c r="K324" s="199"/>
      <c r="L324" s="199"/>
      <c r="M324" s="199"/>
      <c r="N324" s="199"/>
      <c r="O324" s="199"/>
      <c r="P324" s="199"/>
      <c r="Q324" s="199"/>
      <c r="R324" s="199"/>
      <c r="S324" s="199"/>
    </row>
    <row r="325" spans="4:19">
      <c r="D325" s="199"/>
      <c r="E325" s="199"/>
      <c r="F325" s="199"/>
      <c r="G325" s="199"/>
      <c r="H325" s="199"/>
      <c r="I325" s="199"/>
      <c r="J325" s="199"/>
      <c r="K325" s="199"/>
      <c r="L325" s="199"/>
      <c r="M325" s="199"/>
      <c r="N325" s="199"/>
      <c r="O325" s="199"/>
      <c r="P325" s="199"/>
      <c r="Q325" s="199"/>
      <c r="R325" s="199"/>
      <c r="S325" s="199"/>
    </row>
    <row r="326" spans="4:19">
      <c r="D326" s="199"/>
      <c r="E326" s="199"/>
      <c r="F326" s="199"/>
      <c r="G326" s="199"/>
      <c r="H326" s="199"/>
      <c r="I326" s="199"/>
      <c r="J326" s="199"/>
      <c r="K326" s="199"/>
      <c r="L326" s="199"/>
      <c r="M326" s="199"/>
      <c r="N326" s="199"/>
      <c r="O326" s="199"/>
      <c r="P326" s="199"/>
      <c r="Q326" s="199"/>
      <c r="R326" s="199"/>
      <c r="S326" s="199"/>
    </row>
    <row r="327" spans="4:19">
      <c r="D327" s="199"/>
      <c r="E327" s="199"/>
      <c r="F327" s="199"/>
      <c r="G327" s="199"/>
      <c r="H327" s="199"/>
      <c r="I327" s="199"/>
      <c r="J327" s="199"/>
      <c r="K327" s="199"/>
      <c r="L327" s="199"/>
      <c r="M327" s="199"/>
      <c r="N327" s="199"/>
      <c r="O327" s="199"/>
      <c r="P327" s="199"/>
      <c r="Q327" s="199"/>
      <c r="R327" s="199"/>
      <c r="S327" s="199"/>
    </row>
    <row r="328" spans="4:19">
      <c r="D328" s="199"/>
      <c r="E328" s="199"/>
      <c r="F328" s="199"/>
      <c r="G328" s="199"/>
      <c r="H328" s="199"/>
      <c r="I328" s="199"/>
      <c r="J328" s="199"/>
      <c r="K328" s="199"/>
      <c r="L328" s="199"/>
      <c r="M328" s="199"/>
      <c r="N328" s="199"/>
      <c r="O328" s="199"/>
      <c r="P328" s="199"/>
      <c r="Q328" s="199"/>
      <c r="R328" s="199"/>
      <c r="S328" s="199"/>
    </row>
    <row r="329" spans="4:19">
      <c r="D329" s="199"/>
      <c r="E329" s="199"/>
      <c r="F329" s="199"/>
      <c r="G329" s="199"/>
      <c r="H329" s="199"/>
      <c r="I329" s="199"/>
      <c r="J329" s="199"/>
      <c r="K329" s="199"/>
      <c r="L329" s="199"/>
      <c r="M329" s="199"/>
      <c r="N329" s="199"/>
      <c r="O329" s="199"/>
      <c r="P329" s="199"/>
      <c r="Q329" s="199"/>
      <c r="R329" s="199"/>
      <c r="S329" s="199"/>
    </row>
    <row r="330" spans="4:19">
      <c r="D330" s="199"/>
      <c r="E330" s="199"/>
      <c r="F330" s="199"/>
      <c r="G330" s="199"/>
      <c r="H330" s="199"/>
      <c r="I330" s="199"/>
      <c r="J330" s="199"/>
      <c r="K330" s="199"/>
      <c r="L330" s="199"/>
      <c r="M330" s="199"/>
      <c r="N330" s="199"/>
      <c r="O330" s="199"/>
      <c r="P330" s="199"/>
      <c r="Q330" s="199"/>
      <c r="R330" s="199"/>
      <c r="S330" s="199"/>
    </row>
    <row r="331" spans="4:19">
      <c r="D331" s="199"/>
      <c r="E331" s="199"/>
      <c r="F331" s="199"/>
      <c r="G331" s="199"/>
      <c r="H331" s="199"/>
      <c r="I331" s="199"/>
      <c r="J331" s="199"/>
      <c r="K331" s="199"/>
      <c r="L331" s="199"/>
      <c r="M331" s="199"/>
      <c r="N331" s="199"/>
      <c r="O331" s="199"/>
      <c r="P331" s="199"/>
      <c r="Q331" s="199"/>
      <c r="R331" s="199"/>
      <c r="S331" s="199"/>
    </row>
    <row r="332" spans="4:19">
      <c r="D332" s="199"/>
      <c r="E332" s="199"/>
      <c r="F332" s="199"/>
      <c r="G332" s="199"/>
      <c r="H332" s="199"/>
      <c r="I332" s="199"/>
      <c r="J332" s="199"/>
      <c r="K332" s="199"/>
      <c r="L332" s="199"/>
      <c r="M332" s="199"/>
      <c r="N332" s="199"/>
      <c r="O332" s="199"/>
      <c r="P332" s="199"/>
      <c r="Q332" s="199"/>
      <c r="R332" s="199"/>
      <c r="S332" s="199"/>
    </row>
    <row r="333" spans="4:19">
      <c r="D333" s="199"/>
      <c r="E333" s="199"/>
      <c r="F333" s="199"/>
      <c r="G333" s="199"/>
      <c r="H333" s="199"/>
      <c r="I333" s="199"/>
      <c r="J333" s="199"/>
      <c r="K333" s="199"/>
      <c r="L333" s="199"/>
      <c r="M333" s="199"/>
      <c r="N333" s="199"/>
      <c r="O333" s="199"/>
      <c r="P333" s="199"/>
      <c r="Q333" s="199"/>
      <c r="R333" s="199"/>
      <c r="S333" s="199"/>
    </row>
    <row r="334" spans="4:19">
      <c r="D334" s="199"/>
      <c r="E334" s="199"/>
      <c r="F334" s="199"/>
      <c r="G334" s="199"/>
      <c r="H334" s="199"/>
      <c r="I334" s="199"/>
      <c r="J334" s="199"/>
      <c r="K334" s="199"/>
      <c r="L334" s="199"/>
      <c r="M334" s="199"/>
      <c r="N334" s="199"/>
      <c r="O334" s="199"/>
      <c r="P334" s="199"/>
      <c r="Q334" s="199"/>
      <c r="R334" s="199"/>
      <c r="S334" s="199"/>
    </row>
    <row r="335" spans="4:19">
      <c r="D335" s="199"/>
      <c r="E335" s="199"/>
      <c r="F335" s="199"/>
      <c r="G335" s="199"/>
      <c r="H335" s="199"/>
      <c r="I335" s="199"/>
      <c r="J335" s="199"/>
      <c r="K335" s="199"/>
      <c r="L335" s="199"/>
      <c r="M335" s="199"/>
      <c r="N335" s="199"/>
      <c r="O335" s="199"/>
      <c r="P335" s="199"/>
      <c r="Q335" s="199"/>
      <c r="R335" s="199"/>
      <c r="S335" s="199"/>
    </row>
    <row r="336" spans="4:19">
      <c r="D336" s="199"/>
      <c r="E336" s="199"/>
      <c r="F336" s="199"/>
      <c r="G336" s="199"/>
      <c r="H336" s="199"/>
      <c r="I336" s="199"/>
      <c r="J336" s="199"/>
      <c r="K336" s="199"/>
      <c r="L336" s="199"/>
      <c r="M336" s="199"/>
      <c r="N336" s="199"/>
      <c r="O336" s="199"/>
      <c r="P336" s="199"/>
      <c r="Q336" s="199"/>
      <c r="R336" s="199"/>
      <c r="S336" s="199"/>
    </row>
    <row r="337" spans="4:19">
      <c r="D337" s="199"/>
      <c r="E337" s="199"/>
      <c r="F337" s="199"/>
      <c r="G337" s="199"/>
      <c r="H337" s="199"/>
      <c r="I337" s="199"/>
      <c r="J337" s="199"/>
      <c r="K337" s="199"/>
      <c r="L337" s="199"/>
      <c r="M337" s="199"/>
      <c r="N337" s="199"/>
      <c r="O337" s="199"/>
      <c r="P337" s="199"/>
      <c r="Q337" s="199"/>
      <c r="R337" s="199"/>
      <c r="S337" s="199"/>
    </row>
    <row r="338" spans="4:19">
      <c r="D338" s="199"/>
      <c r="E338" s="199"/>
      <c r="F338" s="199"/>
      <c r="G338" s="199"/>
      <c r="H338" s="199"/>
      <c r="I338" s="199"/>
      <c r="J338" s="199"/>
      <c r="K338" s="199"/>
      <c r="L338" s="199"/>
      <c r="M338" s="199"/>
      <c r="N338" s="199"/>
      <c r="O338" s="199"/>
      <c r="P338" s="199"/>
      <c r="Q338" s="199"/>
      <c r="R338" s="199"/>
      <c r="S338" s="199"/>
    </row>
    <row r="339" spans="4:19">
      <c r="D339" s="199"/>
      <c r="E339" s="199"/>
      <c r="F339" s="199"/>
      <c r="G339" s="199"/>
      <c r="H339" s="199"/>
      <c r="I339" s="199"/>
      <c r="J339" s="199"/>
      <c r="K339" s="199"/>
      <c r="L339" s="199"/>
      <c r="M339" s="199"/>
      <c r="N339" s="199"/>
      <c r="O339" s="199"/>
      <c r="P339" s="199"/>
      <c r="Q339" s="199"/>
      <c r="R339" s="199"/>
      <c r="S339" s="199"/>
    </row>
    <row r="340" spans="4:19">
      <c r="D340" s="199"/>
      <c r="E340" s="199"/>
      <c r="F340" s="199"/>
      <c r="G340" s="199"/>
      <c r="H340" s="199"/>
      <c r="I340" s="199"/>
      <c r="J340" s="199"/>
      <c r="K340" s="199"/>
      <c r="L340" s="199"/>
      <c r="M340" s="199"/>
      <c r="N340" s="199"/>
      <c r="O340" s="199"/>
      <c r="P340" s="199"/>
      <c r="Q340" s="199"/>
      <c r="R340" s="199"/>
      <c r="S340" s="199"/>
    </row>
    <row r="341" spans="4:19">
      <c r="D341" s="199"/>
      <c r="E341" s="199"/>
      <c r="F341" s="199"/>
      <c r="G341" s="199"/>
      <c r="H341" s="199"/>
      <c r="I341" s="199"/>
      <c r="J341" s="199"/>
      <c r="K341" s="199"/>
      <c r="L341" s="199"/>
      <c r="M341" s="199"/>
      <c r="N341" s="199"/>
      <c r="O341" s="199"/>
      <c r="P341" s="199"/>
      <c r="Q341" s="199"/>
      <c r="R341" s="199"/>
      <c r="S341" s="199"/>
    </row>
    <row r="342" spans="4:19">
      <c r="D342" s="199"/>
      <c r="E342" s="199"/>
      <c r="F342" s="199"/>
      <c r="G342" s="199"/>
      <c r="H342" s="199"/>
      <c r="I342" s="199"/>
      <c r="J342" s="199"/>
      <c r="K342" s="199"/>
      <c r="L342" s="199"/>
      <c r="M342" s="199"/>
      <c r="N342" s="199"/>
      <c r="O342" s="199"/>
      <c r="P342" s="199"/>
      <c r="Q342" s="199"/>
      <c r="R342" s="199"/>
      <c r="S342" s="199"/>
    </row>
    <row r="343" spans="4:19">
      <c r="D343" s="199"/>
      <c r="E343" s="199"/>
      <c r="F343" s="199"/>
      <c r="G343" s="199"/>
      <c r="H343" s="199"/>
      <c r="I343" s="199"/>
      <c r="J343" s="199"/>
      <c r="K343" s="199"/>
      <c r="L343" s="199"/>
      <c r="M343" s="199"/>
      <c r="N343" s="199"/>
      <c r="O343" s="199"/>
      <c r="P343" s="199"/>
      <c r="Q343" s="199"/>
      <c r="R343" s="199"/>
      <c r="S343" s="199"/>
    </row>
    <row r="344" spans="4:19">
      <c r="D344" s="199"/>
      <c r="E344" s="199"/>
      <c r="F344" s="199"/>
      <c r="G344" s="199"/>
      <c r="H344" s="199"/>
      <c r="I344" s="199"/>
      <c r="J344" s="199"/>
      <c r="K344" s="199"/>
      <c r="L344" s="199"/>
      <c r="M344" s="199"/>
      <c r="N344" s="199"/>
      <c r="O344" s="199"/>
      <c r="P344" s="199"/>
      <c r="Q344" s="199"/>
      <c r="R344" s="199"/>
      <c r="S344" s="199"/>
    </row>
    <row r="345" spans="4:19">
      <c r="D345" s="199"/>
      <c r="E345" s="199"/>
      <c r="F345" s="199"/>
      <c r="G345" s="199"/>
      <c r="H345" s="199"/>
      <c r="I345" s="199"/>
      <c r="J345" s="199"/>
      <c r="K345" s="199"/>
      <c r="L345" s="199"/>
      <c r="M345" s="199"/>
      <c r="N345" s="199"/>
      <c r="O345" s="199"/>
      <c r="P345" s="199"/>
      <c r="Q345" s="199"/>
      <c r="R345" s="199"/>
      <c r="S345" s="199"/>
    </row>
    <row r="346" spans="4:19">
      <c r="D346" s="199"/>
      <c r="E346" s="199"/>
      <c r="F346" s="199"/>
      <c r="G346" s="199"/>
      <c r="H346" s="199"/>
      <c r="I346" s="199"/>
      <c r="J346" s="199"/>
      <c r="K346" s="199"/>
      <c r="L346" s="199"/>
      <c r="M346" s="199"/>
      <c r="N346" s="199"/>
      <c r="O346" s="199"/>
      <c r="P346" s="199"/>
      <c r="Q346" s="199"/>
      <c r="R346" s="199"/>
      <c r="S346" s="199"/>
    </row>
    <row r="347" spans="4:19">
      <c r="D347" s="199"/>
      <c r="E347" s="199"/>
      <c r="F347" s="199"/>
      <c r="G347" s="199"/>
      <c r="H347" s="199"/>
      <c r="I347" s="199"/>
      <c r="J347" s="199"/>
      <c r="K347" s="199"/>
      <c r="L347" s="199"/>
      <c r="M347" s="199"/>
      <c r="N347" s="199"/>
      <c r="O347" s="199"/>
      <c r="P347" s="199"/>
      <c r="Q347" s="199"/>
      <c r="R347" s="199"/>
      <c r="S347" s="199"/>
    </row>
    <row r="348" spans="4:19">
      <c r="D348" s="199"/>
      <c r="E348" s="199"/>
      <c r="F348" s="199"/>
      <c r="G348" s="199"/>
      <c r="H348" s="199"/>
      <c r="I348" s="199"/>
      <c r="J348" s="199"/>
      <c r="K348" s="199"/>
      <c r="L348" s="199"/>
      <c r="M348" s="199"/>
      <c r="N348" s="199"/>
      <c r="O348" s="199"/>
      <c r="P348" s="199"/>
      <c r="Q348" s="199"/>
      <c r="R348" s="199"/>
      <c r="S348" s="199"/>
    </row>
    <row r="349" spans="4:19">
      <c r="D349" s="199"/>
      <c r="E349" s="199"/>
      <c r="F349" s="199"/>
      <c r="G349" s="199"/>
      <c r="H349" s="199"/>
      <c r="I349" s="199"/>
      <c r="J349" s="199"/>
      <c r="K349" s="199"/>
      <c r="L349" s="199"/>
      <c r="M349" s="199"/>
      <c r="N349" s="199"/>
      <c r="O349" s="199"/>
      <c r="P349" s="199"/>
      <c r="Q349" s="199"/>
      <c r="R349" s="199"/>
      <c r="S349" s="199"/>
    </row>
    <row r="350" spans="4:19">
      <c r="D350" s="199"/>
      <c r="E350" s="199"/>
      <c r="F350" s="199"/>
      <c r="G350" s="199"/>
      <c r="H350" s="199"/>
      <c r="I350" s="199"/>
      <c r="J350" s="199"/>
      <c r="K350" s="199"/>
      <c r="L350" s="199"/>
      <c r="M350" s="199"/>
      <c r="N350" s="199"/>
      <c r="O350" s="199"/>
      <c r="P350" s="199"/>
      <c r="Q350" s="199"/>
      <c r="R350" s="199"/>
      <c r="S350" s="199"/>
    </row>
    <row r="351" spans="4:19">
      <c r="D351" s="199"/>
      <c r="E351" s="199"/>
      <c r="F351" s="199"/>
      <c r="G351" s="199"/>
      <c r="H351" s="199"/>
      <c r="I351" s="199"/>
      <c r="J351" s="199"/>
      <c r="K351" s="199"/>
      <c r="L351" s="199"/>
      <c r="M351" s="199"/>
      <c r="N351" s="199"/>
      <c r="O351" s="199"/>
      <c r="P351" s="199"/>
      <c r="Q351" s="199"/>
      <c r="R351" s="199"/>
      <c r="S351" s="199"/>
    </row>
    <row r="352" spans="4:19">
      <c r="D352" s="199"/>
      <c r="E352" s="199"/>
      <c r="F352" s="199"/>
      <c r="G352" s="199"/>
      <c r="H352" s="199"/>
      <c r="I352" s="199"/>
      <c r="J352" s="199"/>
      <c r="K352" s="199"/>
      <c r="L352" s="199"/>
      <c r="M352" s="199"/>
      <c r="N352" s="199"/>
      <c r="O352" s="199"/>
      <c r="P352" s="199"/>
      <c r="Q352" s="199"/>
      <c r="R352" s="199"/>
      <c r="S352" s="199"/>
    </row>
    <row r="353" spans="4:19">
      <c r="D353" s="199"/>
      <c r="E353" s="199"/>
      <c r="F353" s="199"/>
      <c r="G353" s="199"/>
      <c r="H353" s="199"/>
      <c r="I353" s="199"/>
      <c r="J353" s="199"/>
      <c r="K353" s="199"/>
      <c r="L353" s="199"/>
      <c r="M353" s="199"/>
      <c r="N353" s="199"/>
      <c r="O353" s="199"/>
      <c r="P353" s="199"/>
      <c r="Q353" s="199"/>
      <c r="R353" s="199"/>
      <c r="S353" s="199"/>
    </row>
    <row r="354" spans="4:19">
      <c r="D354" s="199"/>
      <c r="E354" s="199"/>
      <c r="F354" s="199"/>
      <c r="G354" s="199"/>
      <c r="H354" s="199"/>
      <c r="I354" s="199"/>
      <c r="J354" s="199"/>
      <c r="K354" s="199"/>
      <c r="L354" s="199"/>
      <c r="M354" s="199"/>
      <c r="N354" s="199"/>
      <c r="O354" s="199"/>
      <c r="P354" s="199"/>
      <c r="Q354" s="199"/>
      <c r="R354" s="199"/>
      <c r="S354" s="199"/>
    </row>
    <row r="355" spans="4:19">
      <c r="D355" s="199"/>
      <c r="E355" s="199"/>
      <c r="F355" s="199"/>
      <c r="G355" s="199"/>
      <c r="H355" s="199"/>
      <c r="I355" s="199"/>
      <c r="J355" s="199"/>
      <c r="K355" s="199"/>
      <c r="L355" s="199"/>
      <c r="M355" s="199"/>
      <c r="N355" s="199"/>
      <c r="O355" s="199"/>
      <c r="P355" s="199"/>
      <c r="Q355" s="199"/>
      <c r="R355" s="199"/>
      <c r="S355" s="199"/>
    </row>
    <row r="356" spans="4:19">
      <c r="D356" s="199"/>
      <c r="E356" s="199"/>
      <c r="F356" s="199"/>
      <c r="G356" s="199"/>
      <c r="H356" s="199"/>
      <c r="I356" s="199"/>
      <c r="J356" s="199"/>
      <c r="K356" s="199"/>
      <c r="L356" s="199"/>
      <c r="M356" s="199"/>
      <c r="N356" s="199"/>
      <c r="O356" s="199"/>
      <c r="P356" s="199"/>
      <c r="Q356" s="199"/>
      <c r="R356" s="199"/>
      <c r="S356" s="199"/>
    </row>
    <row r="357" spans="4:19">
      <c r="D357" s="199"/>
      <c r="E357" s="199"/>
      <c r="F357" s="199"/>
      <c r="G357" s="199"/>
      <c r="H357" s="199"/>
      <c r="I357" s="199"/>
      <c r="J357" s="199"/>
      <c r="K357" s="199"/>
      <c r="L357" s="199"/>
      <c r="M357" s="199"/>
      <c r="N357" s="199"/>
      <c r="O357" s="199"/>
      <c r="P357" s="199"/>
      <c r="Q357" s="199"/>
      <c r="R357" s="199"/>
      <c r="S357" s="199"/>
    </row>
    <row r="358" spans="4:19">
      <c r="D358" s="199"/>
      <c r="E358" s="199"/>
      <c r="F358" s="199"/>
      <c r="G358" s="199"/>
      <c r="H358" s="199"/>
      <c r="I358" s="199"/>
      <c r="J358" s="199"/>
      <c r="K358" s="199"/>
      <c r="L358" s="199"/>
      <c r="M358" s="199"/>
      <c r="N358" s="199"/>
      <c r="O358" s="199"/>
      <c r="P358" s="199"/>
      <c r="Q358" s="199"/>
      <c r="R358" s="199"/>
      <c r="S358" s="199"/>
    </row>
    <row r="359" spans="4:19">
      <c r="D359" s="199"/>
      <c r="E359" s="199"/>
      <c r="F359" s="199"/>
      <c r="G359" s="199"/>
      <c r="H359" s="199"/>
      <c r="I359" s="199"/>
      <c r="J359" s="199"/>
      <c r="K359" s="199"/>
      <c r="L359" s="199"/>
      <c r="M359" s="199"/>
      <c r="N359" s="199"/>
      <c r="O359" s="199"/>
      <c r="P359" s="199"/>
      <c r="Q359" s="199"/>
      <c r="R359" s="199"/>
      <c r="S359" s="199"/>
    </row>
    <row r="360" spans="4:19">
      <c r="D360" s="199"/>
      <c r="E360" s="199"/>
      <c r="F360" s="199"/>
      <c r="G360" s="199"/>
      <c r="H360" s="199"/>
      <c r="I360" s="199"/>
      <c r="J360" s="199"/>
      <c r="K360" s="199"/>
      <c r="L360" s="199"/>
      <c r="M360" s="199"/>
      <c r="N360" s="199"/>
      <c r="O360" s="199"/>
      <c r="P360" s="199"/>
      <c r="Q360" s="199"/>
      <c r="R360" s="199"/>
      <c r="S360" s="199"/>
    </row>
    <row r="361" spans="4:19">
      <c r="D361" s="199"/>
      <c r="E361" s="199"/>
      <c r="F361" s="199"/>
      <c r="G361" s="199"/>
      <c r="H361" s="199"/>
      <c r="I361" s="199"/>
      <c r="J361" s="199"/>
      <c r="K361" s="199"/>
      <c r="L361" s="199"/>
      <c r="M361" s="199"/>
      <c r="N361" s="199"/>
      <c r="O361" s="199"/>
      <c r="P361" s="199"/>
      <c r="Q361" s="199"/>
      <c r="R361" s="199"/>
      <c r="S361" s="199"/>
    </row>
    <row r="362" spans="4:19">
      <c r="D362" s="199"/>
      <c r="E362" s="199"/>
      <c r="F362" s="199"/>
      <c r="G362" s="199"/>
      <c r="H362" s="199"/>
      <c r="I362" s="199"/>
      <c r="J362" s="199"/>
      <c r="K362" s="199"/>
      <c r="L362" s="199"/>
      <c r="M362" s="199"/>
      <c r="N362" s="199"/>
      <c r="O362" s="199"/>
      <c r="P362" s="199"/>
      <c r="Q362" s="199"/>
      <c r="R362" s="199"/>
      <c r="S362" s="199"/>
    </row>
    <row r="363" spans="4:19">
      <c r="D363" s="199"/>
      <c r="E363" s="199"/>
      <c r="F363" s="199"/>
      <c r="G363" s="199"/>
      <c r="H363" s="199"/>
      <c r="I363" s="199"/>
      <c r="J363" s="199"/>
      <c r="K363" s="199"/>
      <c r="L363" s="199"/>
      <c r="M363" s="199"/>
      <c r="N363" s="199"/>
      <c r="O363" s="199"/>
      <c r="P363" s="199"/>
      <c r="Q363" s="199"/>
      <c r="R363" s="199"/>
      <c r="S363" s="199"/>
    </row>
    <row r="364" spans="4:19">
      <c r="D364" s="199"/>
      <c r="E364" s="199"/>
      <c r="F364" s="199"/>
      <c r="G364" s="199"/>
      <c r="H364" s="199"/>
      <c r="I364" s="199"/>
      <c r="J364" s="199"/>
      <c r="K364" s="199"/>
      <c r="L364" s="199"/>
      <c r="M364" s="199"/>
      <c r="N364" s="199"/>
      <c r="O364" s="199"/>
      <c r="P364" s="199"/>
      <c r="Q364" s="199"/>
      <c r="R364" s="199"/>
      <c r="S364" s="199"/>
    </row>
    <row r="365" spans="4:19">
      <c r="D365" s="199"/>
      <c r="E365" s="199"/>
      <c r="F365" s="199"/>
      <c r="G365" s="199"/>
      <c r="H365" s="199"/>
      <c r="I365" s="199"/>
      <c r="J365" s="199"/>
      <c r="K365" s="199"/>
      <c r="L365" s="199"/>
      <c r="M365" s="199"/>
      <c r="N365" s="199"/>
      <c r="O365" s="199"/>
      <c r="P365" s="199"/>
      <c r="Q365" s="199"/>
      <c r="R365" s="199"/>
      <c r="S365" s="199"/>
    </row>
    <row r="366" spans="4:19">
      <c r="D366" s="199"/>
      <c r="E366" s="199"/>
      <c r="F366" s="199"/>
      <c r="G366" s="199"/>
      <c r="H366" s="199"/>
      <c r="I366" s="199"/>
      <c r="J366" s="199"/>
      <c r="K366" s="199"/>
      <c r="L366" s="199"/>
      <c r="M366" s="199"/>
      <c r="N366" s="199"/>
      <c r="O366" s="199"/>
      <c r="P366" s="199"/>
      <c r="Q366" s="199"/>
      <c r="R366" s="199"/>
      <c r="S366" s="199"/>
    </row>
    <row r="367" spans="4:19">
      <c r="D367" s="199"/>
      <c r="E367" s="199"/>
      <c r="F367" s="199"/>
      <c r="G367" s="199"/>
      <c r="H367" s="199"/>
      <c r="I367" s="199"/>
      <c r="J367" s="199"/>
      <c r="K367" s="199"/>
      <c r="L367" s="199"/>
      <c r="M367" s="199"/>
      <c r="N367" s="199"/>
      <c r="O367" s="199"/>
      <c r="P367" s="199"/>
      <c r="Q367" s="199"/>
      <c r="R367" s="199"/>
      <c r="S367" s="199"/>
    </row>
    <row r="368" spans="4:19">
      <c r="D368" s="199"/>
      <c r="E368" s="199"/>
      <c r="F368" s="199"/>
      <c r="G368" s="199"/>
      <c r="H368" s="199"/>
      <c r="I368" s="199"/>
      <c r="J368" s="199"/>
      <c r="K368" s="199"/>
      <c r="L368" s="199"/>
      <c r="M368" s="199"/>
      <c r="N368" s="199"/>
      <c r="O368" s="199"/>
      <c r="P368" s="199"/>
      <c r="Q368" s="199"/>
      <c r="R368" s="199"/>
      <c r="S368" s="199"/>
    </row>
    <row r="369" spans="4:19">
      <c r="D369" s="199"/>
      <c r="E369" s="199"/>
      <c r="F369" s="199"/>
      <c r="G369" s="199"/>
      <c r="H369" s="199"/>
      <c r="I369" s="199"/>
      <c r="J369" s="199"/>
      <c r="K369" s="199"/>
      <c r="L369" s="199"/>
      <c r="M369" s="199"/>
      <c r="N369" s="199"/>
      <c r="O369" s="199"/>
      <c r="P369" s="199"/>
      <c r="Q369" s="199"/>
      <c r="R369" s="199"/>
      <c r="S369" s="199"/>
    </row>
    <row r="370" spans="4:19">
      <c r="D370" s="199"/>
      <c r="E370" s="199"/>
      <c r="F370" s="199"/>
      <c r="G370" s="199"/>
      <c r="H370" s="199"/>
      <c r="I370" s="199"/>
      <c r="J370" s="199"/>
      <c r="K370" s="199"/>
      <c r="L370" s="199"/>
      <c r="M370" s="199"/>
      <c r="N370" s="199"/>
      <c r="O370" s="199"/>
      <c r="P370" s="199"/>
      <c r="Q370" s="199"/>
      <c r="R370" s="199"/>
      <c r="S370" s="199"/>
    </row>
    <row r="371" spans="4:19">
      <c r="D371" s="199"/>
      <c r="E371" s="199"/>
      <c r="F371" s="199"/>
      <c r="G371" s="199"/>
      <c r="H371" s="199"/>
      <c r="I371" s="199"/>
      <c r="J371" s="199"/>
      <c r="K371" s="199"/>
      <c r="L371" s="199"/>
      <c r="M371" s="199"/>
      <c r="N371" s="199"/>
      <c r="O371" s="199"/>
      <c r="P371" s="199"/>
      <c r="Q371" s="199"/>
      <c r="R371" s="199"/>
      <c r="S371" s="199"/>
    </row>
    <row r="372" spans="4:19">
      <c r="D372" s="199"/>
      <c r="E372" s="199"/>
      <c r="F372" s="199"/>
      <c r="G372" s="199"/>
      <c r="H372" s="199"/>
      <c r="I372" s="199"/>
      <c r="J372" s="199"/>
      <c r="K372" s="199"/>
      <c r="L372" s="199"/>
      <c r="M372" s="199"/>
      <c r="N372" s="199"/>
      <c r="O372" s="199"/>
      <c r="P372" s="199"/>
      <c r="Q372" s="199"/>
      <c r="R372" s="199"/>
      <c r="S372" s="199"/>
    </row>
    <row r="373" spans="4:19">
      <c r="D373" s="199"/>
      <c r="E373" s="199"/>
      <c r="F373" s="199"/>
      <c r="G373" s="199"/>
      <c r="H373" s="199"/>
      <c r="I373" s="199"/>
      <c r="J373" s="199"/>
      <c r="K373" s="199"/>
      <c r="L373" s="199"/>
      <c r="M373" s="199"/>
      <c r="N373" s="199"/>
      <c r="O373" s="199"/>
      <c r="P373" s="199"/>
      <c r="Q373" s="199"/>
      <c r="R373" s="199"/>
      <c r="S373" s="199"/>
    </row>
    <row r="374" spans="4:19">
      <c r="D374" s="199"/>
      <c r="E374" s="199"/>
      <c r="F374" s="199"/>
      <c r="G374" s="199"/>
      <c r="H374" s="199"/>
      <c r="I374" s="199"/>
      <c r="J374" s="199"/>
      <c r="K374" s="199"/>
      <c r="L374" s="199"/>
      <c r="M374" s="199"/>
      <c r="N374" s="199"/>
      <c r="O374" s="199"/>
      <c r="P374" s="199"/>
      <c r="Q374" s="199"/>
      <c r="R374" s="199"/>
      <c r="S374" s="199"/>
    </row>
    <row r="375" spans="4:19">
      <c r="D375" s="199"/>
      <c r="E375" s="199"/>
      <c r="F375" s="199"/>
      <c r="G375" s="199"/>
      <c r="H375" s="199"/>
      <c r="I375" s="199"/>
      <c r="J375" s="199"/>
      <c r="K375" s="199"/>
      <c r="L375" s="199"/>
      <c r="M375" s="199"/>
      <c r="N375" s="199"/>
      <c r="O375" s="199"/>
      <c r="P375" s="199"/>
      <c r="Q375" s="199"/>
      <c r="R375" s="199"/>
      <c r="S375" s="199"/>
    </row>
    <row r="376" spans="4:19">
      <c r="D376" s="199"/>
      <c r="E376" s="199"/>
      <c r="F376" s="199"/>
      <c r="G376" s="199"/>
      <c r="H376" s="199"/>
      <c r="I376" s="199"/>
      <c r="J376" s="199"/>
      <c r="K376" s="199"/>
      <c r="L376" s="199"/>
      <c r="M376" s="199"/>
      <c r="N376" s="199"/>
      <c r="O376" s="199"/>
      <c r="P376" s="199"/>
      <c r="Q376" s="199"/>
      <c r="R376" s="199"/>
      <c r="S376" s="199"/>
    </row>
    <row r="377" spans="4:19">
      <c r="D377" s="199"/>
      <c r="E377" s="199"/>
      <c r="F377" s="199"/>
      <c r="G377" s="199"/>
      <c r="H377" s="199"/>
      <c r="I377" s="199"/>
      <c r="J377" s="199"/>
      <c r="K377" s="199"/>
      <c r="L377" s="199"/>
      <c r="M377" s="199"/>
      <c r="N377" s="199"/>
      <c r="O377" s="199"/>
      <c r="P377" s="199"/>
      <c r="Q377" s="199"/>
      <c r="R377" s="199"/>
      <c r="S377" s="199"/>
    </row>
    <row r="378" spans="4:19">
      <c r="D378" s="199"/>
      <c r="E378" s="199"/>
      <c r="F378" s="199"/>
      <c r="G378" s="199"/>
      <c r="H378" s="199"/>
      <c r="I378" s="199"/>
      <c r="J378" s="199"/>
      <c r="K378" s="199"/>
      <c r="L378" s="199"/>
      <c r="M378" s="199"/>
      <c r="N378" s="199"/>
      <c r="O378" s="199"/>
      <c r="P378" s="199"/>
      <c r="Q378" s="199"/>
      <c r="R378" s="199"/>
      <c r="S378" s="199"/>
    </row>
    <row r="379" spans="4:19">
      <c r="D379" s="199"/>
      <c r="E379" s="199"/>
      <c r="F379" s="199"/>
      <c r="G379" s="199"/>
      <c r="H379" s="199"/>
      <c r="I379" s="199"/>
      <c r="J379" s="199"/>
      <c r="K379" s="199"/>
      <c r="L379" s="199"/>
      <c r="M379" s="199"/>
      <c r="N379" s="199"/>
      <c r="O379" s="199"/>
      <c r="P379" s="199"/>
      <c r="Q379" s="199"/>
      <c r="R379" s="199"/>
      <c r="S379" s="199"/>
    </row>
    <row r="380" spans="4:19">
      <c r="D380" s="199"/>
      <c r="E380" s="199"/>
      <c r="F380" s="199"/>
      <c r="G380" s="199"/>
      <c r="H380" s="199"/>
      <c r="I380" s="199"/>
      <c r="J380" s="199"/>
      <c r="K380" s="199"/>
      <c r="L380" s="199"/>
      <c r="M380" s="199"/>
      <c r="N380" s="199"/>
      <c r="O380" s="199"/>
      <c r="P380" s="199"/>
      <c r="Q380" s="199"/>
      <c r="R380" s="199"/>
      <c r="S380" s="199"/>
    </row>
    <row r="381" spans="4:19">
      <c r="D381" s="199"/>
      <c r="E381" s="199"/>
      <c r="F381" s="199"/>
      <c r="G381" s="199"/>
      <c r="H381" s="199"/>
      <c r="I381" s="199"/>
      <c r="J381" s="199"/>
      <c r="K381" s="199"/>
      <c r="L381" s="199"/>
      <c r="M381" s="199"/>
      <c r="N381" s="199"/>
      <c r="O381" s="199"/>
      <c r="P381" s="199"/>
      <c r="Q381" s="199"/>
      <c r="R381" s="199"/>
      <c r="S381" s="199"/>
    </row>
    <row r="382" spans="4:19">
      <c r="D382" s="199"/>
      <c r="E382" s="199"/>
      <c r="F382" s="199"/>
      <c r="G382" s="199"/>
      <c r="H382" s="199"/>
      <c r="I382" s="199"/>
      <c r="J382" s="199"/>
      <c r="K382" s="199"/>
      <c r="L382" s="199"/>
      <c r="M382" s="199"/>
      <c r="N382" s="199"/>
      <c r="O382" s="199"/>
      <c r="P382" s="199"/>
      <c r="Q382" s="199"/>
      <c r="R382" s="199"/>
      <c r="S382" s="199"/>
    </row>
    <row r="383" spans="4:19">
      <c r="D383" s="199"/>
      <c r="E383" s="199"/>
      <c r="F383" s="199"/>
      <c r="G383" s="199"/>
      <c r="H383" s="199"/>
      <c r="I383" s="199"/>
      <c r="J383" s="199"/>
      <c r="K383" s="199"/>
      <c r="L383" s="199"/>
      <c r="M383" s="199"/>
      <c r="N383" s="199"/>
      <c r="O383" s="199"/>
      <c r="P383" s="199"/>
      <c r="Q383" s="199"/>
      <c r="R383" s="199"/>
      <c r="S383" s="199"/>
    </row>
    <row r="384" spans="4:19">
      <c r="D384" s="199"/>
      <c r="E384" s="199"/>
      <c r="F384" s="199"/>
      <c r="G384" s="199"/>
      <c r="H384" s="199"/>
      <c r="I384" s="199"/>
      <c r="J384" s="199"/>
      <c r="K384" s="199"/>
      <c r="L384" s="199"/>
      <c r="M384" s="199"/>
      <c r="N384" s="199"/>
      <c r="O384" s="199"/>
      <c r="P384" s="199"/>
      <c r="Q384" s="199"/>
      <c r="R384" s="199"/>
      <c r="S384" s="199"/>
    </row>
    <row r="385" spans="4:19">
      <c r="D385" s="199"/>
      <c r="E385" s="199"/>
      <c r="F385" s="199"/>
      <c r="G385" s="199"/>
      <c r="H385" s="199"/>
      <c r="I385" s="199"/>
      <c r="J385" s="199"/>
      <c r="K385" s="199"/>
      <c r="L385" s="199"/>
      <c r="M385" s="199"/>
      <c r="N385" s="199"/>
      <c r="O385" s="199"/>
      <c r="P385" s="199"/>
      <c r="Q385" s="199"/>
      <c r="R385" s="199"/>
      <c r="S385" s="199"/>
    </row>
    <row r="386" spans="4:19">
      <c r="D386" s="199"/>
      <c r="E386" s="199"/>
      <c r="F386" s="199"/>
      <c r="G386" s="199"/>
      <c r="H386" s="199"/>
      <c r="I386" s="199"/>
      <c r="J386" s="199"/>
      <c r="K386" s="199"/>
      <c r="L386" s="199"/>
      <c r="M386" s="199"/>
      <c r="N386" s="199"/>
      <c r="O386" s="199"/>
      <c r="P386" s="199"/>
      <c r="Q386" s="199"/>
      <c r="R386" s="199"/>
      <c r="S386" s="199"/>
    </row>
    <row r="387" spans="4:19">
      <c r="D387" s="199"/>
      <c r="E387" s="199"/>
      <c r="F387" s="199"/>
      <c r="G387" s="199"/>
      <c r="H387" s="199"/>
      <c r="I387" s="199"/>
      <c r="J387" s="199"/>
      <c r="K387" s="199"/>
      <c r="L387" s="199"/>
      <c r="M387" s="199"/>
      <c r="N387" s="199"/>
      <c r="O387" s="199"/>
      <c r="P387" s="199"/>
      <c r="Q387" s="199"/>
      <c r="R387" s="199"/>
      <c r="S387" s="199"/>
    </row>
    <row r="388" spans="4:19">
      <c r="D388" s="199"/>
      <c r="E388" s="199"/>
      <c r="F388" s="199"/>
      <c r="G388" s="199"/>
      <c r="H388" s="199"/>
      <c r="I388" s="199"/>
      <c r="J388" s="199"/>
      <c r="K388" s="199"/>
      <c r="L388" s="199"/>
      <c r="M388" s="199"/>
      <c r="N388" s="199"/>
      <c r="O388" s="199"/>
      <c r="P388" s="199"/>
      <c r="Q388" s="199"/>
      <c r="R388" s="199"/>
      <c r="S388" s="199"/>
    </row>
    <row r="389" spans="4:19">
      <c r="D389" s="199"/>
      <c r="E389" s="199"/>
      <c r="F389" s="199"/>
      <c r="G389" s="199"/>
      <c r="H389" s="199"/>
      <c r="I389" s="199"/>
      <c r="J389" s="199"/>
      <c r="K389" s="199"/>
      <c r="L389" s="199"/>
      <c r="M389" s="199"/>
      <c r="N389" s="199"/>
      <c r="O389" s="199"/>
      <c r="P389" s="199"/>
      <c r="Q389" s="199"/>
      <c r="R389" s="199"/>
      <c r="S389" s="199"/>
    </row>
    <row r="390" spans="4:19">
      <c r="D390" s="199"/>
      <c r="E390" s="199"/>
      <c r="F390" s="199"/>
      <c r="G390" s="199"/>
      <c r="H390" s="199"/>
      <c r="I390" s="199"/>
      <c r="J390" s="199"/>
      <c r="K390" s="199"/>
      <c r="L390" s="199"/>
      <c r="M390" s="199"/>
      <c r="N390" s="199"/>
      <c r="O390" s="199"/>
      <c r="P390" s="199"/>
      <c r="Q390" s="199"/>
      <c r="R390" s="199"/>
      <c r="S390" s="199"/>
    </row>
    <row r="391" spans="4:19">
      <c r="D391" s="199"/>
      <c r="E391" s="199"/>
      <c r="F391" s="199"/>
      <c r="G391" s="199"/>
      <c r="H391" s="199"/>
      <c r="I391" s="199"/>
      <c r="J391" s="199"/>
      <c r="K391" s="199"/>
      <c r="L391" s="199"/>
      <c r="M391" s="199"/>
      <c r="N391" s="199"/>
      <c r="O391" s="199"/>
      <c r="P391" s="199"/>
      <c r="Q391" s="199"/>
      <c r="R391" s="199"/>
      <c r="S391" s="199"/>
    </row>
    <row r="392" spans="4:19">
      <c r="D392" s="199"/>
      <c r="E392" s="199"/>
      <c r="F392" s="199"/>
      <c r="G392" s="199"/>
      <c r="H392" s="199"/>
      <c r="I392" s="199"/>
      <c r="J392" s="199"/>
      <c r="K392" s="199"/>
      <c r="L392" s="199"/>
      <c r="M392" s="199"/>
      <c r="N392" s="199"/>
      <c r="O392" s="199"/>
      <c r="P392" s="199"/>
      <c r="Q392" s="199"/>
      <c r="R392" s="199"/>
      <c r="S392" s="199"/>
    </row>
    <row r="393" spans="4:19">
      <c r="D393" s="199"/>
      <c r="E393" s="199"/>
      <c r="F393" s="199"/>
      <c r="G393" s="199"/>
      <c r="H393" s="199"/>
      <c r="I393" s="199"/>
      <c r="J393" s="199"/>
      <c r="K393" s="199"/>
      <c r="L393" s="199"/>
      <c r="M393" s="199"/>
      <c r="N393" s="199"/>
      <c r="O393" s="199"/>
      <c r="P393" s="199"/>
      <c r="Q393" s="199"/>
      <c r="R393" s="199"/>
      <c r="S393" s="199"/>
    </row>
    <row r="394" spans="4:19">
      <c r="D394" s="199"/>
      <c r="E394" s="199"/>
      <c r="F394" s="199"/>
      <c r="G394" s="199"/>
      <c r="H394" s="199"/>
      <c r="I394" s="199"/>
      <c r="J394" s="199"/>
      <c r="K394" s="199"/>
      <c r="L394" s="199"/>
      <c r="M394" s="199"/>
      <c r="N394" s="199"/>
      <c r="O394" s="199"/>
      <c r="P394" s="199"/>
      <c r="Q394" s="199"/>
      <c r="R394" s="199"/>
      <c r="S394" s="199"/>
    </row>
    <row r="395" spans="4:19">
      <c r="D395" s="199"/>
      <c r="E395" s="199"/>
      <c r="F395" s="199"/>
      <c r="G395" s="199"/>
      <c r="H395" s="199"/>
      <c r="I395" s="199"/>
      <c r="J395" s="199"/>
      <c r="K395" s="199"/>
      <c r="L395" s="199"/>
      <c r="M395" s="199"/>
      <c r="N395" s="199"/>
      <c r="O395" s="199"/>
      <c r="P395" s="199"/>
      <c r="Q395" s="199"/>
      <c r="R395" s="199"/>
      <c r="S395" s="199"/>
    </row>
    <row r="396" spans="4:19">
      <c r="D396" s="199"/>
      <c r="E396" s="199"/>
      <c r="F396" s="199"/>
      <c r="G396" s="199"/>
      <c r="H396" s="199"/>
      <c r="I396" s="199"/>
      <c r="J396" s="199"/>
      <c r="K396" s="199"/>
      <c r="L396" s="199"/>
      <c r="M396" s="199"/>
      <c r="N396" s="199"/>
      <c r="O396" s="199"/>
      <c r="P396" s="199"/>
      <c r="Q396" s="199"/>
      <c r="R396" s="199"/>
      <c r="S396" s="199"/>
    </row>
    <row r="397" spans="4:19">
      <c r="D397" s="199"/>
      <c r="E397" s="199"/>
      <c r="F397" s="199"/>
      <c r="G397" s="199"/>
      <c r="H397" s="199"/>
      <c r="I397" s="199"/>
      <c r="J397" s="199"/>
      <c r="K397" s="199"/>
      <c r="L397" s="199"/>
      <c r="M397" s="199"/>
      <c r="N397" s="199"/>
      <c r="O397" s="199"/>
      <c r="P397" s="199"/>
      <c r="Q397" s="199"/>
      <c r="R397" s="199"/>
      <c r="S397" s="199"/>
    </row>
    <row r="398" spans="4:19">
      <c r="D398" s="199"/>
      <c r="E398" s="199"/>
      <c r="F398" s="199"/>
      <c r="G398" s="199"/>
      <c r="H398" s="199"/>
      <c r="I398" s="199"/>
      <c r="J398" s="199"/>
      <c r="K398" s="199"/>
      <c r="L398" s="199"/>
      <c r="M398" s="199"/>
      <c r="N398" s="199"/>
      <c r="O398" s="199"/>
      <c r="P398" s="199"/>
      <c r="Q398" s="199"/>
      <c r="R398" s="199"/>
      <c r="S398" s="199"/>
    </row>
    <row r="399" spans="4:19">
      <c r="D399" s="199"/>
      <c r="E399" s="199"/>
      <c r="F399" s="199"/>
      <c r="G399" s="199"/>
      <c r="H399" s="199"/>
      <c r="I399" s="199"/>
      <c r="J399" s="199"/>
      <c r="K399" s="199"/>
      <c r="L399" s="199"/>
      <c r="M399" s="199"/>
      <c r="N399" s="199"/>
      <c r="O399" s="199"/>
      <c r="P399" s="199"/>
      <c r="Q399" s="199"/>
      <c r="R399" s="199"/>
      <c r="S399" s="199"/>
    </row>
    <row r="400" spans="4:19">
      <c r="D400" s="199"/>
      <c r="E400" s="199"/>
      <c r="F400" s="199"/>
      <c r="G400" s="199"/>
      <c r="H400" s="199"/>
      <c r="I400" s="199"/>
      <c r="J400" s="199"/>
      <c r="K400" s="199"/>
      <c r="L400" s="199"/>
      <c r="M400" s="199"/>
      <c r="N400" s="199"/>
      <c r="O400" s="199"/>
      <c r="P400" s="199"/>
      <c r="Q400" s="199"/>
      <c r="R400" s="199"/>
      <c r="S400" s="199"/>
    </row>
    <row r="401" spans="4:19">
      <c r="D401" s="199"/>
      <c r="E401" s="199"/>
      <c r="F401" s="199"/>
      <c r="G401" s="199"/>
      <c r="H401" s="199"/>
      <c r="I401" s="199"/>
      <c r="J401" s="199"/>
      <c r="K401" s="199"/>
      <c r="L401" s="199"/>
      <c r="M401" s="199"/>
      <c r="N401" s="199"/>
      <c r="O401" s="199"/>
      <c r="P401" s="199"/>
      <c r="Q401" s="199"/>
      <c r="R401" s="199"/>
      <c r="S401" s="199"/>
    </row>
    <row r="402" spans="4:19">
      <c r="D402" s="199"/>
      <c r="E402" s="199"/>
      <c r="F402" s="199"/>
      <c r="G402" s="199"/>
      <c r="H402" s="199"/>
      <c r="I402" s="199"/>
      <c r="J402" s="199"/>
      <c r="K402" s="199"/>
      <c r="L402" s="199"/>
      <c r="M402" s="199"/>
      <c r="N402" s="199"/>
      <c r="O402" s="199"/>
      <c r="P402" s="199"/>
      <c r="Q402" s="199"/>
      <c r="R402" s="199"/>
      <c r="S402" s="199"/>
    </row>
    <row r="403" spans="4:19">
      <c r="D403" s="199"/>
      <c r="E403" s="199"/>
      <c r="F403" s="199"/>
      <c r="G403" s="199"/>
      <c r="H403" s="199"/>
      <c r="I403" s="199"/>
      <c r="J403" s="199"/>
      <c r="K403" s="199"/>
      <c r="L403" s="199"/>
      <c r="M403" s="199"/>
      <c r="N403" s="199"/>
      <c r="O403" s="199"/>
      <c r="P403" s="199"/>
      <c r="Q403" s="199"/>
      <c r="R403" s="199"/>
      <c r="S403" s="199"/>
    </row>
    <row r="404" spans="4:19">
      <c r="D404" s="199"/>
      <c r="E404" s="199"/>
      <c r="F404" s="199"/>
      <c r="G404" s="199"/>
      <c r="H404" s="199"/>
      <c r="I404" s="199"/>
      <c r="J404" s="199"/>
      <c r="K404" s="199"/>
      <c r="L404" s="199"/>
      <c r="M404" s="199"/>
      <c r="N404" s="199"/>
      <c r="O404" s="199"/>
      <c r="P404" s="199"/>
      <c r="Q404" s="199"/>
      <c r="R404" s="199"/>
      <c r="S404" s="199"/>
    </row>
    <row r="405" spans="4:19">
      <c r="D405" s="199"/>
      <c r="E405" s="199"/>
      <c r="F405" s="199"/>
      <c r="G405" s="199"/>
      <c r="H405" s="199"/>
      <c r="I405" s="199"/>
      <c r="J405" s="199"/>
      <c r="K405" s="199"/>
      <c r="L405" s="199"/>
      <c r="M405" s="199"/>
      <c r="N405" s="199"/>
      <c r="O405" s="199"/>
      <c r="P405" s="199"/>
      <c r="Q405" s="199"/>
      <c r="R405" s="199"/>
      <c r="S405" s="199"/>
    </row>
    <row r="406" spans="4:19">
      <c r="D406" s="199"/>
      <c r="E406" s="199"/>
      <c r="F406" s="199"/>
      <c r="G406" s="199"/>
      <c r="H406" s="199"/>
      <c r="I406" s="199"/>
      <c r="J406" s="199"/>
      <c r="K406" s="199"/>
      <c r="L406" s="199"/>
      <c r="M406" s="199"/>
      <c r="N406" s="199"/>
      <c r="O406" s="199"/>
      <c r="P406" s="199"/>
      <c r="Q406" s="199"/>
      <c r="R406" s="199"/>
      <c r="S406" s="199"/>
    </row>
    <row r="407" spans="4:19">
      <c r="D407" s="199"/>
      <c r="E407" s="199"/>
      <c r="F407" s="199"/>
      <c r="G407" s="199"/>
      <c r="H407" s="199"/>
      <c r="I407" s="199"/>
      <c r="J407" s="199"/>
      <c r="K407" s="199"/>
      <c r="L407" s="199"/>
      <c r="M407" s="199"/>
      <c r="N407" s="199"/>
      <c r="O407" s="199"/>
      <c r="P407" s="199"/>
      <c r="Q407" s="199"/>
      <c r="R407" s="199"/>
      <c r="S407" s="199"/>
    </row>
    <row r="408" spans="4:19">
      <c r="D408" s="199"/>
      <c r="E408" s="199"/>
      <c r="F408" s="199"/>
      <c r="G408" s="199"/>
      <c r="H408" s="199"/>
      <c r="I408" s="199"/>
      <c r="J408" s="199"/>
      <c r="K408" s="199"/>
      <c r="L408" s="199"/>
      <c r="M408" s="199"/>
      <c r="N408" s="199"/>
      <c r="O408" s="199"/>
      <c r="P408" s="199"/>
      <c r="Q408" s="199"/>
      <c r="R408" s="199"/>
      <c r="S408" s="199"/>
    </row>
    <row r="409" spans="4:19">
      <c r="D409" s="199"/>
      <c r="E409" s="199"/>
      <c r="F409" s="199"/>
      <c r="G409" s="199"/>
      <c r="H409" s="199"/>
      <c r="I409" s="199"/>
      <c r="J409" s="199"/>
      <c r="K409" s="199"/>
      <c r="L409" s="199"/>
      <c r="M409" s="199"/>
      <c r="N409" s="199"/>
      <c r="O409" s="199"/>
      <c r="P409" s="199"/>
      <c r="Q409" s="199"/>
      <c r="R409" s="199"/>
      <c r="S409" s="199"/>
    </row>
    <row r="410" spans="4:19">
      <c r="D410" s="199"/>
      <c r="E410" s="199"/>
      <c r="F410" s="199"/>
      <c r="G410" s="199"/>
      <c r="H410" s="199"/>
      <c r="I410" s="199"/>
      <c r="J410" s="199"/>
      <c r="K410" s="199"/>
      <c r="L410" s="199"/>
      <c r="M410" s="199"/>
      <c r="N410" s="199"/>
      <c r="O410" s="199"/>
      <c r="P410" s="199"/>
      <c r="Q410" s="199"/>
      <c r="R410" s="199"/>
      <c r="S410" s="199"/>
    </row>
    <row r="411" spans="4:19">
      <c r="D411" s="199"/>
      <c r="E411" s="199"/>
      <c r="F411" s="199"/>
      <c r="G411" s="199"/>
      <c r="H411" s="199"/>
      <c r="I411" s="199"/>
      <c r="J411" s="199"/>
      <c r="K411" s="199"/>
      <c r="L411" s="199"/>
      <c r="M411" s="199"/>
      <c r="N411" s="199"/>
      <c r="O411" s="199"/>
      <c r="P411" s="199"/>
      <c r="Q411" s="199"/>
      <c r="R411" s="199"/>
      <c r="S411" s="199"/>
    </row>
    <row r="412" spans="4:19">
      <c r="D412" s="199"/>
      <c r="E412" s="199"/>
      <c r="F412" s="199"/>
      <c r="G412" s="199"/>
      <c r="H412" s="199"/>
      <c r="I412" s="199"/>
      <c r="J412" s="199"/>
      <c r="K412" s="199"/>
      <c r="L412" s="199"/>
      <c r="M412" s="199"/>
      <c r="N412" s="199"/>
      <c r="O412" s="199"/>
      <c r="P412" s="199"/>
      <c r="Q412" s="199"/>
      <c r="R412" s="199"/>
      <c r="S412" s="199"/>
    </row>
    <row r="413" spans="4:19">
      <c r="D413" s="199"/>
      <c r="E413" s="199"/>
      <c r="F413" s="199"/>
      <c r="G413" s="199"/>
      <c r="H413" s="199"/>
      <c r="I413" s="199"/>
      <c r="J413" s="199"/>
      <c r="K413" s="199"/>
      <c r="L413" s="199"/>
      <c r="M413" s="199"/>
      <c r="N413" s="199"/>
      <c r="O413" s="199"/>
      <c r="P413" s="199"/>
      <c r="Q413" s="199"/>
      <c r="R413" s="199"/>
      <c r="S413" s="199"/>
    </row>
    <row r="414" spans="4:19">
      <c r="D414" s="199"/>
      <c r="E414" s="199"/>
      <c r="F414" s="199"/>
      <c r="G414" s="199"/>
      <c r="H414" s="199"/>
      <c r="I414" s="199"/>
      <c r="J414" s="199"/>
      <c r="K414" s="199"/>
      <c r="L414" s="199"/>
      <c r="M414" s="199"/>
      <c r="N414" s="199"/>
      <c r="O414" s="199"/>
      <c r="P414" s="199"/>
      <c r="Q414" s="199"/>
      <c r="R414" s="199"/>
      <c r="S414" s="199"/>
    </row>
    <row r="415" spans="4:19">
      <c r="D415" s="199"/>
      <c r="E415" s="199"/>
      <c r="F415" s="199"/>
      <c r="G415" s="199"/>
      <c r="H415" s="199"/>
      <c r="I415" s="199"/>
      <c r="J415" s="199"/>
      <c r="K415" s="199"/>
      <c r="L415" s="199"/>
      <c r="M415" s="199"/>
      <c r="N415" s="199"/>
      <c r="O415" s="199"/>
      <c r="P415" s="199"/>
      <c r="Q415" s="199"/>
      <c r="R415" s="199"/>
      <c r="S415" s="199"/>
    </row>
    <row r="416" spans="4:19">
      <c r="D416" s="199"/>
      <c r="E416" s="199"/>
      <c r="F416" s="199"/>
      <c r="G416" s="199"/>
      <c r="H416" s="199"/>
      <c r="I416" s="199"/>
      <c r="J416" s="199"/>
      <c r="K416" s="199"/>
      <c r="L416" s="199"/>
      <c r="M416" s="199"/>
      <c r="N416" s="199"/>
      <c r="O416" s="199"/>
      <c r="P416" s="199"/>
      <c r="Q416" s="199"/>
      <c r="R416" s="199"/>
      <c r="S416" s="199"/>
    </row>
    <row r="417" spans="4:19">
      <c r="D417" s="199"/>
      <c r="E417" s="199"/>
      <c r="F417" s="199"/>
      <c r="G417" s="199"/>
      <c r="H417" s="199"/>
      <c r="I417" s="199"/>
      <c r="J417" s="199"/>
      <c r="K417" s="199"/>
      <c r="L417" s="199"/>
      <c r="M417" s="199"/>
      <c r="N417" s="199"/>
      <c r="O417" s="199"/>
      <c r="P417" s="199"/>
      <c r="Q417" s="199"/>
      <c r="R417" s="199"/>
      <c r="S417" s="199"/>
    </row>
    <row r="418" spans="4:19">
      <c r="D418" s="199"/>
      <c r="E418" s="199"/>
      <c r="F418" s="199"/>
      <c r="G418" s="199"/>
      <c r="H418" s="199"/>
      <c r="I418" s="199"/>
      <c r="J418" s="199"/>
      <c r="K418" s="199"/>
      <c r="L418" s="199"/>
      <c r="M418" s="199"/>
      <c r="N418" s="199"/>
      <c r="O418" s="199"/>
      <c r="P418" s="199"/>
      <c r="Q418" s="199"/>
      <c r="R418" s="199"/>
      <c r="S418" s="199"/>
    </row>
    <row r="419" spans="4:19">
      <c r="D419" s="199"/>
      <c r="E419" s="199"/>
      <c r="F419" s="199"/>
      <c r="G419" s="199"/>
      <c r="H419" s="199"/>
      <c r="I419" s="199"/>
      <c r="J419" s="199"/>
      <c r="K419" s="199"/>
      <c r="L419" s="199"/>
      <c r="M419" s="199"/>
      <c r="N419" s="199"/>
      <c r="O419" s="199"/>
      <c r="P419" s="199"/>
      <c r="Q419" s="199"/>
      <c r="R419" s="199"/>
      <c r="S419" s="199"/>
    </row>
    <row r="420" spans="4:19">
      <c r="D420" s="199"/>
      <c r="E420" s="199"/>
      <c r="F420" s="199"/>
      <c r="G420" s="199"/>
      <c r="H420" s="199"/>
      <c r="I420" s="199"/>
      <c r="J420" s="199"/>
      <c r="K420" s="199"/>
      <c r="L420" s="199"/>
      <c r="M420" s="199"/>
      <c r="N420" s="199"/>
      <c r="O420" s="199"/>
      <c r="P420" s="199"/>
      <c r="Q420" s="199"/>
      <c r="R420" s="199"/>
      <c r="S420" s="199"/>
    </row>
    <row r="421" spans="4:19">
      <c r="D421" s="199"/>
      <c r="E421" s="199"/>
      <c r="F421" s="199"/>
      <c r="G421" s="199"/>
      <c r="H421" s="199"/>
      <c r="I421" s="199"/>
      <c r="J421" s="199"/>
      <c r="K421" s="199"/>
      <c r="L421" s="199"/>
      <c r="M421" s="199"/>
      <c r="N421" s="199"/>
      <c r="O421" s="199"/>
      <c r="P421" s="199"/>
      <c r="Q421" s="199"/>
      <c r="R421" s="199"/>
      <c r="S421" s="199"/>
    </row>
    <row r="422" spans="4:19">
      <c r="D422" s="199"/>
      <c r="E422" s="199"/>
      <c r="F422" s="199"/>
      <c r="G422" s="199"/>
      <c r="H422" s="199"/>
      <c r="I422" s="199"/>
      <c r="J422" s="199"/>
      <c r="K422" s="199"/>
      <c r="L422" s="199"/>
      <c r="M422" s="199"/>
      <c r="N422" s="199"/>
      <c r="O422" s="199"/>
      <c r="P422" s="199"/>
      <c r="Q422" s="199"/>
      <c r="R422" s="199"/>
      <c r="S422" s="199"/>
    </row>
    <row r="423" spans="4:19">
      <c r="D423" s="199"/>
      <c r="E423" s="199"/>
      <c r="F423" s="199"/>
      <c r="G423" s="199"/>
      <c r="H423" s="199"/>
      <c r="I423" s="199"/>
      <c r="J423" s="199"/>
      <c r="K423" s="199"/>
      <c r="L423" s="199"/>
      <c r="M423" s="199"/>
      <c r="N423" s="199"/>
      <c r="O423" s="199"/>
      <c r="P423" s="199"/>
      <c r="Q423" s="199"/>
      <c r="R423" s="199"/>
      <c r="S423" s="199"/>
    </row>
    <row r="424" spans="4:19">
      <c r="D424" s="199"/>
      <c r="E424" s="199"/>
      <c r="F424" s="199"/>
      <c r="G424" s="199"/>
      <c r="H424" s="199"/>
      <c r="I424" s="199"/>
      <c r="J424" s="199"/>
      <c r="K424" s="199"/>
      <c r="L424" s="199"/>
      <c r="M424" s="199"/>
      <c r="N424" s="199"/>
      <c r="O424" s="199"/>
      <c r="P424" s="199"/>
      <c r="Q424" s="199"/>
      <c r="R424" s="199"/>
      <c r="S424" s="199"/>
    </row>
    <row r="425" spans="4:19">
      <c r="D425" s="199"/>
      <c r="E425" s="199"/>
      <c r="F425" s="199"/>
      <c r="G425" s="199"/>
      <c r="H425" s="199"/>
      <c r="I425" s="199"/>
      <c r="J425" s="199"/>
      <c r="K425" s="199"/>
      <c r="L425" s="199"/>
      <c r="M425" s="199"/>
      <c r="N425" s="199"/>
      <c r="O425" s="199"/>
      <c r="P425" s="199"/>
      <c r="Q425" s="199"/>
      <c r="R425" s="199"/>
      <c r="S425" s="199"/>
    </row>
    <row r="426" spans="4:19">
      <c r="D426" s="199"/>
      <c r="E426" s="199"/>
      <c r="F426" s="199"/>
      <c r="G426" s="199"/>
      <c r="H426" s="199"/>
      <c r="I426" s="199"/>
      <c r="J426" s="199"/>
      <c r="K426" s="199"/>
      <c r="L426" s="199"/>
      <c r="M426" s="199"/>
      <c r="N426" s="199"/>
      <c r="O426" s="199"/>
      <c r="P426" s="199"/>
      <c r="Q426" s="199"/>
      <c r="R426" s="199"/>
      <c r="S426" s="199"/>
    </row>
    <row r="427" spans="4:19">
      <c r="D427" s="199"/>
      <c r="E427" s="199"/>
      <c r="F427" s="199"/>
      <c r="G427" s="199"/>
      <c r="H427" s="199"/>
      <c r="I427" s="199"/>
      <c r="J427" s="199"/>
      <c r="K427" s="199"/>
      <c r="L427" s="199"/>
      <c r="M427" s="199"/>
      <c r="N427" s="199"/>
      <c r="O427" s="199"/>
      <c r="P427" s="199"/>
      <c r="Q427" s="199"/>
      <c r="R427" s="199"/>
      <c r="S427" s="199"/>
    </row>
    <row r="428" spans="4:19">
      <c r="D428" s="199"/>
      <c r="E428" s="199"/>
      <c r="F428" s="199"/>
      <c r="G428" s="199"/>
      <c r="H428" s="199"/>
      <c r="I428" s="199"/>
      <c r="J428" s="199"/>
      <c r="K428" s="199"/>
      <c r="L428" s="199"/>
      <c r="M428" s="199"/>
      <c r="N428" s="199"/>
      <c r="O428" s="199"/>
      <c r="P428" s="199"/>
      <c r="Q428" s="199"/>
      <c r="R428" s="199"/>
      <c r="S428" s="199"/>
    </row>
    <row r="429" spans="4:19">
      <c r="D429" s="199"/>
      <c r="E429" s="199"/>
      <c r="F429" s="199"/>
      <c r="G429" s="199"/>
      <c r="H429" s="199"/>
      <c r="I429" s="199"/>
      <c r="J429" s="199"/>
      <c r="K429" s="199"/>
      <c r="L429" s="199"/>
      <c r="M429" s="199"/>
      <c r="N429" s="199"/>
      <c r="O429" s="199"/>
      <c r="P429" s="199"/>
      <c r="Q429" s="199"/>
      <c r="R429" s="199"/>
      <c r="S429" s="199"/>
    </row>
    <row r="430" spans="4:19">
      <c r="D430" s="199"/>
      <c r="E430" s="199"/>
      <c r="F430" s="199"/>
      <c r="G430" s="199"/>
      <c r="H430" s="199"/>
      <c r="I430" s="199"/>
      <c r="J430" s="199"/>
      <c r="K430" s="199"/>
      <c r="L430" s="199"/>
      <c r="M430" s="199"/>
      <c r="N430" s="199"/>
      <c r="O430" s="199"/>
      <c r="P430" s="199"/>
      <c r="Q430" s="199"/>
      <c r="R430" s="199"/>
      <c r="S430" s="199"/>
    </row>
    <row r="431" spans="4:19">
      <c r="D431" s="199"/>
      <c r="E431" s="199"/>
      <c r="F431" s="199"/>
      <c r="G431" s="199"/>
      <c r="H431" s="199"/>
      <c r="I431" s="199"/>
      <c r="J431" s="199"/>
      <c r="K431" s="199"/>
      <c r="L431" s="199"/>
      <c r="M431" s="199"/>
      <c r="N431" s="199"/>
      <c r="O431" s="199"/>
      <c r="P431" s="199"/>
      <c r="Q431" s="199"/>
      <c r="R431" s="199"/>
      <c r="S431" s="199"/>
    </row>
    <row r="432" spans="4:19">
      <c r="D432" s="199"/>
      <c r="E432" s="199"/>
      <c r="F432" s="199"/>
      <c r="G432" s="199"/>
      <c r="H432" s="199"/>
      <c r="I432" s="199"/>
      <c r="J432" s="199"/>
      <c r="K432" s="199"/>
      <c r="L432" s="199"/>
      <c r="M432" s="199"/>
      <c r="N432" s="199"/>
      <c r="O432" s="199"/>
      <c r="P432" s="199"/>
      <c r="Q432" s="199"/>
      <c r="R432" s="199"/>
      <c r="S432" s="199"/>
    </row>
    <row r="433" spans="4:19">
      <c r="D433" s="199"/>
      <c r="E433" s="199"/>
      <c r="F433" s="199"/>
      <c r="G433" s="199"/>
      <c r="H433" s="199"/>
      <c r="I433" s="199"/>
      <c r="J433" s="199"/>
      <c r="K433" s="199"/>
      <c r="L433" s="199"/>
      <c r="M433" s="199"/>
      <c r="N433" s="199"/>
      <c r="O433" s="199"/>
      <c r="P433" s="199"/>
      <c r="Q433" s="199"/>
      <c r="R433" s="199"/>
      <c r="S433" s="199"/>
    </row>
    <row r="434" spans="4:19">
      <c r="D434" s="199"/>
      <c r="E434" s="199"/>
      <c r="F434" s="199"/>
      <c r="G434" s="199"/>
      <c r="H434" s="199"/>
      <c r="I434" s="199"/>
      <c r="J434" s="199"/>
      <c r="K434" s="199"/>
      <c r="L434" s="199"/>
      <c r="M434" s="199"/>
      <c r="N434" s="199"/>
      <c r="O434" s="199"/>
      <c r="P434" s="199"/>
      <c r="Q434" s="199"/>
      <c r="R434" s="199"/>
      <c r="S434" s="199"/>
    </row>
    <row r="435" spans="4:19">
      <c r="D435" s="199"/>
      <c r="E435" s="199"/>
      <c r="F435" s="199"/>
      <c r="G435" s="199"/>
      <c r="H435" s="199"/>
      <c r="I435" s="199"/>
      <c r="J435" s="199"/>
      <c r="K435" s="199"/>
      <c r="L435" s="199"/>
      <c r="M435" s="199"/>
      <c r="N435" s="199"/>
      <c r="O435" s="199"/>
      <c r="P435" s="199"/>
      <c r="Q435" s="199"/>
      <c r="R435" s="199"/>
      <c r="S435" s="199"/>
    </row>
    <row r="436" spans="4:19">
      <c r="D436" s="199"/>
      <c r="E436" s="199"/>
      <c r="F436" s="199"/>
      <c r="G436" s="199"/>
      <c r="H436" s="199"/>
      <c r="I436" s="199"/>
      <c r="J436" s="199"/>
      <c r="K436" s="199"/>
      <c r="L436" s="199"/>
      <c r="M436" s="199"/>
      <c r="N436" s="199"/>
      <c r="O436" s="199"/>
      <c r="P436" s="199"/>
      <c r="Q436" s="199"/>
      <c r="R436" s="199"/>
      <c r="S436" s="199"/>
    </row>
    <row r="437" spans="4:19">
      <c r="D437" s="199"/>
      <c r="E437" s="199"/>
      <c r="F437" s="199"/>
      <c r="G437" s="199"/>
      <c r="H437" s="199"/>
      <c r="I437" s="199"/>
      <c r="J437" s="199"/>
      <c r="K437" s="199"/>
      <c r="L437" s="199"/>
      <c r="M437" s="199"/>
      <c r="N437" s="199"/>
      <c r="O437" s="199"/>
      <c r="P437" s="199"/>
      <c r="Q437" s="199"/>
      <c r="R437" s="199"/>
      <c r="S437" s="199"/>
    </row>
    <row r="438" spans="4:19">
      <c r="D438" s="199"/>
      <c r="E438" s="199"/>
      <c r="F438" s="199"/>
      <c r="G438" s="199"/>
      <c r="H438" s="199"/>
      <c r="I438" s="199"/>
      <c r="J438" s="199"/>
      <c r="K438" s="199"/>
      <c r="L438" s="199"/>
      <c r="M438" s="199"/>
      <c r="N438" s="199"/>
      <c r="O438" s="199"/>
      <c r="P438" s="199"/>
      <c r="Q438" s="199"/>
      <c r="R438" s="199"/>
      <c r="S438" s="199"/>
    </row>
    <row r="439" spans="4:19">
      <c r="D439" s="199"/>
      <c r="E439" s="199"/>
      <c r="F439" s="199"/>
      <c r="G439" s="199"/>
      <c r="H439" s="199"/>
      <c r="I439" s="199"/>
      <c r="J439" s="199"/>
      <c r="K439" s="199"/>
      <c r="L439" s="199"/>
      <c r="M439" s="199"/>
      <c r="N439" s="199"/>
      <c r="O439" s="199"/>
      <c r="P439" s="199"/>
      <c r="Q439" s="199"/>
      <c r="R439" s="199"/>
      <c r="S439" s="199"/>
    </row>
    <row r="440" spans="4:19">
      <c r="D440" s="199"/>
      <c r="E440" s="199"/>
      <c r="F440" s="199"/>
      <c r="G440" s="199"/>
      <c r="H440" s="199"/>
      <c r="I440" s="199"/>
      <c r="J440" s="199"/>
      <c r="K440" s="199"/>
      <c r="L440" s="199"/>
      <c r="M440" s="199"/>
      <c r="N440" s="199"/>
      <c r="O440" s="199"/>
      <c r="P440" s="199"/>
      <c r="Q440" s="199"/>
      <c r="R440" s="199"/>
      <c r="S440" s="199"/>
    </row>
    <row r="441" spans="4:19">
      <c r="D441" s="199"/>
      <c r="E441" s="199"/>
      <c r="F441" s="199"/>
      <c r="G441" s="199"/>
      <c r="H441" s="199"/>
      <c r="I441" s="199"/>
      <c r="J441" s="199"/>
      <c r="K441" s="199"/>
      <c r="L441" s="199"/>
      <c r="M441" s="199"/>
      <c r="N441" s="199"/>
      <c r="O441" s="199"/>
      <c r="P441" s="199"/>
      <c r="Q441" s="199"/>
      <c r="R441" s="199"/>
      <c r="S441" s="199"/>
    </row>
    <row r="442" spans="4:19">
      <c r="D442" s="199"/>
      <c r="E442" s="199"/>
      <c r="F442" s="199"/>
      <c r="G442" s="199"/>
      <c r="H442" s="199"/>
      <c r="I442" s="199"/>
      <c r="J442" s="199"/>
      <c r="K442" s="199"/>
      <c r="L442" s="199"/>
      <c r="M442" s="199"/>
      <c r="N442" s="199"/>
      <c r="O442" s="199"/>
      <c r="P442" s="199"/>
      <c r="Q442" s="199"/>
      <c r="R442" s="199"/>
      <c r="S442" s="199"/>
    </row>
    <row r="443" spans="4:19">
      <c r="D443" s="199"/>
      <c r="E443" s="199"/>
      <c r="F443" s="199"/>
      <c r="G443" s="199"/>
      <c r="H443" s="199"/>
      <c r="I443" s="199"/>
      <c r="J443" s="199"/>
      <c r="K443" s="199"/>
      <c r="L443" s="199"/>
      <c r="M443" s="199"/>
      <c r="N443" s="199"/>
      <c r="O443" s="199"/>
      <c r="P443" s="199"/>
      <c r="Q443" s="199"/>
      <c r="R443" s="199"/>
      <c r="S443" s="199"/>
    </row>
    <row r="444" spans="4:19">
      <c r="D444" s="199"/>
      <c r="E444" s="199"/>
      <c r="F444" s="199"/>
      <c r="G444" s="199"/>
      <c r="H444" s="199"/>
      <c r="I444" s="199"/>
      <c r="J444" s="199"/>
      <c r="K444" s="199"/>
      <c r="L444" s="199"/>
      <c r="M444" s="199"/>
      <c r="N444" s="199"/>
      <c r="O444" s="199"/>
      <c r="P444" s="199"/>
      <c r="Q444" s="199"/>
      <c r="R444" s="199"/>
      <c r="S444" s="199"/>
    </row>
    <row r="445" spans="4:19">
      <c r="D445" s="199"/>
      <c r="E445" s="199"/>
      <c r="F445" s="199"/>
      <c r="G445" s="199"/>
      <c r="H445" s="199"/>
      <c r="I445" s="199"/>
      <c r="J445" s="199"/>
      <c r="K445" s="199"/>
      <c r="L445" s="199"/>
      <c r="M445" s="199"/>
      <c r="N445" s="199"/>
      <c r="O445" s="199"/>
      <c r="P445" s="199"/>
      <c r="Q445" s="199"/>
      <c r="R445" s="199"/>
      <c r="S445" s="199"/>
    </row>
    <row r="446" spans="4:19">
      <c r="D446" s="199"/>
      <c r="E446" s="199"/>
      <c r="F446" s="199"/>
      <c r="G446" s="199"/>
      <c r="H446" s="199"/>
      <c r="I446" s="199"/>
      <c r="J446" s="199"/>
      <c r="K446" s="199"/>
      <c r="L446" s="199"/>
      <c r="M446" s="199"/>
      <c r="N446" s="199"/>
      <c r="O446" s="199"/>
      <c r="P446" s="199"/>
      <c r="Q446" s="199"/>
      <c r="R446" s="199"/>
      <c r="S446" s="199"/>
    </row>
    <row r="447" spans="4:19">
      <c r="D447" s="199"/>
      <c r="E447" s="199"/>
      <c r="F447" s="199"/>
      <c r="G447" s="199"/>
      <c r="H447" s="199"/>
      <c r="I447" s="199"/>
      <c r="J447" s="199"/>
      <c r="K447" s="199"/>
      <c r="L447" s="199"/>
      <c r="M447" s="199"/>
      <c r="N447" s="199"/>
      <c r="O447" s="199"/>
      <c r="P447" s="199"/>
      <c r="Q447" s="199"/>
      <c r="R447" s="199"/>
      <c r="S447" s="199"/>
    </row>
    <row r="448" spans="4:19">
      <c r="D448" s="199"/>
      <c r="E448" s="199"/>
      <c r="F448" s="199"/>
      <c r="G448" s="199"/>
      <c r="H448" s="199"/>
      <c r="I448" s="199"/>
      <c r="J448" s="199"/>
      <c r="K448" s="199"/>
      <c r="L448" s="199"/>
      <c r="M448" s="199"/>
      <c r="N448" s="199"/>
      <c r="O448" s="199"/>
      <c r="P448" s="199"/>
      <c r="Q448" s="199"/>
      <c r="R448" s="199"/>
      <c r="S448" s="199"/>
    </row>
    <row r="449" spans="4:19">
      <c r="D449" s="199"/>
      <c r="E449" s="199"/>
      <c r="F449" s="199"/>
      <c r="G449" s="199"/>
      <c r="H449" s="199"/>
      <c r="I449" s="199"/>
      <c r="J449" s="199"/>
      <c r="K449" s="199"/>
      <c r="L449" s="199"/>
      <c r="M449" s="199"/>
      <c r="N449" s="199"/>
      <c r="O449" s="199"/>
      <c r="P449" s="199"/>
      <c r="Q449" s="199"/>
      <c r="R449" s="199"/>
      <c r="S449" s="199"/>
    </row>
    <row r="450" spans="4:19">
      <c r="D450" s="199"/>
      <c r="E450" s="199"/>
      <c r="F450" s="199"/>
      <c r="G450" s="199"/>
      <c r="H450" s="199"/>
      <c r="I450" s="199"/>
      <c r="J450" s="199"/>
      <c r="K450" s="199"/>
      <c r="L450" s="199"/>
      <c r="M450" s="199"/>
      <c r="N450" s="199"/>
      <c r="O450" s="199"/>
      <c r="P450" s="199"/>
      <c r="Q450" s="199"/>
      <c r="R450" s="199"/>
      <c r="S450" s="199"/>
    </row>
    <row r="451" spans="4:19">
      <c r="D451" s="199"/>
      <c r="E451" s="199"/>
      <c r="F451" s="199"/>
      <c r="G451" s="199"/>
      <c r="H451" s="199"/>
      <c r="I451" s="199"/>
      <c r="J451" s="199"/>
      <c r="K451" s="199"/>
      <c r="L451" s="199"/>
      <c r="M451" s="199"/>
      <c r="N451" s="199"/>
      <c r="O451" s="199"/>
      <c r="P451" s="199"/>
      <c r="Q451" s="199"/>
      <c r="R451" s="199"/>
      <c r="S451" s="199"/>
    </row>
    <row r="452" spans="4:19">
      <c r="D452" s="199"/>
      <c r="E452" s="199"/>
      <c r="F452" s="199"/>
      <c r="G452" s="199"/>
      <c r="H452" s="199"/>
      <c r="I452" s="199"/>
      <c r="J452" s="199"/>
      <c r="K452" s="199"/>
      <c r="L452" s="199"/>
      <c r="M452" s="199"/>
      <c r="N452" s="199"/>
      <c r="O452" s="199"/>
      <c r="P452" s="199"/>
      <c r="Q452" s="199"/>
      <c r="R452" s="199"/>
      <c r="S452" s="199"/>
    </row>
    <row r="453" spans="4:19">
      <c r="D453" s="199"/>
      <c r="E453" s="199"/>
      <c r="F453" s="199"/>
      <c r="G453" s="199"/>
      <c r="H453" s="199"/>
      <c r="I453" s="199"/>
      <c r="J453" s="199"/>
      <c r="K453" s="199"/>
      <c r="L453" s="199"/>
      <c r="M453" s="199"/>
      <c r="N453" s="199"/>
      <c r="O453" s="199"/>
      <c r="P453" s="199"/>
      <c r="Q453" s="199"/>
      <c r="R453" s="199"/>
      <c r="S453" s="199"/>
    </row>
    <row r="454" spans="4:19">
      <c r="D454" s="199"/>
      <c r="E454" s="199"/>
      <c r="F454" s="199"/>
      <c r="G454" s="199"/>
      <c r="H454" s="199"/>
      <c r="I454" s="199"/>
      <c r="J454" s="199"/>
      <c r="K454" s="199"/>
      <c r="L454" s="199"/>
      <c r="M454" s="199"/>
      <c r="N454" s="199"/>
      <c r="O454" s="199"/>
      <c r="P454" s="199"/>
      <c r="Q454" s="199"/>
      <c r="R454" s="199"/>
      <c r="S454" s="199"/>
    </row>
    <row r="455" spans="4:19">
      <c r="D455" s="199"/>
      <c r="E455" s="199"/>
      <c r="F455" s="199"/>
      <c r="G455" s="199"/>
      <c r="H455" s="199"/>
      <c r="I455" s="199"/>
      <c r="J455" s="199"/>
      <c r="K455" s="199"/>
      <c r="L455" s="199"/>
      <c r="M455" s="199"/>
      <c r="N455" s="199"/>
      <c r="O455" s="199"/>
      <c r="P455" s="199"/>
      <c r="Q455" s="199"/>
      <c r="R455" s="199"/>
      <c r="S455" s="199"/>
    </row>
    <row r="456" spans="4:19">
      <c r="D456" s="199"/>
      <c r="E456" s="199"/>
      <c r="F456" s="199"/>
      <c r="G456" s="199"/>
      <c r="H456" s="199"/>
      <c r="I456" s="199"/>
      <c r="J456" s="199"/>
      <c r="K456" s="199"/>
      <c r="L456" s="199"/>
      <c r="M456" s="199"/>
      <c r="N456" s="199"/>
      <c r="O456" s="199"/>
      <c r="P456" s="199"/>
      <c r="Q456" s="199"/>
      <c r="R456" s="199"/>
      <c r="S456" s="199"/>
    </row>
    <row r="457" spans="4:19">
      <c r="D457" s="199"/>
      <c r="E457" s="199"/>
      <c r="F457" s="199"/>
      <c r="G457" s="199"/>
      <c r="H457" s="199"/>
      <c r="I457" s="199"/>
      <c r="J457" s="199"/>
      <c r="K457" s="199"/>
      <c r="L457" s="199"/>
      <c r="M457" s="199"/>
      <c r="N457" s="199"/>
      <c r="O457" s="199"/>
      <c r="P457" s="199"/>
      <c r="Q457" s="199"/>
      <c r="R457" s="199"/>
      <c r="S457" s="199"/>
    </row>
    <row r="458" spans="4:19">
      <c r="D458" s="199"/>
      <c r="E458" s="199"/>
      <c r="F458" s="199"/>
      <c r="G458" s="199"/>
      <c r="H458" s="199"/>
      <c r="I458" s="199"/>
      <c r="J458" s="199"/>
      <c r="K458" s="199"/>
      <c r="L458" s="199"/>
      <c r="M458" s="199"/>
      <c r="N458" s="199"/>
      <c r="O458" s="199"/>
      <c r="P458" s="199"/>
      <c r="Q458" s="199"/>
      <c r="R458" s="199"/>
      <c r="S458" s="199"/>
    </row>
    <row r="459" spans="4:19">
      <c r="D459" s="199"/>
      <c r="E459" s="199"/>
      <c r="F459" s="199"/>
      <c r="G459" s="199"/>
      <c r="H459" s="199"/>
      <c r="I459" s="199"/>
      <c r="J459" s="199"/>
      <c r="K459" s="199"/>
      <c r="L459" s="199"/>
      <c r="M459" s="199"/>
      <c r="N459" s="199"/>
      <c r="O459" s="199"/>
      <c r="P459" s="199"/>
      <c r="Q459" s="199"/>
      <c r="R459" s="199"/>
      <c r="S459" s="199"/>
    </row>
    <row r="460" spans="4:19">
      <c r="D460" s="199"/>
      <c r="E460" s="199"/>
      <c r="F460" s="199"/>
      <c r="G460" s="199"/>
      <c r="H460" s="199"/>
      <c r="I460" s="199"/>
      <c r="J460" s="199"/>
      <c r="K460" s="199"/>
      <c r="L460" s="199"/>
      <c r="M460" s="199"/>
      <c r="N460" s="199"/>
      <c r="O460" s="199"/>
      <c r="P460" s="199"/>
      <c r="Q460" s="199"/>
      <c r="R460" s="199"/>
      <c r="S460" s="199"/>
    </row>
    <row r="461" spans="4:19">
      <c r="D461" s="199"/>
      <c r="E461" s="199"/>
      <c r="F461" s="199"/>
      <c r="G461" s="199"/>
      <c r="H461" s="199"/>
      <c r="I461" s="199"/>
      <c r="J461" s="199"/>
      <c r="K461" s="199"/>
      <c r="L461" s="199"/>
      <c r="M461" s="199"/>
      <c r="N461" s="199"/>
      <c r="O461" s="199"/>
      <c r="P461" s="199"/>
      <c r="Q461" s="199"/>
      <c r="R461" s="199"/>
      <c r="S461" s="199"/>
    </row>
    <row r="462" spans="4:19">
      <c r="D462" s="199"/>
      <c r="E462" s="199"/>
      <c r="F462" s="199"/>
      <c r="G462" s="199"/>
      <c r="H462" s="199"/>
      <c r="I462" s="199"/>
      <c r="J462" s="199"/>
      <c r="K462" s="199"/>
      <c r="L462" s="199"/>
      <c r="M462" s="199"/>
      <c r="N462" s="199"/>
      <c r="O462" s="199"/>
      <c r="P462" s="199"/>
      <c r="Q462" s="199"/>
      <c r="R462" s="199"/>
      <c r="S462" s="199"/>
    </row>
    <row r="463" spans="4:19">
      <c r="D463" s="199"/>
      <c r="E463" s="199"/>
      <c r="F463" s="199"/>
      <c r="G463" s="199"/>
      <c r="H463" s="199"/>
      <c r="I463" s="199"/>
      <c r="J463" s="199"/>
      <c r="K463" s="199"/>
      <c r="L463" s="199"/>
      <c r="M463" s="199"/>
      <c r="N463" s="199"/>
      <c r="O463" s="199"/>
      <c r="P463" s="199"/>
      <c r="Q463" s="199"/>
      <c r="R463" s="199"/>
      <c r="S463" s="199"/>
    </row>
    <row r="464" spans="4:19">
      <c r="D464" s="199"/>
      <c r="E464" s="199"/>
      <c r="F464" s="199"/>
      <c r="G464" s="199"/>
      <c r="H464" s="199"/>
      <c r="I464" s="199"/>
      <c r="J464" s="199"/>
      <c r="K464" s="199"/>
      <c r="L464" s="199"/>
      <c r="M464" s="199"/>
      <c r="N464" s="199"/>
      <c r="O464" s="199"/>
      <c r="P464" s="199"/>
      <c r="Q464" s="199"/>
      <c r="R464" s="199"/>
      <c r="S464" s="199"/>
    </row>
    <row r="465" spans="4:19">
      <c r="D465" s="199"/>
      <c r="E465" s="199"/>
      <c r="F465" s="199"/>
      <c r="G465" s="199"/>
      <c r="H465" s="199"/>
      <c r="I465" s="199"/>
      <c r="J465" s="199"/>
      <c r="K465" s="199"/>
      <c r="L465" s="199"/>
      <c r="M465" s="199"/>
      <c r="N465" s="199"/>
      <c r="O465" s="199"/>
      <c r="P465" s="199"/>
      <c r="Q465" s="199"/>
      <c r="R465" s="199"/>
      <c r="S465" s="199"/>
    </row>
    <row r="466" spans="4:19">
      <c r="D466" s="199"/>
      <c r="E466" s="199"/>
      <c r="F466" s="199"/>
      <c r="G466" s="199"/>
      <c r="H466" s="199"/>
      <c r="I466" s="199"/>
      <c r="J466" s="199"/>
      <c r="K466" s="199"/>
      <c r="L466" s="199"/>
      <c r="M466" s="199"/>
      <c r="N466" s="199"/>
      <c r="O466" s="199"/>
      <c r="P466" s="199"/>
      <c r="Q466" s="199"/>
      <c r="R466" s="199"/>
      <c r="S466" s="199"/>
    </row>
    <row r="467" spans="4:19">
      <c r="D467" s="199"/>
      <c r="E467" s="199"/>
      <c r="F467" s="199"/>
      <c r="G467" s="199"/>
      <c r="H467" s="199"/>
      <c r="I467" s="199"/>
      <c r="J467" s="199"/>
      <c r="K467" s="199"/>
      <c r="L467" s="199"/>
      <c r="M467" s="199"/>
      <c r="N467" s="199"/>
      <c r="O467" s="199"/>
      <c r="P467" s="199"/>
      <c r="Q467" s="199"/>
      <c r="R467" s="199"/>
      <c r="S467" s="199"/>
    </row>
    <row r="468" spans="4:19">
      <c r="D468" s="199"/>
      <c r="E468" s="199"/>
      <c r="F468" s="199"/>
      <c r="G468" s="199"/>
      <c r="H468" s="199"/>
      <c r="I468" s="199"/>
      <c r="J468" s="199"/>
      <c r="K468" s="199"/>
      <c r="L468" s="199"/>
      <c r="M468" s="199"/>
      <c r="N468" s="199"/>
      <c r="O468" s="199"/>
      <c r="P468" s="199"/>
      <c r="Q468" s="199"/>
      <c r="R468" s="199"/>
      <c r="S468" s="199"/>
    </row>
    <row r="469" spans="4:19">
      <c r="D469" s="199"/>
      <c r="E469" s="199"/>
      <c r="F469" s="199"/>
      <c r="G469" s="199"/>
      <c r="H469" s="199"/>
      <c r="I469" s="199"/>
      <c r="J469" s="199"/>
      <c r="K469" s="199"/>
      <c r="L469" s="199"/>
      <c r="M469" s="199"/>
      <c r="N469" s="199"/>
      <c r="O469" s="199"/>
      <c r="P469" s="199"/>
      <c r="Q469" s="199"/>
      <c r="R469" s="199"/>
      <c r="S469" s="199"/>
    </row>
    <row r="470" spans="4:19">
      <c r="D470" s="199"/>
      <c r="E470" s="199"/>
      <c r="F470" s="199"/>
      <c r="G470" s="199"/>
      <c r="H470" s="199"/>
      <c r="I470" s="199"/>
      <c r="J470" s="199"/>
      <c r="K470" s="199"/>
      <c r="L470" s="199"/>
      <c r="M470" s="199"/>
      <c r="N470" s="199"/>
      <c r="O470" s="199"/>
      <c r="P470" s="199"/>
      <c r="Q470" s="199"/>
      <c r="R470" s="199"/>
      <c r="S470" s="199"/>
    </row>
    <row r="471" spans="4:19">
      <c r="D471" s="199"/>
      <c r="E471" s="199"/>
      <c r="F471" s="199"/>
      <c r="G471" s="199"/>
      <c r="H471" s="199"/>
      <c r="I471" s="199"/>
      <c r="J471" s="199"/>
      <c r="K471" s="199"/>
      <c r="L471" s="199"/>
      <c r="M471" s="199"/>
      <c r="N471" s="199"/>
      <c r="O471" s="199"/>
      <c r="P471" s="199"/>
      <c r="Q471" s="199"/>
      <c r="R471" s="199"/>
      <c r="S471" s="199"/>
    </row>
    <row r="472" spans="4:19">
      <c r="D472" s="199"/>
      <c r="E472" s="199"/>
      <c r="F472" s="199"/>
      <c r="G472" s="199"/>
      <c r="H472" s="199"/>
      <c r="I472" s="199"/>
      <c r="J472" s="199"/>
      <c r="K472" s="199"/>
      <c r="L472" s="199"/>
      <c r="M472" s="199"/>
      <c r="N472" s="199"/>
      <c r="O472" s="199"/>
      <c r="P472" s="199"/>
      <c r="Q472" s="199"/>
      <c r="R472" s="199"/>
      <c r="S472" s="199"/>
    </row>
    <row r="473" spans="4:19">
      <c r="D473" s="199"/>
      <c r="E473" s="199"/>
      <c r="F473" s="199"/>
      <c r="G473" s="199"/>
      <c r="H473" s="199"/>
      <c r="I473" s="199"/>
      <c r="J473" s="199"/>
      <c r="K473" s="199"/>
      <c r="L473" s="199"/>
      <c r="M473" s="199"/>
      <c r="N473" s="199"/>
      <c r="O473" s="199"/>
      <c r="P473" s="199"/>
      <c r="Q473" s="199"/>
      <c r="R473" s="199"/>
      <c r="S473" s="199"/>
    </row>
    <row r="474" spans="4:19">
      <c r="D474" s="199"/>
      <c r="E474" s="199"/>
      <c r="F474" s="199"/>
      <c r="G474" s="199"/>
      <c r="H474" s="199"/>
      <c r="I474" s="199"/>
      <c r="J474" s="199"/>
      <c r="K474" s="199"/>
      <c r="L474" s="199"/>
      <c r="M474" s="199"/>
      <c r="N474" s="199"/>
      <c r="O474" s="199"/>
      <c r="P474" s="199"/>
      <c r="Q474" s="199"/>
      <c r="R474" s="199"/>
      <c r="S474" s="199"/>
    </row>
    <row r="475" spans="4:19">
      <c r="D475" s="199"/>
      <c r="E475" s="199"/>
      <c r="F475" s="199"/>
      <c r="G475" s="199"/>
      <c r="H475" s="199"/>
      <c r="I475" s="199"/>
      <c r="J475" s="199"/>
      <c r="K475" s="199"/>
      <c r="L475" s="199"/>
      <c r="M475" s="199"/>
      <c r="N475" s="199"/>
      <c r="O475" s="199"/>
      <c r="P475" s="199"/>
      <c r="Q475" s="199"/>
      <c r="R475" s="199"/>
      <c r="S475" s="199"/>
    </row>
    <row r="476" spans="4:19">
      <c r="D476" s="199"/>
      <c r="E476" s="199"/>
      <c r="F476" s="199"/>
      <c r="G476" s="199"/>
      <c r="H476" s="199"/>
      <c r="I476" s="199"/>
      <c r="J476" s="199"/>
      <c r="K476" s="199"/>
      <c r="L476" s="199"/>
      <c r="M476" s="199"/>
      <c r="N476" s="199"/>
      <c r="O476" s="199"/>
      <c r="P476" s="199"/>
      <c r="Q476" s="199"/>
      <c r="R476" s="199"/>
      <c r="S476" s="199"/>
    </row>
    <row r="477" spans="4:19">
      <c r="D477" s="199"/>
      <c r="E477" s="199"/>
      <c r="F477" s="199"/>
      <c r="G477" s="199"/>
      <c r="H477" s="199"/>
      <c r="I477" s="199"/>
      <c r="J477" s="199"/>
      <c r="K477" s="199"/>
      <c r="L477" s="199"/>
      <c r="M477" s="199"/>
      <c r="N477" s="199"/>
      <c r="O477" s="199"/>
      <c r="P477" s="199"/>
      <c r="Q477" s="199"/>
      <c r="R477" s="199"/>
      <c r="S477" s="199"/>
    </row>
    <row r="478" spans="4:19">
      <c r="D478" s="199"/>
      <c r="E478" s="199"/>
      <c r="F478" s="199"/>
      <c r="G478" s="199"/>
      <c r="H478" s="199"/>
      <c r="I478" s="199"/>
      <c r="J478" s="199"/>
      <c r="K478" s="199"/>
      <c r="L478" s="199"/>
      <c r="M478" s="199"/>
      <c r="N478" s="199"/>
      <c r="O478" s="199"/>
      <c r="P478" s="199"/>
      <c r="Q478" s="199"/>
      <c r="R478" s="199"/>
      <c r="S478" s="199"/>
    </row>
    <row r="479" spans="4:19">
      <c r="D479" s="199"/>
      <c r="E479" s="199"/>
      <c r="F479" s="199"/>
      <c r="G479" s="199"/>
      <c r="H479" s="199"/>
      <c r="I479" s="199"/>
      <c r="J479" s="199"/>
      <c r="K479" s="199"/>
      <c r="L479" s="199"/>
      <c r="M479" s="199"/>
      <c r="N479" s="199"/>
      <c r="O479" s="199"/>
      <c r="P479" s="199"/>
      <c r="Q479" s="199"/>
      <c r="R479" s="199"/>
      <c r="S479" s="199"/>
    </row>
    <row r="480" spans="4:19">
      <c r="D480" s="216"/>
      <c r="E480" s="199"/>
      <c r="F480" s="199"/>
      <c r="G480" s="199"/>
      <c r="H480" s="199"/>
      <c r="I480" s="199"/>
      <c r="J480" s="199"/>
      <c r="K480" s="199"/>
      <c r="L480" s="199"/>
      <c r="M480" s="199"/>
      <c r="N480" s="199"/>
      <c r="O480" s="199"/>
      <c r="P480" s="199"/>
      <c r="Q480" s="199"/>
      <c r="R480" s="199"/>
      <c r="S480" s="199"/>
    </row>
    <row r="481" spans="4:19">
      <c r="D481" s="216"/>
      <c r="E481" s="199"/>
      <c r="F481" s="199"/>
      <c r="G481" s="199"/>
      <c r="H481" s="199"/>
      <c r="I481" s="199"/>
      <c r="J481" s="199"/>
      <c r="K481" s="199"/>
      <c r="L481" s="199"/>
      <c r="M481" s="199"/>
      <c r="N481" s="199"/>
      <c r="O481" s="199"/>
      <c r="P481" s="199"/>
      <c r="Q481" s="199"/>
      <c r="R481" s="199"/>
      <c r="S481" s="199"/>
    </row>
    <row r="482" spans="4:19">
      <c r="D482" s="216"/>
      <c r="E482" s="199"/>
      <c r="F482" s="199"/>
      <c r="G482" s="199"/>
      <c r="H482" s="199"/>
      <c r="I482" s="199"/>
      <c r="J482" s="199"/>
      <c r="K482" s="199"/>
      <c r="L482" s="199"/>
      <c r="M482" s="199"/>
      <c r="N482" s="199"/>
      <c r="O482" s="199"/>
      <c r="P482" s="199"/>
      <c r="Q482" s="199"/>
      <c r="R482" s="199"/>
      <c r="S482" s="199"/>
    </row>
    <row r="483" spans="4:19">
      <c r="D483" s="216"/>
      <c r="E483" s="199"/>
      <c r="F483" s="199"/>
      <c r="G483" s="199"/>
      <c r="H483" s="199"/>
      <c r="I483" s="199"/>
      <c r="J483" s="199"/>
      <c r="K483" s="199"/>
      <c r="L483" s="199"/>
      <c r="M483" s="199"/>
      <c r="N483" s="199"/>
      <c r="O483" s="199"/>
      <c r="P483" s="199"/>
      <c r="Q483" s="199"/>
      <c r="R483" s="199"/>
      <c r="S483" s="199"/>
    </row>
    <row r="484" spans="4:19">
      <c r="D484" s="216"/>
      <c r="E484" s="199"/>
      <c r="F484" s="199"/>
      <c r="G484" s="199"/>
      <c r="H484" s="199"/>
      <c r="I484" s="199"/>
      <c r="J484" s="199"/>
      <c r="K484" s="199"/>
      <c r="L484" s="199"/>
      <c r="M484" s="199"/>
      <c r="N484" s="199"/>
      <c r="O484" s="199"/>
      <c r="P484" s="199"/>
      <c r="Q484" s="199"/>
      <c r="R484" s="199"/>
      <c r="S484" s="199"/>
    </row>
    <row r="485" spans="4:19">
      <c r="D485" s="216"/>
      <c r="E485" s="199"/>
      <c r="F485" s="199"/>
      <c r="G485" s="199"/>
      <c r="H485" s="199"/>
      <c r="I485" s="199"/>
      <c r="J485" s="199"/>
      <c r="K485" s="199"/>
      <c r="L485" s="199"/>
      <c r="M485" s="199"/>
      <c r="N485" s="199"/>
      <c r="O485" s="199"/>
      <c r="P485" s="199"/>
      <c r="Q485" s="199"/>
      <c r="R485" s="199"/>
      <c r="S485" s="199"/>
    </row>
    <row r="486" spans="4:19">
      <c r="D486" s="216"/>
      <c r="E486" s="199"/>
      <c r="F486" s="199"/>
      <c r="G486" s="199"/>
      <c r="H486" s="199"/>
      <c r="I486" s="199"/>
      <c r="J486" s="199"/>
      <c r="K486" s="199"/>
      <c r="L486" s="199"/>
      <c r="M486" s="199"/>
      <c r="N486" s="199"/>
      <c r="O486" s="199"/>
      <c r="P486" s="199"/>
      <c r="Q486" s="199"/>
      <c r="R486" s="199"/>
      <c r="S486" s="199"/>
    </row>
    <row r="487" spans="4:19">
      <c r="D487" s="216"/>
      <c r="E487" s="199"/>
      <c r="F487" s="199"/>
      <c r="G487" s="199"/>
      <c r="H487" s="199"/>
      <c r="I487" s="199"/>
      <c r="J487" s="199"/>
      <c r="K487" s="199"/>
      <c r="L487" s="199"/>
      <c r="M487" s="199"/>
      <c r="N487" s="199"/>
      <c r="O487" s="199"/>
      <c r="P487" s="199"/>
      <c r="Q487" s="199"/>
      <c r="R487" s="199"/>
      <c r="S487" s="199"/>
    </row>
    <row r="488" spans="4:19">
      <c r="D488" s="216"/>
      <c r="E488" s="199"/>
      <c r="F488" s="199"/>
      <c r="G488" s="199"/>
      <c r="H488" s="199"/>
      <c r="I488" s="199"/>
      <c r="J488" s="199"/>
      <c r="K488" s="199"/>
      <c r="L488" s="199"/>
      <c r="M488" s="199"/>
      <c r="N488" s="199"/>
      <c r="O488" s="199"/>
      <c r="P488" s="199"/>
      <c r="Q488" s="199"/>
      <c r="R488" s="199"/>
      <c r="S488" s="199"/>
    </row>
    <row r="489" spans="4:19">
      <c r="D489" s="216"/>
      <c r="E489" s="199"/>
      <c r="F489" s="199"/>
      <c r="G489" s="199"/>
      <c r="H489" s="199"/>
      <c r="I489" s="199"/>
      <c r="J489" s="199"/>
      <c r="K489" s="199"/>
      <c r="L489" s="199"/>
      <c r="M489" s="199"/>
      <c r="N489" s="199"/>
      <c r="O489" s="199"/>
      <c r="P489" s="199"/>
      <c r="Q489" s="199"/>
      <c r="R489" s="199"/>
      <c r="S489" s="199"/>
    </row>
    <row r="490" spans="4:19">
      <c r="D490" s="216"/>
      <c r="E490" s="199"/>
      <c r="F490" s="199"/>
      <c r="G490" s="199"/>
      <c r="H490" s="199"/>
      <c r="I490" s="199"/>
      <c r="J490" s="199"/>
      <c r="K490" s="199"/>
      <c r="L490" s="199"/>
      <c r="M490" s="199"/>
      <c r="N490" s="199"/>
      <c r="O490" s="199"/>
      <c r="P490" s="199"/>
      <c r="Q490" s="199"/>
      <c r="R490" s="199"/>
      <c r="S490" s="199"/>
    </row>
    <row r="491" spans="4:19">
      <c r="D491" s="216"/>
      <c r="E491" s="199"/>
      <c r="F491" s="199"/>
      <c r="G491" s="199"/>
      <c r="H491" s="199"/>
      <c r="I491" s="199"/>
      <c r="J491" s="199"/>
      <c r="K491" s="199"/>
      <c r="L491" s="199"/>
      <c r="M491" s="199"/>
      <c r="N491" s="199"/>
      <c r="O491" s="199"/>
      <c r="P491" s="199"/>
      <c r="Q491" s="199"/>
      <c r="R491" s="199"/>
      <c r="S491" s="199"/>
    </row>
    <row r="492" spans="4:19">
      <c r="D492" s="216"/>
      <c r="E492" s="199"/>
      <c r="F492" s="199"/>
      <c r="G492" s="199"/>
      <c r="H492" s="199"/>
      <c r="I492" s="199"/>
      <c r="J492" s="199"/>
      <c r="K492" s="199"/>
      <c r="L492" s="199"/>
      <c r="M492" s="199"/>
      <c r="N492" s="199"/>
      <c r="O492" s="199"/>
      <c r="P492" s="199"/>
      <c r="Q492" s="199"/>
      <c r="R492" s="199"/>
      <c r="S492" s="199"/>
    </row>
    <row r="493" spans="4:19">
      <c r="D493" s="216"/>
      <c r="E493" s="199"/>
      <c r="F493" s="199"/>
      <c r="G493" s="199"/>
      <c r="H493" s="199"/>
      <c r="I493" s="199"/>
      <c r="J493" s="199"/>
      <c r="K493" s="199"/>
      <c r="L493" s="199"/>
      <c r="M493" s="199"/>
      <c r="N493" s="199"/>
      <c r="O493" s="199"/>
      <c r="P493" s="199"/>
      <c r="Q493" s="199"/>
      <c r="R493" s="199"/>
      <c r="S493" s="199"/>
    </row>
    <row r="494" spans="4:19">
      <c r="D494" s="216"/>
      <c r="E494" s="199"/>
      <c r="F494" s="199"/>
      <c r="G494" s="199"/>
      <c r="H494" s="199"/>
      <c r="I494" s="199"/>
      <c r="J494" s="199"/>
      <c r="K494" s="199"/>
      <c r="L494" s="199"/>
      <c r="M494" s="199"/>
      <c r="N494" s="199"/>
      <c r="O494" s="199"/>
      <c r="P494" s="199"/>
      <c r="Q494" s="199"/>
      <c r="R494" s="199"/>
      <c r="S494" s="199"/>
    </row>
    <row r="495" spans="4:19">
      <c r="D495" s="216"/>
      <c r="E495" s="199"/>
      <c r="F495" s="199"/>
      <c r="G495" s="199"/>
      <c r="H495" s="199"/>
      <c r="I495" s="199"/>
      <c r="J495" s="199"/>
      <c r="K495" s="199"/>
      <c r="L495" s="199"/>
      <c r="M495" s="199"/>
      <c r="N495" s="199"/>
      <c r="O495" s="199"/>
      <c r="P495" s="199"/>
      <c r="Q495" s="199"/>
      <c r="R495" s="199"/>
      <c r="S495" s="199"/>
    </row>
    <row r="496" spans="4:19">
      <c r="D496" s="216"/>
      <c r="E496" s="199"/>
      <c r="F496" s="199"/>
      <c r="G496" s="199"/>
      <c r="H496" s="199"/>
      <c r="I496" s="199"/>
      <c r="J496" s="199"/>
      <c r="K496" s="199"/>
      <c r="L496" s="199"/>
      <c r="M496" s="199"/>
      <c r="N496" s="199"/>
      <c r="O496" s="199"/>
      <c r="P496" s="199"/>
      <c r="Q496" s="199"/>
      <c r="R496" s="199"/>
      <c r="S496" s="199"/>
    </row>
    <row r="497" spans="4:19">
      <c r="D497" s="216"/>
      <c r="E497" s="199"/>
      <c r="F497" s="199"/>
      <c r="G497" s="199"/>
      <c r="H497" s="199"/>
      <c r="I497" s="199"/>
      <c r="J497" s="199"/>
      <c r="K497" s="199"/>
      <c r="L497" s="199"/>
      <c r="M497" s="199"/>
      <c r="N497" s="199"/>
      <c r="O497" s="199"/>
      <c r="P497" s="199"/>
      <c r="Q497" s="199"/>
      <c r="R497" s="199"/>
      <c r="S497" s="199"/>
    </row>
    <row r="498" spans="4:19">
      <c r="D498" s="216"/>
      <c r="E498" s="199"/>
      <c r="F498" s="199"/>
      <c r="G498" s="199"/>
      <c r="H498" s="199"/>
      <c r="I498" s="199"/>
      <c r="J498" s="199"/>
      <c r="K498" s="199"/>
      <c r="L498" s="199"/>
      <c r="M498" s="199"/>
      <c r="N498" s="199"/>
      <c r="O498" s="199"/>
      <c r="P498" s="199"/>
      <c r="Q498" s="199"/>
      <c r="R498" s="199"/>
      <c r="S498" s="199"/>
    </row>
    <row r="499" spans="4:19">
      <c r="D499" s="216"/>
      <c r="E499" s="199"/>
      <c r="F499" s="199"/>
      <c r="G499" s="199"/>
      <c r="H499" s="199"/>
      <c r="I499" s="199"/>
      <c r="J499" s="199"/>
      <c r="K499" s="199"/>
      <c r="L499" s="199"/>
      <c r="M499" s="199"/>
      <c r="N499" s="199"/>
      <c r="O499" s="199"/>
      <c r="P499" s="199"/>
      <c r="Q499" s="199"/>
      <c r="R499" s="199"/>
      <c r="S499" s="199"/>
    </row>
    <row r="500" spans="4:19">
      <c r="D500" s="216"/>
      <c r="E500" s="199"/>
      <c r="F500" s="199"/>
      <c r="G500" s="199"/>
      <c r="H500" s="199"/>
      <c r="I500" s="199"/>
      <c r="J500" s="199"/>
      <c r="K500" s="199"/>
      <c r="L500" s="199"/>
      <c r="M500" s="199"/>
      <c r="N500" s="199"/>
      <c r="O500" s="199"/>
      <c r="P500" s="199"/>
      <c r="Q500" s="199"/>
      <c r="R500" s="199"/>
      <c r="S500" s="199"/>
    </row>
    <row r="501" spans="4:19">
      <c r="D501" s="216"/>
      <c r="E501" s="199"/>
      <c r="F501" s="199"/>
      <c r="G501" s="199"/>
      <c r="H501" s="199"/>
      <c r="I501" s="199"/>
      <c r="J501" s="199"/>
      <c r="K501" s="199"/>
      <c r="L501" s="199"/>
      <c r="M501" s="199"/>
      <c r="N501" s="199"/>
      <c r="O501" s="199"/>
      <c r="P501" s="199"/>
      <c r="Q501" s="199"/>
      <c r="R501" s="199"/>
      <c r="S501" s="199"/>
    </row>
    <row r="502" spans="4:19">
      <c r="D502" s="216"/>
      <c r="E502" s="199"/>
      <c r="F502" s="199"/>
      <c r="G502" s="199"/>
      <c r="H502" s="199"/>
      <c r="I502" s="199"/>
      <c r="J502" s="199"/>
      <c r="K502" s="199"/>
      <c r="L502" s="199"/>
      <c r="M502" s="199"/>
      <c r="N502" s="199"/>
      <c r="O502" s="199"/>
      <c r="P502" s="199"/>
      <c r="Q502" s="199"/>
      <c r="R502" s="199"/>
      <c r="S502" s="199"/>
    </row>
    <row r="503" spans="4:19">
      <c r="D503" s="216"/>
      <c r="E503" s="199"/>
      <c r="F503" s="199"/>
      <c r="G503" s="199"/>
      <c r="H503" s="199"/>
      <c r="I503" s="199"/>
      <c r="J503" s="199"/>
      <c r="K503" s="199"/>
      <c r="L503" s="199"/>
      <c r="M503" s="199"/>
      <c r="N503" s="199"/>
      <c r="O503" s="199"/>
      <c r="P503" s="199"/>
      <c r="Q503" s="199"/>
      <c r="R503" s="199"/>
      <c r="S503" s="199"/>
    </row>
    <row r="504" spans="4:19">
      <c r="D504" s="216"/>
      <c r="E504" s="199"/>
      <c r="F504" s="199"/>
      <c r="G504" s="199"/>
      <c r="H504" s="199"/>
      <c r="I504" s="199"/>
      <c r="J504" s="199"/>
      <c r="K504" s="199"/>
      <c r="L504" s="199"/>
      <c r="M504" s="199"/>
      <c r="N504" s="199"/>
      <c r="O504" s="199"/>
      <c r="P504" s="199"/>
      <c r="Q504" s="199"/>
      <c r="R504" s="199"/>
      <c r="S504" s="199"/>
    </row>
    <row r="505" spans="4:19">
      <c r="D505" s="216"/>
      <c r="E505" s="199"/>
      <c r="F505" s="199"/>
      <c r="G505" s="199"/>
      <c r="H505" s="199"/>
      <c r="I505" s="199"/>
      <c r="J505" s="199"/>
      <c r="K505" s="199"/>
      <c r="L505" s="199"/>
      <c r="M505" s="199"/>
      <c r="N505" s="199"/>
      <c r="O505" s="199"/>
      <c r="P505" s="199"/>
      <c r="Q505" s="199"/>
      <c r="R505" s="199"/>
      <c r="S505" s="199"/>
    </row>
    <row r="506" spans="4:19">
      <c r="D506" s="216"/>
      <c r="E506" s="199"/>
      <c r="F506" s="199"/>
      <c r="G506" s="199"/>
      <c r="H506" s="199"/>
      <c r="I506" s="199"/>
      <c r="J506" s="199"/>
      <c r="K506" s="199"/>
      <c r="L506" s="199"/>
      <c r="M506" s="199"/>
      <c r="N506" s="199"/>
      <c r="O506" s="199"/>
      <c r="P506" s="199"/>
      <c r="Q506" s="199"/>
      <c r="R506" s="199"/>
      <c r="S506" s="199"/>
    </row>
    <row r="507" spans="4:19">
      <c r="D507" s="216"/>
      <c r="E507" s="199"/>
      <c r="F507" s="199"/>
      <c r="G507" s="199"/>
      <c r="H507" s="199"/>
      <c r="I507" s="199"/>
      <c r="J507" s="199"/>
      <c r="K507" s="199"/>
      <c r="L507" s="199"/>
      <c r="M507" s="199"/>
      <c r="N507" s="199"/>
      <c r="O507" s="199"/>
      <c r="P507" s="199"/>
      <c r="Q507" s="199"/>
      <c r="R507" s="199"/>
      <c r="S507" s="199"/>
    </row>
    <row r="508" spans="4:19">
      <c r="D508" s="216"/>
      <c r="E508" s="199"/>
      <c r="F508" s="199"/>
      <c r="G508" s="199"/>
      <c r="H508" s="199"/>
      <c r="I508" s="199"/>
      <c r="J508" s="199"/>
      <c r="K508" s="199"/>
      <c r="L508" s="199"/>
      <c r="M508" s="199"/>
      <c r="N508" s="199"/>
      <c r="O508" s="199"/>
      <c r="P508" s="199"/>
      <c r="Q508" s="199"/>
      <c r="R508" s="199"/>
      <c r="S508" s="199"/>
    </row>
    <row r="509" spans="4:19">
      <c r="D509" s="216"/>
      <c r="E509" s="199"/>
      <c r="F509" s="199"/>
      <c r="G509" s="199"/>
      <c r="H509" s="199"/>
      <c r="I509" s="199"/>
      <c r="J509" s="199"/>
      <c r="K509" s="199"/>
      <c r="L509" s="199"/>
      <c r="M509" s="199"/>
      <c r="N509" s="199"/>
      <c r="O509" s="199"/>
      <c r="P509" s="199"/>
      <c r="Q509" s="199"/>
      <c r="R509" s="199"/>
      <c r="S509" s="199"/>
    </row>
    <row r="510" spans="4:19">
      <c r="D510" s="216"/>
      <c r="E510" s="199"/>
      <c r="F510" s="199"/>
      <c r="G510" s="199"/>
      <c r="H510" s="199"/>
      <c r="I510" s="199"/>
      <c r="J510" s="199"/>
      <c r="K510" s="199"/>
      <c r="L510" s="199"/>
      <c r="M510" s="199"/>
      <c r="N510" s="199"/>
      <c r="O510" s="199"/>
      <c r="P510" s="199"/>
      <c r="Q510" s="199"/>
      <c r="R510" s="199"/>
      <c r="S510" s="199"/>
    </row>
    <row r="511" spans="4:19">
      <c r="D511" s="216"/>
      <c r="E511" s="199"/>
      <c r="F511" s="199"/>
      <c r="G511" s="199"/>
      <c r="H511" s="199"/>
      <c r="I511" s="199"/>
      <c r="J511" s="199"/>
      <c r="K511" s="199"/>
      <c r="L511" s="199"/>
      <c r="M511" s="199"/>
      <c r="N511" s="199"/>
      <c r="O511" s="199"/>
      <c r="P511" s="199"/>
      <c r="Q511" s="199"/>
      <c r="R511" s="199"/>
      <c r="S511" s="199"/>
    </row>
    <row r="512" spans="4:19">
      <c r="D512" s="216"/>
      <c r="E512" s="199"/>
      <c r="F512" s="199"/>
      <c r="G512" s="199"/>
      <c r="H512" s="199"/>
      <c r="I512" s="199"/>
      <c r="J512" s="199"/>
      <c r="K512" s="199"/>
      <c r="L512" s="199"/>
      <c r="M512" s="199"/>
      <c r="N512" s="199"/>
      <c r="O512" s="199"/>
      <c r="P512" s="199"/>
      <c r="Q512" s="199"/>
      <c r="R512" s="199"/>
      <c r="S512" s="199"/>
    </row>
    <row r="513" spans="4:19">
      <c r="D513" s="216"/>
      <c r="E513" s="199"/>
      <c r="F513" s="199"/>
      <c r="G513" s="199"/>
      <c r="H513" s="199"/>
      <c r="I513" s="199"/>
      <c r="J513" s="199"/>
      <c r="K513" s="199"/>
      <c r="L513" s="199"/>
      <c r="M513" s="199"/>
      <c r="N513" s="199"/>
      <c r="O513" s="199"/>
      <c r="P513" s="199"/>
      <c r="Q513" s="199"/>
      <c r="R513" s="199"/>
      <c r="S513" s="199"/>
    </row>
    <row r="514" spans="4:19">
      <c r="D514" s="216"/>
      <c r="E514" s="199"/>
      <c r="F514" s="199"/>
      <c r="G514" s="199"/>
      <c r="H514" s="199"/>
      <c r="I514" s="199"/>
      <c r="J514" s="199"/>
      <c r="K514" s="199"/>
      <c r="L514" s="199"/>
      <c r="M514" s="199"/>
      <c r="N514" s="199"/>
      <c r="O514" s="199"/>
      <c r="P514" s="199"/>
      <c r="Q514" s="199"/>
      <c r="R514" s="199"/>
      <c r="S514" s="199"/>
    </row>
    <row r="515" spans="4:19">
      <c r="D515" s="216"/>
      <c r="E515" s="199"/>
      <c r="F515" s="199"/>
      <c r="G515" s="199"/>
      <c r="H515" s="199"/>
      <c r="I515" s="199"/>
      <c r="J515" s="199"/>
      <c r="K515" s="199"/>
      <c r="L515" s="199"/>
      <c r="M515" s="199"/>
      <c r="N515" s="199"/>
      <c r="O515" s="199"/>
      <c r="P515" s="199"/>
      <c r="Q515" s="199"/>
      <c r="R515" s="199"/>
      <c r="S515" s="199"/>
    </row>
    <row r="516" spans="4:19">
      <c r="D516" s="216"/>
      <c r="E516" s="199"/>
      <c r="F516" s="199"/>
      <c r="G516" s="199"/>
      <c r="H516" s="199"/>
      <c r="I516" s="199"/>
      <c r="J516" s="199"/>
      <c r="K516" s="199"/>
      <c r="L516" s="199"/>
      <c r="M516" s="199"/>
      <c r="N516" s="199"/>
      <c r="O516" s="199"/>
      <c r="P516" s="199"/>
      <c r="Q516" s="199"/>
      <c r="R516" s="199"/>
      <c r="S516" s="199"/>
    </row>
    <row r="517" spans="4:19">
      <c r="D517" s="216"/>
      <c r="E517" s="199"/>
      <c r="F517" s="199"/>
      <c r="G517" s="199"/>
      <c r="H517" s="199"/>
      <c r="I517" s="199"/>
      <c r="J517" s="199"/>
      <c r="K517" s="199"/>
      <c r="L517" s="199"/>
      <c r="M517" s="199"/>
      <c r="N517" s="199"/>
      <c r="O517" s="199"/>
      <c r="P517" s="199"/>
      <c r="Q517" s="199"/>
      <c r="R517" s="199"/>
      <c r="S517" s="199"/>
    </row>
    <row r="518" spans="4:19">
      <c r="D518" s="216"/>
      <c r="E518" s="199"/>
      <c r="F518" s="199"/>
      <c r="G518" s="199"/>
      <c r="H518" s="199"/>
      <c r="I518" s="199"/>
      <c r="J518" s="199"/>
      <c r="K518" s="199"/>
      <c r="L518" s="199"/>
      <c r="M518" s="199"/>
      <c r="N518" s="199"/>
      <c r="O518" s="199"/>
      <c r="P518" s="199"/>
      <c r="Q518" s="199"/>
      <c r="R518" s="199"/>
      <c r="S518" s="199"/>
    </row>
    <row r="519" spans="4:19">
      <c r="D519" s="216"/>
      <c r="E519" s="199"/>
      <c r="F519" s="199"/>
      <c r="G519" s="199"/>
      <c r="H519" s="199"/>
      <c r="I519" s="199"/>
      <c r="J519" s="199"/>
      <c r="K519" s="199"/>
      <c r="L519" s="199"/>
      <c r="M519" s="199"/>
      <c r="N519" s="199"/>
      <c r="O519" s="199"/>
      <c r="P519" s="199"/>
      <c r="Q519" s="199"/>
      <c r="R519" s="199"/>
      <c r="S519" s="199"/>
    </row>
    <row r="520" spans="4:19">
      <c r="D520" s="216"/>
      <c r="E520" s="199"/>
      <c r="F520" s="199"/>
      <c r="G520" s="199"/>
      <c r="H520" s="199"/>
      <c r="I520" s="199"/>
      <c r="J520" s="199"/>
      <c r="K520" s="199"/>
      <c r="L520" s="199"/>
      <c r="M520" s="199"/>
      <c r="N520" s="199"/>
      <c r="O520" s="199"/>
      <c r="P520" s="199"/>
      <c r="Q520" s="199"/>
      <c r="R520" s="199"/>
      <c r="S520" s="199"/>
    </row>
    <row r="521" spans="4:19">
      <c r="D521" s="216"/>
      <c r="E521" s="199"/>
      <c r="F521" s="199"/>
      <c r="G521" s="199"/>
      <c r="H521" s="199"/>
      <c r="I521" s="199"/>
      <c r="J521" s="199"/>
      <c r="K521" s="199"/>
      <c r="L521" s="199"/>
      <c r="M521" s="199"/>
      <c r="N521" s="199"/>
      <c r="O521" s="199"/>
      <c r="P521" s="199"/>
      <c r="Q521" s="199"/>
      <c r="R521" s="199"/>
      <c r="S521" s="199"/>
    </row>
    <row r="522" spans="4:19">
      <c r="D522" s="216"/>
      <c r="E522" s="199"/>
      <c r="F522" s="199"/>
      <c r="G522" s="199"/>
      <c r="H522" s="199"/>
      <c r="I522" s="199"/>
      <c r="J522" s="199"/>
      <c r="K522" s="199"/>
      <c r="L522" s="199"/>
      <c r="M522" s="199"/>
      <c r="N522" s="199"/>
      <c r="O522" s="199"/>
      <c r="P522" s="199"/>
      <c r="Q522" s="199"/>
      <c r="R522" s="199"/>
      <c r="S522" s="199"/>
    </row>
    <row r="523" spans="4:19">
      <c r="D523" s="216"/>
      <c r="E523" s="199"/>
      <c r="F523" s="199"/>
      <c r="G523" s="199"/>
      <c r="H523" s="199"/>
      <c r="I523" s="199"/>
      <c r="J523" s="199"/>
      <c r="K523" s="199"/>
      <c r="L523" s="199"/>
      <c r="M523" s="199"/>
      <c r="N523" s="199"/>
      <c r="O523" s="199"/>
      <c r="P523" s="199"/>
      <c r="Q523" s="199"/>
      <c r="R523" s="199"/>
      <c r="S523" s="199"/>
    </row>
    <row r="524" spans="4:19">
      <c r="D524" s="216"/>
      <c r="E524" s="199"/>
      <c r="F524" s="199"/>
      <c r="G524" s="199"/>
      <c r="H524" s="199"/>
      <c r="I524" s="199"/>
      <c r="J524" s="199"/>
      <c r="K524" s="199"/>
      <c r="L524" s="199"/>
      <c r="M524" s="199"/>
      <c r="N524" s="199"/>
      <c r="O524" s="199"/>
      <c r="P524" s="199"/>
      <c r="Q524" s="199"/>
      <c r="R524" s="199"/>
      <c r="S524" s="199"/>
    </row>
    <row r="525" spans="4:19">
      <c r="D525" s="216"/>
      <c r="E525" s="199"/>
      <c r="F525" s="199"/>
      <c r="G525" s="199"/>
      <c r="H525" s="199"/>
      <c r="I525" s="199"/>
      <c r="J525" s="199"/>
      <c r="K525" s="199"/>
      <c r="L525" s="199"/>
      <c r="M525" s="199"/>
      <c r="N525" s="199"/>
      <c r="O525" s="199"/>
      <c r="P525" s="199"/>
      <c r="Q525" s="199"/>
      <c r="R525" s="199"/>
      <c r="S525" s="199"/>
    </row>
    <row r="526" spans="4:19">
      <c r="D526" s="216"/>
      <c r="E526" s="199"/>
      <c r="F526" s="199"/>
      <c r="G526" s="199"/>
      <c r="H526" s="199"/>
      <c r="I526" s="199"/>
      <c r="J526" s="199"/>
      <c r="K526" s="199"/>
      <c r="L526" s="199"/>
      <c r="M526" s="199"/>
      <c r="N526" s="199"/>
      <c r="O526" s="199"/>
      <c r="P526" s="199"/>
      <c r="Q526" s="199"/>
      <c r="R526" s="199"/>
      <c r="S526" s="199"/>
    </row>
    <row r="527" spans="4:19">
      <c r="D527" s="216"/>
      <c r="E527" s="199"/>
      <c r="F527" s="199"/>
      <c r="G527" s="199"/>
      <c r="H527" s="199"/>
      <c r="I527" s="199"/>
      <c r="J527" s="199"/>
      <c r="K527" s="199"/>
      <c r="L527" s="199"/>
      <c r="M527" s="199"/>
      <c r="N527" s="199"/>
      <c r="O527" s="199"/>
      <c r="P527" s="199"/>
      <c r="Q527" s="199"/>
      <c r="R527" s="199"/>
      <c r="S527" s="199"/>
    </row>
    <row r="528" spans="4:19">
      <c r="D528" s="216"/>
      <c r="E528" s="199"/>
      <c r="F528" s="199"/>
      <c r="G528" s="199"/>
      <c r="H528" s="199"/>
      <c r="I528" s="199"/>
      <c r="J528" s="199"/>
      <c r="K528" s="199"/>
      <c r="L528" s="199"/>
      <c r="M528" s="199"/>
      <c r="N528" s="199"/>
      <c r="O528" s="199"/>
      <c r="P528" s="199"/>
      <c r="Q528" s="199"/>
      <c r="R528" s="199"/>
      <c r="S528" s="199"/>
    </row>
    <row r="529" spans="4:19">
      <c r="D529" s="216"/>
      <c r="E529" s="199"/>
      <c r="F529" s="199"/>
      <c r="G529" s="199"/>
      <c r="H529" s="199"/>
      <c r="I529" s="199"/>
      <c r="J529" s="199"/>
      <c r="K529" s="199"/>
      <c r="L529" s="199"/>
      <c r="M529" s="199"/>
      <c r="N529" s="199"/>
      <c r="O529" s="199"/>
      <c r="P529" s="199"/>
      <c r="Q529" s="199"/>
      <c r="R529" s="199"/>
      <c r="S529" s="199"/>
    </row>
    <row r="530" spans="4:19">
      <c r="D530" s="216"/>
      <c r="E530" s="199"/>
      <c r="F530" s="199"/>
      <c r="G530" s="199"/>
      <c r="H530" s="199"/>
      <c r="I530" s="199"/>
      <c r="J530" s="199"/>
      <c r="K530" s="199"/>
      <c r="L530" s="199"/>
      <c r="M530" s="199"/>
      <c r="N530" s="199"/>
      <c r="O530" s="199"/>
      <c r="P530" s="199"/>
      <c r="Q530" s="199"/>
      <c r="R530" s="199"/>
      <c r="S530" s="199"/>
    </row>
    <row r="531" spans="4:19">
      <c r="D531" s="216"/>
      <c r="E531" s="199"/>
      <c r="F531" s="199"/>
      <c r="G531" s="199"/>
      <c r="H531" s="199"/>
      <c r="I531" s="199"/>
      <c r="J531" s="199"/>
      <c r="K531" s="199"/>
      <c r="L531" s="199"/>
      <c r="M531" s="199"/>
      <c r="N531" s="199"/>
      <c r="O531" s="199"/>
      <c r="P531" s="199"/>
      <c r="Q531" s="199"/>
      <c r="R531" s="199"/>
      <c r="S531" s="199"/>
    </row>
    <row r="532" spans="4:19">
      <c r="D532" s="216"/>
      <c r="E532" s="199"/>
      <c r="F532" s="199"/>
      <c r="G532" s="199"/>
      <c r="H532" s="199"/>
      <c r="I532" s="199"/>
      <c r="J532" s="199"/>
      <c r="K532" s="199"/>
      <c r="L532" s="199"/>
      <c r="M532" s="199"/>
      <c r="N532" s="199"/>
      <c r="O532" s="199"/>
      <c r="P532" s="199"/>
      <c r="Q532" s="199"/>
      <c r="R532" s="199"/>
      <c r="S532" s="199"/>
    </row>
    <row r="533" spans="4:19">
      <c r="D533" s="216"/>
      <c r="E533" s="199"/>
      <c r="F533" s="199"/>
      <c r="G533" s="199"/>
      <c r="H533" s="199"/>
      <c r="I533" s="199"/>
      <c r="J533" s="199"/>
      <c r="K533" s="199"/>
      <c r="L533" s="199"/>
      <c r="M533" s="199"/>
      <c r="N533" s="199"/>
      <c r="O533" s="199"/>
      <c r="P533" s="199"/>
      <c r="Q533" s="199"/>
      <c r="R533" s="199"/>
      <c r="S533" s="199"/>
    </row>
    <row r="534" spans="4:19">
      <c r="D534" s="216"/>
      <c r="E534" s="199"/>
      <c r="F534" s="199"/>
      <c r="G534" s="199"/>
      <c r="H534" s="199"/>
      <c r="I534" s="199"/>
      <c r="J534" s="199"/>
      <c r="K534" s="199"/>
      <c r="L534" s="199"/>
      <c r="M534" s="199"/>
      <c r="N534" s="199"/>
      <c r="O534" s="199"/>
      <c r="P534" s="199"/>
      <c r="Q534" s="199"/>
      <c r="R534" s="199"/>
      <c r="S534" s="199"/>
    </row>
    <row r="535" spans="4:19">
      <c r="D535" s="216"/>
      <c r="E535" s="199"/>
      <c r="F535" s="199"/>
      <c r="G535" s="199"/>
      <c r="H535" s="199"/>
      <c r="I535" s="199"/>
      <c r="J535" s="199"/>
      <c r="K535" s="199"/>
      <c r="L535" s="199"/>
      <c r="M535" s="199"/>
      <c r="N535" s="199"/>
      <c r="O535" s="199"/>
      <c r="P535" s="199"/>
      <c r="Q535" s="199"/>
      <c r="R535" s="199"/>
      <c r="S535" s="199"/>
    </row>
    <row r="536" spans="4:19">
      <c r="D536" s="216"/>
      <c r="E536" s="199"/>
      <c r="F536" s="199"/>
      <c r="G536" s="199"/>
      <c r="H536" s="199"/>
      <c r="I536" s="199"/>
      <c r="J536" s="199"/>
      <c r="K536" s="199"/>
      <c r="L536" s="199"/>
      <c r="M536" s="199"/>
      <c r="N536" s="199"/>
      <c r="O536" s="199"/>
      <c r="P536" s="199"/>
      <c r="Q536" s="199"/>
      <c r="R536" s="199"/>
      <c r="S536" s="199"/>
    </row>
    <row r="537" spans="4:19">
      <c r="D537" s="216"/>
      <c r="E537" s="199"/>
      <c r="F537" s="199"/>
      <c r="G537" s="199"/>
      <c r="H537" s="199"/>
      <c r="I537" s="199"/>
      <c r="J537" s="199"/>
      <c r="K537" s="199"/>
      <c r="L537" s="199"/>
      <c r="M537" s="199"/>
      <c r="N537" s="199"/>
      <c r="O537" s="199"/>
      <c r="P537" s="199"/>
      <c r="Q537" s="199"/>
      <c r="R537" s="199"/>
      <c r="S537" s="199"/>
    </row>
    <row r="538" spans="4:19">
      <c r="D538" s="216"/>
      <c r="E538" s="199"/>
      <c r="F538" s="199"/>
      <c r="G538" s="199"/>
      <c r="H538" s="199"/>
      <c r="I538" s="199"/>
      <c r="J538" s="199"/>
      <c r="K538" s="199"/>
      <c r="L538" s="199"/>
      <c r="M538" s="199"/>
      <c r="N538" s="199"/>
      <c r="O538" s="199"/>
      <c r="P538" s="199"/>
      <c r="Q538" s="199"/>
      <c r="R538" s="199"/>
      <c r="S538" s="199"/>
    </row>
    <row r="539" spans="4:19">
      <c r="D539" s="216"/>
      <c r="E539" s="199"/>
      <c r="F539" s="199"/>
      <c r="G539" s="199"/>
      <c r="H539" s="199"/>
      <c r="I539" s="199"/>
      <c r="J539" s="199"/>
      <c r="K539" s="199"/>
      <c r="L539" s="199"/>
      <c r="M539" s="199"/>
      <c r="N539" s="199"/>
      <c r="O539" s="199"/>
      <c r="P539" s="199"/>
      <c r="Q539" s="199"/>
      <c r="R539" s="199"/>
      <c r="S539" s="199"/>
    </row>
    <row r="540" spans="4:19">
      <c r="D540" s="216"/>
      <c r="E540" s="199"/>
      <c r="F540" s="199"/>
      <c r="G540" s="199"/>
      <c r="H540" s="199"/>
      <c r="I540" s="199"/>
      <c r="J540" s="199"/>
      <c r="K540" s="199"/>
      <c r="L540" s="199"/>
      <c r="M540" s="199"/>
      <c r="N540" s="199"/>
      <c r="O540" s="199"/>
      <c r="P540" s="199"/>
      <c r="Q540" s="199"/>
      <c r="R540" s="199"/>
      <c r="S540" s="199"/>
    </row>
    <row r="541" spans="4:19">
      <c r="D541" s="216"/>
      <c r="E541" s="199"/>
      <c r="F541" s="199"/>
      <c r="G541" s="199"/>
      <c r="H541" s="199"/>
      <c r="I541" s="199"/>
      <c r="J541" s="199"/>
      <c r="K541" s="199"/>
      <c r="L541" s="199"/>
      <c r="M541" s="199"/>
      <c r="N541" s="199"/>
      <c r="O541" s="199"/>
      <c r="P541" s="199"/>
      <c r="Q541" s="199"/>
      <c r="R541" s="199"/>
      <c r="S541" s="199"/>
    </row>
    <row r="542" spans="4:19">
      <c r="D542" s="216"/>
      <c r="E542" s="199"/>
      <c r="F542" s="199"/>
      <c r="G542" s="199"/>
      <c r="H542" s="199"/>
      <c r="I542" s="199"/>
      <c r="J542" s="199"/>
      <c r="K542" s="199"/>
      <c r="L542" s="199"/>
      <c r="M542" s="199"/>
      <c r="N542" s="199"/>
      <c r="O542" s="199"/>
      <c r="P542" s="199"/>
      <c r="Q542" s="199"/>
      <c r="R542" s="199"/>
      <c r="S542" s="199"/>
    </row>
    <row r="543" spans="4:19">
      <c r="D543" s="216"/>
      <c r="E543" s="199"/>
      <c r="F543" s="199"/>
      <c r="G543" s="199"/>
      <c r="H543" s="199"/>
      <c r="I543" s="199"/>
      <c r="J543" s="199"/>
      <c r="K543" s="199"/>
      <c r="L543" s="199"/>
      <c r="M543" s="199"/>
      <c r="N543" s="199"/>
      <c r="O543" s="199"/>
      <c r="P543" s="199"/>
      <c r="Q543" s="199"/>
      <c r="R543" s="199"/>
      <c r="S543" s="199"/>
    </row>
    <row r="544" spans="4:19">
      <c r="D544" s="216"/>
      <c r="E544" s="199"/>
      <c r="F544" s="199"/>
      <c r="G544" s="199"/>
      <c r="H544" s="199"/>
      <c r="I544" s="199"/>
      <c r="J544" s="199"/>
      <c r="K544" s="199"/>
      <c r="L544" s="199"/>
      <c r="M544" s="199"/>
      <c r="N544" s="199"/>
      <c r="O544" s="199"/>
      <c r="P544" s="199"/>
      <c r="Q544" s="199"/>
      <c r="R544" s="199"/>
      <c r="S544" s="199"/>
    </row>
    <row r="545" spans="4:19">
      <c r="D545" s="216"/>
      <c r="E545" s="199"/>
      <c r="F545" s="199"/>
      <c r="G545" s="199"/>
      <c r="H545" s="199"/>
      <c r="I545" s="199"/>
      <c r="J545" s="199"/>
      <c r="K545" s="199"/>
      <c r="L545" s="199"/>
      <c r="M545" s="199"/>
      <c r="N545" s="199"/>
      <c r="O545" s="199"/>
      <c r="P545" s="199"/>
      <c r="Q545" s="199"/>
      <c r="R545" s="199"/>
      <c r="S545" s="199"/>
    </row>
    <row r="546" spans="4:19">
      <c r="D546" s="216"/>
      <c r="E546" s="199"/>
      <c r="F546" s="199"/>
      <c r="G546" s="199"/>
      <c r="H546" s="199"/>
      <c r="I546" s="199"/>
      <c r="J546" s="199"/>
      <c r="K546" s="199"/>
      <c r="L546" s="199"/>
      <c r="M546" s="199"/>
      <c r="N546" s="199"/>
      <c r="O546" s="199"/>
      <c r="P546" s="199"/>
      <c r="Q546" s="199"/>
      <c r="R546" s="199"/>
      <c r="S546" s="199"/>
    </row>
    <row r="547" spans="4:19">
      <c r="D547" s="216"/>
      <c r="E547" s="199"/>
      <c r="F547" s="199"/>
      <c r="G547" s="199"/>
      <c r="H547" s="199"/>
      <c r="I547" s="199"/>
      <c r="J547" s="199"/>
      <c r="K547" s="199"/>
      <c r="L547" s="199"/>
      <c r="M547" s="199"/>
      <c r="N547" s="199"/>
      <c r="O547" s="199"/>
      <c r="P547" s="199"/>
      <c r="Q547" s="199"/>
      <c r="R547" s="199"/>
      <c r="S547" s="199"/>
    </row>
    <row r="548" spans="4:19">
      <c r="D548" s="216"/>
      <c r="E548" s="199"/>
      <c r="F548" s="199"/>
      <c r="G548" s="199"/>
      <c r="H548" s="199"/>
      <c r="I548" s="199"/>
      <c r="J548" s="199"/>
      <c r="K548" s="199"/>
      <c r="L548" s="199"/>
      <c r="M548" s="199"/>
      <c r="N548" s="199"/>
      <c r="O548" s="199"/>
      <c r="P548" s="199"/>
      <c r="Q548" s="199"/>
      <c r="R548" s="199"/>
      <c r="S548" s="199"/>
    </row>
    <row r="549" spans="4:19">
      <c r="D549" s="216"/>
      <c r="E549" s="199"/>
      <c r="F549" s="199"/>
      <c r="G549" s="199"/>
      <c r="H549" s="199"/>
      <c r="I549" s="199"/>
      <c r="J549" s="199"/>
      <c r="K549" s="199"/>
      <c r="L549" s="199"/>
      <c r="M549" s="199"/>
      <c r="N549" s="199"/>
      <c r="O549" s="199"/>
      <c r="P549" s="199"/>
      <c r="Q549" s="199"/>
      <c r="R549" s="199"/>
      <c r="S549" s="199"/>
    </row>
    <row r="550" spans="4:19">
      <c r="D550" s="216"/>
      <c r="E550" s="199"/>
      <c r="F550" s="199"/>
      <c r="G550" s="199"/>
      <c r="H550" s="199"/>
      <c r="I550" s="199"/>
      <c r="J550" s="199"/>
      <c r="K550" s="199"/>
      <c r="L550" s="199"/>
      <c r="M550" s="199"/>
      <c r="N550" s="199"/>
      <c r="O550" s="199"/>
      <c r="P550" s="199"/>
      <c r="Q550" s="199"/>
      <c r="R550" s="199"/>
      <c r="S550" s="199"/>
    </row>
    <row r="551" spans="4:19">
      <c r="D551" s="216"/>
      <c r="E551" s="199"/>
      <c r="F551" s="199"/>
      <c r="G551" s="199"/>
      <c r="H551" s="199"/>
      <c r="I551" s="199"/>
      <c r="J551" s="199"/>
      <c r="K551" s="199"/>
      <c r="L551" s="199"/>
      <c r="M551" s="199"/>
      <c r="N551" s="199"/>
      <c r="O551" s="199"/>
      <c r="P551" s="199"/>
      <c r="Q551" s="199"/>
      <c r="R551" s="199"/>
      <c r="S551" s="199"/>
    </row>
    <row r="552" spans="4:19">
      <c r="D552" s="216"/>
      <c r="E552" s="199"/>
      <c r="F552" s="199"/>
      <c r="G552" s="199"/>
      <c r="H552" s="199"/>
      <c r="I552" s="199"/>
      <c r="J552" s="199"/>
      <c r="K552" s="199"/>
      <c r="L552" s="199"/>
      <c r="M552" s="199"/>
      <c r="N552" s="199"/>
      <c r="O552" s="199"/>
      <c r="P552" s="199"/>
      <c r="Q552" s="199"/>
      <c r="R552" s="199"/>
      <c r="S552" s="199"/>
    </row>
    <row r="553" spans="4:19">
      <c r="D553" s="216"/>
      <c r="E553" s="199"/>
      <c r="F553" s="199"/>
      <c r="G553" s="199"/>
      <c r="H553" s="199"/>
      <c r="I553" s="199"/>
      <c r="J553" s="199"/>
      <c r="K553" s="199"/>
      <c r="L553" s="199"/>
      <c r="M553" s="199"/>
      <c r="N553" s="199"/>
      <c r="O553" s="199"/>
      <c r="P553" s="199"/>
      <c r="Q553" s="199"/>
      <c r="R553" s="199"/>
      <c r="S553" s="199"/>
    </row>
    <row r="554" spans="4:19">
      <c r="D554" s="216"/>
      <c r="E554" s="199"/>
      <c r="F554" s="199"/>
      <c r="G554" s="199"/>
      <c r="H554" s="199"/>
      <c r="I554" s="199"/>
      <c r="J554" s="199"/>
      <c r="K554" s="199"/>
      <c r="L554" s="199"/>
      <c r="M554" s="199"/>
      <c r="N554" s="199"/>
      <c r="O554" s="199"/>
      <c r="P554" s="199"/>
      <c r="Q554" s="199"/>
      <c r="R554" s="199"/>
      <c r="S554" s="199"/>
    </row>
    <row r="555" spans="4:19">
      <c r="D555" s="216"/>
      <c r="E555" s="199"/>
      <c r="F555" s="199"/>
      <c r="G555" s="199"/>
      <c r="H555" s="199"/>
      <c r="I555" s="199"/>
      <c r="J555" s="199"/>
      <c r="K555" s="199"/>
      <c r="L555" s="199"/>
      <c r="M555" s="199"/>
      <c r="N555" s="199"/>
      <c r="O555" s="199"/>
      <c r="P555" s="199"/>
      <c r="Q555" s="199"/>
      <c r="R555" s="199"/>
      <c r="S555" s="199"/>
    </row>
    <row r="556" spans="4:19">
      <c r="D556" s="216"/>
      <c r="E556" s="199"/>
      <c r="F556" s="199"/>
      <c r="G556" s="199"/>
      <c r="H556" s="199"/>
      <c r="I556" s="199"/>
      <c r="J556" s="199"/>
      <c r="K556" s="199"/>
      <c r="L556" s="199"/>
      <c r="M556" s="199"/>
      <c r="N556" s="199"/>
      <c r="O556" s="199"/>
      <c r="P556" s="199"/>
      <c r="Q556" s="199"/>
      <c r="R556" s="199"/>
      <c r="S556" s="199"/>
    </row>
    <row r="557" spans="4:19">
      <c r="D557" s="216"/>
      <c r="E557" s="199"/>
      <c r="F557" s="199"/>
      <c r="G557" s="199"/>
      <c r="H557" s="199"/>
      <c r="I557" s="199"/>
      <c r="J557" s="199"/>
      <c r="K557" s="199"/>
      <c r="L557" s="199"/>
      <c r="M557" s="199"/>
      <c r="N557" s="199"/>
      <c r="O557" s="199"/>
      <c r="P557" s="199"/>
      <c r="Q557" s="199"/>
      <c r="R557" s="199"/>
      <c r="S557" s="199"/>
    </row>
    <row r="558" spans="4:19">
      <c r="D558" s="216"/>
      <c r="E558" s="199"/>
      <c r="F558" s="199"/>
      <c r="G558" s="199"/>
      <c r="H558" s="199"/>
      <c r="I558" s="199"/>
      <c r="J558" s="199"/>
      <c r="K558" s="199"/>
      <c r="L558" s="199"/>
      <c r="M558" s="199"/>
      <c r="N558" s="199"/>
      <c r="O558" s="199"/>
      <c r="P558" s="199"/>
      <c r="Q558" s="199"/>
      <c r="R558" s="199"/>
      <c r="S558" s="199"/>
    </row>
    <row r="559" spans="4:19">
      <c r="D559" s="216"/>
      <c r="E559" s="199"/>
      <c r="F559" s="199"/>
      <c r="G559" s="199"/>
      <c r="H559" s="199"/>
      <c r="I559" s="199"/>
      <c r="J559" s="199"/>
      <c r="K559" s="199"/>
      <c r="L559" s="199"/>
      <c r="M559" s="199"/>
      <c r="N559" s="199"/>
      <c r="O559" s="199"/>
      <c r="P559" s="199"/>
      <c r="Q559" s="199"/>
      <c r="R559" s="199"/>
      <c r="S559" s="199"/>
    </row>
    <row r="560" spans="4:19">
      <c r="D560" s="216"/>
      <c r="E560" s="199"/>
      <c r="F560" s="199"/>
      <c r="G560" s="199"/>
      <c r="H560" s="199"/>
      <c r="I560" s="199"/>
      <c r="J560" s="199"/>
      <c r="K560" s="199"/>
      <c r="L560" s="199"/>
      <c r="M560" s="199"/>
      <c r="N560" s="199"/>
      <c r="O560" s="199"/>
      <c r="P560" s="199"/>
      <c r="Q560" s="199"/>
      <c r="R560" s="199"/>
      <c r="S560" s="199"/>
    </row>
    <row r="561" spans="4:19">
      <c r="D561" s="216"/>
      <c r="E561" s="199"/>
      <c r="F561" s="199"/>
      <c r="G561" s="199"/>
      <c r="H561" s="199"/>
      <c r="I561" s="199"/>
      <c r="J561" s="199"/>
      <c r="K561" s="199"/>
      <c r="L561" s="199"/>
      <c r="M561" s="199"/>
      <c r="N561" s="199"/>
      <c r="O561" s="199"/>
      <c r="P561" s="199"/>
      <c r="Q561" s="199"/>
      <c r="R561" s="199"/>
      <c r="S561" s="199"/>
    </row>
    <row r="562" spans="4:19">
      <c r="D562" s="216"/>
      <c r="E562" s="199"/>
      <c r="F562" s="199"/>
      <c r="G562" s="199"/>
      <c r="H562" s="199"/>
      <c r="I562" s="199"/>
      <c r="J562" s="199"/>
      <c r="K562" s="199"/>
      <c r="L562" s="199"/>
      <c r="M562" s="199"/>
      <c r="N562" s="199"/>
      <c r="O562" s="199"/>
      <c r="P562" s="199"/>
      <c r="Q562" s="199"/>
      <c r="R562" s="199"/>
      <c r="S562" s="199"/>
    </row>
    <row r="563" spans="4:19">
      <c r="D563" s="216"/>
      <c r="E563" s="199"/>
      <c r="F563" s="199"/>
      <c r="G563" s="199"/>
      <c r="H563" s="199"/>
      <c r="I563" s="199"/>
      <c r="J563" s="199"/>
      <c r="K563" s="199"/>
      <c r="L563" s="199"/>
      <c r="M563" s="199"/>
      <c r="N563" s="199"/>
      <c r="O563" s="199"/>
      <c r="P563" s="199"/>
      <c r="Q563" s="199"/>
      <c r="R563" s="199"/>
      <c r="S563" s="199"/>
    </row>
    <row r="564" spans="4:19">
      <c r="D564" s="216"/>
      <c r="E564" s="199"/>
      <c r="F564" s="199"/>
      <c r="G564" s="199"/>
      <c r="H564" s="199"/>
      <c r="I564" s="199"/>
      <c r="J564" s="199"/>
      <c r="K564" s="199"/>
      <c r="L564" s="199"/>
      <c r="M564" s="199"/>
      <c r="N564" s="199"/>
      <c r="O564" s="199"/>
      <c r="P564" s="199"/>
      <c r="Q564" s="199"/>
      <c r="R564" s="199"/>
      <c r="S564" s="199"/>
    </row>
    <row r="565" spans="4:19">
      <c r="D565" s="216"/>
      <c r="E565" s="199"/>
      <c r="F565" s="199"/>
      <c r="G565" s="199"/>
      <c r="H565" s="199"/>
      <c r="I565" s="199"/>
      <c r="J565" s="199"/>
      <c r="K565" s="199"/>
      <c r="L565" s="199"/>
      <c r="M565" s="199"/>
      <c r="N565" s="199"/>
      <c r="O565" s="199"/>
      <c r="P565" s="199"/>
      <c r="Q565" s="199"/>
      <c r="R565" s="199"/>
      <c r="S565" s="199"/>
    </row>
    <row r="566" spans="4:19">
      <c r="D566" s="216"/>
      <c r="E566" s="199"/>
      <c r="F566" s="199"/>
      <c r="G566" s="199"/>
      <c r="H566" s="199"/>
      <c r="I566" s="199"/>
      <c r="J566" s="199"/>
      <c r="K566" s="199"/>
      <c r="L566" s="199"/>
      <c r="M566" s="199"/>
      <c r="N566" s="199"/>
      <c r="O566" s="199"/>
      <c r="P566" s="199"/>
      <c r="Q566" s="199"/>
      <c r="R566" s="199"/>
      <c r="S566" s="199"/>
    </row>
    <row r="567" spans="4:19">
      <c r="D567" s="216"/>
      <c r="E567" s="199"/>
      <c r="F567" s="199"/>
      <c r="G567" s="199"/>
      <c r="H567" s="199"/>
      <c r="I567" s="199"/>
      <c r="J567" s="199"/>
      <c r="K567" s="199"/>
      <c r="L567" s="199"/>
      <c r="M567" s="199"/>
      <c r="N567" s="199"/>
      <c r="O567" s="199"/>
      <c r="P567" s="199"/>
      <c r="Q567" s="199"/>
      <c r="R567" s="199"/>
      <c r="S567" s="199"/>
    </row>
    <row r="568" spans="4:19">
      <c r="D568" s="216"/>
      <c r="E568" s="199"/>
      <c r="F568" s="199"/>
      <c r="G568" s="199"/>
      <c r="H568" s="199"/>
      <c r="I568" s="199"/>
      <c r="J568" s="199"/>
      <c r="K568" s="199"/>
      <c r="L568" s="199"/>
      <c r="M568" s="199"/>
      <c r="N568" s="199"/>
      <c r="O568" s="199"/>
      <c r="P568" s="199"/>
      <c r="Q568" s="199"/>
      <c r="R568" s="199"/>
      <c r="S568" s="199"/>
    </row>
    <row r="569" spans="4:19">
      <c r="D569" s="216"/>
      <c r="E569" s="199"/>
      <c r="F569" s="199"/>
      <c r="G569" s="199"/>
      <c r="H569" s="199"/>
      <c r="I569" s="199"/>
      <c r="J569" s="199"/>
      <c r="K569" s="199"/>
      <c r="L569" s="199"/>
      <c r="M569" s="199"/>
      <c r="N569" s="199"/>
      <c r="O569" s="199"/>
      <c r="P569" s="199"/>
      <c r="Q569" s="199"/>
      <c r="R569" s="199"/>
      <c r="S569" s="199"/>
    </row>
    <row r="570" spans="4:19">
      <c r="D570" s="216"/>
      <c r="E570" s="199"/>
      <c r="F570" s="199"/>
      <c r="G570" s="199"/>
      <c r="H570" s="199"/>
      <c r="I570" s="199"/>
      <c r="J570" s="199"/>
      <c r="K570" s="199"/>
      <c r="L570" s="199"/>
      <c r="M570" s="199"/>
      <c r="N570" s="199"/>
      <c r="O570" s="199"/>
      <c r="P570" s="199"/>
      <c r="Q570" s="199"/>
      <c r="R570" s="199"/>
      <c r="S570" s="199"/>
    </row>
    <row r="571" spans="4:19">
      <c r="D571" s="216"/>
      <c r="E571" s="199"/>
      <c r="F571" s="199"/>
      <c r="G571" s="199"/>
      <c r="H571" s="199"/>
      <c r="I571" s="199"/>
      <c r="J571" s="199"/>
      <c r="K571" s="199"/>
      <c r="L571" s="199"/>
      <c r="M571" s="199"/>
      <c r="N571" s="199"/>
      <c r="O571" s="199"/>
      <c r="P571" s="199"/>
      <c r="Q571" s="199"/>
      <c r="R571" s="199"/>
      <c r="S571" s="199"/>
    </row>
    <row r="572" spans="4:19">
      <c r="D572" s="216"/>
      <c r="E572" s="199"/>
      <c r="F572" s="199"/>
      <c r="G572" s="199"/>
      <c r="H572" s="199"/>
      <c r="I572" s="199"/>
      <c r="J572" s="199"/>
      <c r="K572" s="199"/>
      <c r="L572" s="199"/>
      <c r="M572" s="199"/>
      <c r="N572" s="199"/>
      <c r="O572" s="199"/>
      <c r="P572" s="199"/>
      <c r="Q572" s="199"/>
      <c r="R572" s="199"/>
      <c r="S572" s="199"/>
    </row>
    <row r="573" spans="4:19">
      <c r="D573" s="216"/>
      <c r="E573" s="199"/>
      <c r="F573" s="199"/>
      <c r="G573" s="199"/>
      <c r="H573" s="199"/>
      <c r="I573" s="199"/>
      <c r="J573" s="199"/>
      <c r="K573" s="199"/>
      <c r="L573" s="199"/>
      <c r="M573" s="199"/>
      <c r="N573" s="199"/>
      <c r="O573" s="199"/>
      <c r="P573" s="199"/>
      <c r="Q573" s="199"/>
      <c r="R573" s="199"/>
      <c r="S573" s="199"/>
    </row>
    <row r="574" spans="4:19">
      <c r="D574" s="216"/>
      <c r="E574" s="199"/>
      <c r="F574" s="199"/>
      <c r="G574" s="199"/>
      <c r="H574" s="199"/>
      <c r="I574" s="199"/>
      <c r="J574" s="199"/>
      <c r="K574" s="199"/>
      <c r="L574" s="199"/>
      <c r="M574" s="199"/>
      <c r="N574" s="199"/>
      <c r="O574" s="199"/>
      <c r="P574" s="199"/>
      <c r="Q574" s="199"/>
      <c r="R574" s="199"/>
      <c r="S574" s="199"/>
    </row>
    <row r="575" spans="4:19">
      <c r="D575" s="216"/>
      <c r="E575" s="199"/>
      <c r="F575" s="199"/>
      <c r="G575" s="199"/>
      <c r="H575" s="199"/>
      <c r="I575" s="199"/>
      <c r="J575" s="199"/>
      <c r="K575" s="199"/>
      <c r="L575" s="199"/>
      <c r="M575" s="199"/>
      <c r="N575" s="199"/>
      <c r="O575" s="199"/>
      <c r="P575" s="199"/>
      <c r="Q575" s="199"/>
      <c r="R575" s="199"/>
      <c r="S575" s="199"/>
    </row>
    <row r="576" spans="4:19">
      <c r="D576" s="216"/>
      <c r="E576" s="199"/>
      <c r="F576" s="199"/>
      <c r="G576" s="199"/>
      <c r="H576" s="199"/>
      <c r="I576" s="199"/>
      <c r="J576" s="199"/>
      <c r="K576" s="199"/>
      <c r="L576" s="199"/>
      <c r="M576" s="199"/>
      <c r="N576" s="199"/>
      <c r="O576" s="199"/>
      <c r="P576" s="199"/>
      <c r="Q576" s="199"/>
      <c r="R576" s="199"/>
      <c r="S576" s="199"/>
    </row>
    <row r="577" spans="4:19">
      <c r="D577" s="216"/>
      <c r="E577" s="199"/>
      <c r="F577" s="199"/>
      <c r="G577" s="199"/>
      <c r="H577" s="199"/>
      <c r="I577" s="199"/>
      <c r="J577" s="199"/>
      <c r="K577" s="199"/>
      <c r="L577" s="199"/>
      <c r="M577" s="199"/>
      <c r="N577" s="199"/>
      <c r="O577" s="199"/>
      <c r="P577" s="199"/>
      <c r="Q577" s="199"/>
      <c r="R577" s="199"/>
      <c r="S577" s="199"/>
    </row>
    <row r="578" spans="4:19">
      <c r="D578" s="216"/>
      <c r="E578" s="199"/>
      <c r="F578" s="199"/>
      <c r="G578" s="199"/>
      <c r="H578" s="199"/>
      <c r="I578" s="199"/>
      <c r="J578" s="199"/>
      <c r="K578" s="199"/>
      <c r="L578" s="199"/>
      <c r="M578" s="199"/>
      <c r="N578" s="199"/>
      <c r="O578" s="199"/>
      <c r="P578" s="199"/>
      <c r="Q578" s="199"/>
      <c r="R578" s="199"/>
      <c r="S578" s="199"/>
    </row>
    <row r="579" spans="4:19">
      <c r="D579" s="216"/>
      <c r="E579" s="199"/>
      <c r="F579" s="199"/>
      <c r="G579" s="199"/>
      <c r="H579" s="199"/>
      <c r="I579" s="199"/>
      <c r="J579" s="199"/>
      <c r="K579" s="199"/>
      <c r="L579" s="199"/>
      <c r="M579" s="199"/>
      <c r="N579" s="199"/>
      <c r="O579" s="199"/>
      <c r="P579" s="199"/>
      <c r="Q579" s="199"/>
      <c r="R579" s="199"/>
      <c r="S579" s="199"/>
    </row>
    <row r="580" spans="4:19">
      <c r="D580" s="216"/>
      <c r="E580" s="199"/>
      <c r="F580" s="199"/>
      <c r="G580" s="199"/>
      <c r="H580" s="199"/>
      <c r="I580" s="199"/>
      <c r="J580" s="199"/>
      <c r="K580" s="199"/>
      <c r="L580" s="199"/>
      <c r="M580" s="199"/>
      <c r="N580" s="199"/>
      <c r="O580" s="199"/>
      <c r="P580" s="199"/>
      <c r="Q580" s="199"/>
      <c r="R580" s="199"/>
      <c r="S580" s="199"/>
    </row>
    <row r="581" spans="4:19">
      <c r="D581" s="216"/>
      <c r="E581" s="199"/>
      <c r="F581" s="199"/>
      <c r="G581" s="199"/>
      <c r="H581" s="199"/>
      <c r="I581" s="199"/>
      <c r="J581" s="199"/>
      <c r="K581" s="199"/>
      <c r="L581" s="199"/>
      <c r="M581" s="199"/>
      <c r="N581" s="199"/>
      <c r="O581" s="199"/>
      <c r="P581" s="199"/>
      <c r="Q581" s="199"/>
      <c r="R581" s="199"/>
      <c r="S581" s="199"/>
    </row>
    <row r="582" spans="4:19">
      <c r="D582" s="216"/>
      <c r="E582" s="199"/>
      <c r="F582" s="199"/>
      <c r="G582" s="199"/>
      <c r="H582" s="199"/>
      <c r="I582" s="199"/>
      <c r="J582" s="199"/>
      <c r="K582" s="199"/>
      <c r="L582" s="199"/>
      <c r="M582" s="199"/>
      <c r="N582" s="199"/>
      <c r="O582" s="199"/>
      <c r="P582" s="199"/>
      <c r="Q582" s="199"/>
      <c r="R582" s="199"/>
      <c r="S582" s="199"/>
    </row>
    <row r="583" spans="4:19">
      <c r="D583" s="216"/>
      <c r="E583" s="199"/>
      <c r="F583" s="199"/>
      <c r="G583" s="199"/>
      <c r="H583" s="199"/>
      <c r="I583" s="199"/>
      <c r="J583" s="199"/>
      <c r="K583" s="199"/>
      <c r="L583" s="199"/>
      <c r="M583" s="199"/>
      <c r="N583" s="199"/>
      <c r="O583" s="199"/>
      <c r="P583" s="199"/>
      <c r="Q583" s="199"/>
      <c r="R583" s="199"/>
      <c r="S583" s="199"/>
    </row>
    <row r="584" spans="4:19">
      <c r="D584" s="216"/>
      <c r="E584" s="199"/>
      <c r="F584" s="199"/>
      <c r="G584" s="199"/>
      <c r="H584" s="199"/>
      <c r="I584" s="199"/>
      <c r="J584" s="199"/>
      <c r="K584" s="199"/>
      <c r="L584" s="199"/>
      <c r="M584" s="199"/>
      <c r="N584" s="199"/>
      <c r="O584" s="199"/>
      <c r="P584" s="199"/>
      <c r="Q584" s="199"/>
      <c r="R584" s="199"/>
      <c r="S584" s="199"/>
    </row>
    <row r="585" spans="4:19">
      <c r="D585" s="216"/>
      <c r="E585" s="199"/>
      <c r="F585" s="199"/>
      <c r="G585" s="199"/>
      <c r="H585" s="199"/>
      <c r="I585" s="199"/>
      <c r="J585" s="199"/>
      <c r="K585" s="199"/>
      <c r="L585" s="199"/>
      <c r="M585" s="199"/>
      <c r="N585" s="199"/>
      <c r="O585" s="199"/>
      <c r="P585" s="199"/>
      <c r="Q585" s="199"/>
      <c r="R585" s="199"/>
      <c r="S585" s="199"/>
    </row>
    <row r="586" spans="4:19">
      <c r="D586" s="216"/>
      <c r="E586" s="199"/>
      <c r="F586" s="199"/>
      <c r="G586" s="199"/>
      <c r="H586" s="199"/>
      <c r="I586" s="199"/>
      <c r="J586" s="199"/>
      <c r="K586" s="199"/>
      <c r="L586" s="199"/>
      <c r="M586" s="199"/>
      <c r="N586" s="199"/>
      <c r="O586" s="199"/>
      <c r="P586" s="199"/>
      <c r="Q586" s="199"/>
      <c r="R586" s="199"/>
      <c r="S586" s="199"/>
    </row>
    <row r="587" spans="4:19">
      <c r="D587" s="216"/>
      <c r="E587" s="199"/>
      <c r="F587" s="199"/>
      <c r="G587" s="199"/>
      <c r="H587" s="199"/>
      <c r="I587" s="199"/>
      <c r="J587" s="199"/>
      <c r="K587" s="199"/>
      <c r="L587" s="199"/>
      <c r="M587" s="199"/>
      <c r="N587" s="199"/>
      <c r="O587" s="199"/>
      <c r="P587" s="199"/>
      <c r="Q587" s="199"/>
      <c r="R587" s="199"/>
      <c r="S587" s="199"/>
    </row>
    <row r="588" spans="4:19">
      <c r="D588" s="216"/>
      <c r="E588" s="199"/>
      <c r="F588" s="199"/>
      <c r="G588" s="199"/>
      <c r="H588" s="199"/>
      <c r="I588" s="199"/>
      <c r="J588" s="199"/>
      <c r="K588" s="199"/>
      <c r="L588" s="199"/>
      <c r="M588" s="199"/>
      <c r="N588" s="199"/>
      <c r="O588" s="199"/>
      <c r="P588" s="199"/>
      <c r="Q588" s="199"/>
      <c r="R588" s="199"/>
      <c r="S588" s="199"/>
    </row>
    <row r="589" spans="4:19">
      <c r="D589" s="216"/>
      <c r="E589" s="199"/>
      <c r="F589" s="199"/>
      <c r="G589" s="199"/>
      <c r="H589" s="199"/>
      <c r="I589" s="199"/>
      <c r="J589" s="199"/>
      <c r="K589" s="199"/>
      <c r="L589" s="199"/>
      <c r="M589" s="199"/>
      <c r="N589" s="199"/>
      <c r="O589" s="199"/>
      <c r="P589" s="199"/>
      <c r="Q589" s="199"/>
      <c r="R589" s="199"/>
      <c r="S589" s="199"/>
    </row>
    <row r="590" spans="4:19">
      <c r="D590" s="216"/>
      <c r="E590" s="199"/>
      <c r="F590" s="199"/>
      <c r="G590" s="199"/>
      <c r="H590" s="199"/>
      <c r="I590" s="199"/>
      <c r="J590" s="199"/>
      <c r="K590" s="199"/>
      <c r="L590" s="199"/>
      <c r="M590" s="199"/>
      <c r="N590" s="199"/>
      <c r="O590" s="199"/>
      <c r="P590" s="199"/>
      <c r="Q590" s="199"/>
      <c r="R590" s="199"/>
      <c r="S590" s="199"/>
    </row>
    <row r="591" spans="4:19">
      <c r="D591" s="216"/>
      <c r="E591" s="199"/>
      <c r="F591" s="199"/>
      <c r="G591" s="199"/>
      <c r="H591" s="199"/>
      <c r="I591" s="199"/>
      <c r="J591" s="199"/>
      <c r="K591" s="199"/>
      <c r="L591" s="199"/>
      <c r="M591" s="199"/>
      <c r="N591" s="199"/>
      <c r="O591" s="199"/>
      <c r="P591" s="199"/>
      <c r="Q591" s="199"/>
      <c r="R591" s="199"/>
      <c r="S591" s="199"/>
    </row>
    <row r="592" spans="4:19">
      <c r="D592" s="216"/>
      <c r="E592" s="199"/>
      <c r="F592" s="199"/>
      <c r="G592" s="199"/>
      <c r="H592" s="199"/>
      <c r="I592" s="199"/>
      <c r="J592" s="199"/>
      <c r="K592" s="199"/>
      <c r="L592" s="199"/>
      <c r="M592" s="199"/>
      <c r="N592" s="199"/>
      <c r="O592" s="199"/>
      <c r="P592" s="199"/>
      <c r="Q592" s="199"/>
      <c r="R592" s="199"/>
      <c r="S592" s="199"/>
    </row>
    <row r="593" spans="4:19">
      <c r="D593" s="216"/>
      <c r="E593" s="199"/>
      <c r="F593" s="199"/>
      <c r="G593" s="199"/>
      <c r="H593" s="199"/>
      <c r="I593" s="199"/>
      <c r="J593" s="199"/>
      <c r="K593" s="199"/>
      <c r="L593" s="199"/>
      <c r="M593" s="199"/>
      <c r="N593" s="199"/>
      <c r="O593" s="199"/>
      <c r="P593" s="199"/>
      <c r="Q593" s="199"/>
      <c r="R593" s="199"/>
      <c r="S593" s="199"/>
    </row>
    <row r="594" spans="4:19">
      <c r="D594" s="216"/>
      <c r="E594" s="199"/>
      <c r="F594" s="199"/>
      <c r="G594" s="199"/>
      <c r="H594" s="199"/>
      <c r="I594" s="199"/>
      <c r="J594" s="199"/>
      <c r="K594" s="199"/>
      <c r="L594" s="199"/>
      <c r="M594" s="199"/>
      <c r="N594" s="199"/>
      <c r="O594" s="199"/>
      <c r="P594" s="199"/>
      <c r="Q594" s="199"/>
      <c r="R594" s="199"/>
      <c r="S594" s="199"/>
    </row>
    <row r="595" spans="4:19">
      <c r="D595" s="216"/>
      <c r="E595" s="199"/>
      <c r="F595" s="199"/>
      <c r="G595" s="199"/>
      <c r="H595" s="199"/>
      <c r="I595" s="199"/>
      <c r="J595" s="199"/>
      <c r="K595" s="199"/>
      <c r="L595" s="199"/>
      <c r="M595" s="199"/>
      <c r="N595" s="199"/>
      <c r="O595" s="199"/>
      <c r="P595" s="199"/>
      <c r="Q595" s="199"/>
      <c r="R595" s="199"/>
      <c r="S595" s="199"/>
    </row>
    <row r="596" spans="4:19">
      <c r="D596" s="216"/>
      <c r="E596" s="199"/>
      <c r="F596" s="199"/>
      <c r="G596" s="199"/>
      <c r="H596" s="199"/>
      <c r="I596" s="199"/>
      <c r="J596" s="199"/>
      <c r="K596" s="199"/>
      <c r="L596" s="199"/>
      <c r="M596" s="199"/>
      <c r="N596" s="199"/>
      <c r="O596" s="199"/>
      <c r="P596" s="199"/>
      <c r="Q596" s="199"/>
      <c r="R596" s="199"/>
      <c r="S596" s="199"/>
    </row>
    <row r="597" spans="4:19">
      <c r="D597" s="216"/>
      <c r="E597" s="199"/>
      <c r="F597" s="199"/>
      <c r="G597" s="199"/>
      <c r="H597" s="199"/>
      <c r="I597" s="199"/>
      <c r="J597" s="199"/>
      <c r="K597" s="199"/>
      <c r="L597" s="199"/>
      <c r="M597" s="199"/>
      <c r="N597" s="199"/>
      <c r="O597" s="199"/>
      <c r="P597" s="199"/>
      <c r="Q597" s="199"/>
      <c r="R597" s="199"/>
      <c r="S597" s="199"/>
    </row>
    <row r="598" spans="4:19">
      <c r="D598" s="216"/>
      <c r="E598" s="199"/>
      <c r="F598" s="199"/>
      <c r="G598" s="199"/>
      <c r="H598" s="199"/>
      <c r="I598" s="199"/>
      <c r="J598" s="199"/>
      <c r="K598" s="199"/>
      <c r="L598" s="199"/>
      <c r="M598" s="199"/>
      <c r="N598" s="199"/>
      <c r="O598" s="199"/>
      <c r="P598" s="199"/>
      <c r="Q598" s="199"/>
      <c r="R598" s="199"/>
      <c r="S598" s="199"/>
    </row>
    <row r="599" spans="4:19">
      <c r="D599" s="216"/>
      <c r="E599" s="199"/>
      <c r="F599" s="199"/>
      <c r="G599" s="199"/>
      <c r="H599" s="199"/>
      <c r="I599" s="199"/>
      <c r="J599" s="199"/>
      <c r="K599" s="199"/>
      <c r="L599" s="199"/>
      <c r="M599" s="199"/>
      <c r="N599" s="199"/>
      <c r="O599" s="199"/>
      <c r="P599" s="199"/>
      <c r="Q599" s="199"/>
      <c r="R599" s="199"/>
      <c r="S599" s="199"/>
    </row>
    <row r="600" spans="4:19">
      <c r="D600" s="216"/>
      <c r="E600" s="199"/>
      <c r="F600" s="199"/>
      <c r="G600" s="199"/>
      <c r="H600" s="199"/>
      <c r="I600" s="199"/>
      <c r="J600" s="199"/>
      <c r="K600" s="199"/>
      <c r="L600" s="199"/>
      <c r="M600" s="199"/>
      <c r="N600" s="199"/>
      <c r="O600" s="199"/>
      <c r="P600" s="199"/>
      <c r="Q600" s="199"/>
      <c r="R600" s="199"/>
      <c r="S600" s="199"/>
    </row>
    <row r="601" spans="4:19">
      <c r="D601" s="216"/>
      <c r="E601" s="199"/>
      <c r="F601" s="199"/>
      <c r="G601" s="199"/>
      <c r="H601" s="199"/>
      <c r="I601" s="199"/>
      <c r="J601" s="199"/>
      <c r="K601" s="199"/>
      <c r="L601" s="199"/>
      <c r="M601" s="199"/>
      <c r="N601" s="199"/>
      <c r="O601" s="199"/>
      <c r="P601" s="199"/>
      <c r="Q601" s="199"/>
      <c r="R601" s="199"/>
      <c r="S601" s="199"/>
    </row>
    <row r="602" spans="4:19">
      <c r="D602" s="216"/>
      <c r="E602" s="199"/>
      <c r="F602" s="199"/>
      <c r="G602" s="199"/>
      <c r="H602" s="199"/>
      <c r="I602" s="199"/>
      <c r="J602" s="199"/>
      <c r="K602" s="199"/>
      <c r="L602" s="199"/>
      <c r="M602" s="199"/>
      <c r="N602" s="199"/>
      <c r="O602" s="199"/>
      <c r="P602" s="199"/>
      <c r="Q602" s="199"/>
      <c r="R602" s="199"/>
      <c r="S602" s="199"/>
    </row>
    <row r="603" spans="4:19">
      <c r="D603" s="216"/>
      <c r="E603" s="199"/>
      <c r="F603" s="199"/>
      <c r="G603" s="199"/>
      <c r="H603" s="199"/>
      <c r="I603" s="199"/>
      <c r="J603" s="199"/>
      <c r="K603" s="199"/>
      <c r="L603" s="199"/>
      <c r="M603" s="199"/>
      <c r="N603" s="199"/>
      <c r="O603" s="199"/>
      <c r="P603" s="199"/>
      <c r="Q603" s="199"/>
      <c r="R603" s="199"/>
      <c r="S603" s="199"/>
    </row>
    <row r="604" spans="4:19">
      <c r="D604" s="216"/>
      <c r="E604" s="199"/>
      <c r="F604" s="199"/>
      <c r="G604" s="199"/>
      <c r="H604" s="199"/>
      <c r="I604" s="199"/>
      <c r="J604" s="199"/>
      <c r="K604" s="199"/>
      <c r="L604" s="199"/>
      <c r="M604" s="199"/>
      <c r="N604" s="199"/>
      <c r="O604" s="199"/>
      <c r="P604" s="199"/>
      <c r="Q604" s="199"/>
      <c r="R604" s="199"/>
      <c r="S604" s="199"/>
    </row>
    <row r="605" spans="4:19">
      <c r="D605" s="216"/>
      <c r="E605" s="199"/>
      <c r="F605" s="199"/>
      <c r="G605" s="199"/>
      <c r="H605" s="199"/>
      <c r="I605" s="199"/>
      <c r="J605" s="199"/>
      <c r="K605" s="199"/>
      <c r="L605" s="199"/>
      <c r="M605" s="199"/>
      <c r="N605" s="199"/>
      <c r="O605" s="199"/>
      <c r="P605" s="199"/>
      <c r="Q605" s="199"/>
      <c r="R605" s="199"/>
      <c r="S605" s="199"/>
    </row>
    <row r="606" spans="4:19">
      <c r="D606" s="216"/>
      <c r="E606" s="199"/>
      <c r="F606" s="199"/>
      <c r="G606" s="199"/>
      <c r="H606" s="199"/>
      <c r="I606" s="199"/>
      <c r="J606" s="199"/>
      <c r="K606" s="199"/>
      <c r="L606" s="199"/>
      <c r="M606" s="199"/>
      <c r="N606" s="199"/>
      <c r="O606" s="199"/>
      <c r="P606" s="199"/>
      <c r="Q606" s="199"/>
      <c r="R606" s="199"/>
      <c r="S606" s="199"/>
    </row>
    <row r="607" spans="4:19">
      <c r="D607" s="216"/>
      <c r="E607" s="199"/>
      <c r="F607" s="199"/>
      <c r="G607" s="199"/>
      <c r="H607" s="199"/>
      <c r="I607" s="199"/>
      <c r="J607" s="199"/>
      <c r="K607" s="199"/>
      <c r="L607" s="199"/>
      <c r="M607" s="199"/>
      <c r="N607" s="199"/>
      <c r="O607" s="199"/>
      <c r="P607" s="199"/>
      <c r="Q607" s="199"/>
      <c r="R607" s="199"/>
      <c r="S607" s="199"/>
    </row>
    <row r="608" spans="4:19">
      <c r="D608" s="216"/>
      <c r="E608" s="199"/>
      <c r="F608" s="199"/>
      <c r="G608" s="199"/>
      <c r="H608" s="199"/>
      <c r="I608" s="199"/>
      <c r="J608" s="199"/>
      <c r="K608" s="199"/>
      <c r="L608" s="199"/>
      <c r="M608" s="199"/>
      <c r="N608" s="199"/>
      <c r="O608" s="199"/>
      <c r="P608" s="199"/>
      <c r="Q608" s="199"/>
      <c r="R608" s="199"/>
      <c r="S608" s="199"/>
    </row>
    <row r="609" spans="4:19">
      <c r="D609" s="216"/>
      <c r="E609" s="199"/>
      <c r="F609" s="199"/>
      <c r="G609" s="199"/>
      <c r="H609" s="199"/>
      <c r="I609" s="199"/>
      <c r="J609" s="199"/>
      <c r="K609" s="199"/>
      <c r="L609" s="199"/>
      <c r="M609" s="199"/>
      <c r="N609" s="199"/>
      <c r="O609" s="199"/>
      <c r="P609" s="199"/>
      <c r="Q609" s="199"/>
      <c r="R609" s="199"/>
      <c r="S609" s="199"/>
    </row>
    <row r="610" spans="4:19">
      <c r="D610" s="216"/>
      <c r="E610" s="199"/>
      <c r="F610" s="199"/>
      <c r="G610" s="199"/>
      <c r="H610" s="199"/>
      <c r="I610" s="199"/>
      <c r="J610" s="199"/>
      <c r="K610" s="199"/>
      <c r="L610" s="199"/>
      <c r="M610" s="199"/>
      <c r="N610" s="199"/>
      <c r="O610" s="199"/>
      <c r="P610" s="199"/>
      <c r="Q610" s="199"/>
      <c r="R610" s="199"/>
      <c r="S610" s="199"/>
    </row>
    <row r="611" spans="4:19">
      <c r="D611" s="216"/>
      <c r="E611" s="199"/>
      <c r="F611" s="199"/>
      <c r="G611" s="199"/>
      <c r="H611" s="199"/>
      <c r="I611" s="199"/>
      <c r="J611" s="199"/>
      <c r="K611" s="199"/>
      <c r="L611" s="199"/>
      <c r="M611" s="199"/>
      <c r="N611" s="199"/>
      <c r="O611" s="199"/>
      <c r="P611" s="199"/>
      <c r="Q611" s="199"/>
      <c r="R611" s="199"/>
      <c r="S611" s="199"/>
    </row>
    <row r="612" spans="4:19">
      <c r="D612" s="216"/>
      <c r="E612" s="199"/>
      <c r="F612" s="199"/>
      <c r="G612" s="199"/>
      <c r="H612" s="199"/>
      <c r="I612" s="199"/>
      <c r="J612" s="199"/>
      <c r="K612" s="199"/>
      <c r="L612" s="199"/>
      <c r="M612" s="199"/>
      <c r="N612" s="199"/>
      <c r="O612" s="199"/>
      <c r="P612" s="199"/>
      <c r="Q612" s="199"/>
      <c r="R612" s="199"/>
      <c r="S612" s="199"/>
    </row>
    <row r="613" spans="4:19">
      <c r="D613" s="216"/>
      <c r="E613" s="199"/>
      <c r="F613" s="199"/>
      <c r="G613" s="199"/>
      <c r="H613" s="199"/>
      <c r="I613" s="199"/>
      <c r="J613" s="199"/>
      <c r="K613" s="199"/>
      <c r="L613" s="199"/>
      <c r="M613" s="199"/>
      <c r="N613" s="199"/>
      <c r="O613" s="199"/>
      <c r="P613" s="199"/>
      <c r="Q613" s="199"/>
      <c r="R613" s="199"/>
      <c r="S613" s="199"/>
    </row>
    <row r="614" spans="4:19">
      <c r="D614" s="216"/>
      <c r="E614" s="199"/>
      <c r="F614" s="199"/>
      <c r="G614" s="199"/>
      <c r="H614" s="199"/>
      <c r="I614" s="199"/>
      <c r="J614" s="199"/>
      <c r="K614" s="199"/>
      <c r="L614" s="199"/>
      <c r="M614" s="199"/>
      <c r="N614" s="199"/>
      <c r="O614" s="199"/>
      <c r="P614" s="199"/>
      <c r="Q614" s="199"/>
      <c r="R614" s="199"/>
      <c r="S614" s="199"/>
    </row>
    <row r="615" spans="4:19">
      <c r="D615" s="216"/>
      <c r="E615" s="199"/>
      <c r="F615" s="199"/>
      <c r="G615" s="199"/>
      <c r="H615" s="199"/>
      <c r="I615" s="199"/>
      <c r="J615" s="199"/>
      <c r="K615" s="199"/>
      <c r="L615" s="199"/>
      <c r="M615" s="199"/>
      <c r="N615" s="199"/>
      <c r="O615" s="199"/>
      <c r="P615" s="199"/>
      <c r="Q615" s="199"/>
      <c r="R615" s="199"/>
      <c r="S615" s="199"/>
    </row>
    <row r="616" spans="4:19">
      <c r="D616" s="216"/>
      <c r="E616" s="199"/>
      <c r="F616" s="199"/>
      <c r="G616" s="199"/>
      <c r="H616" s="199"/>
      <c r="I616" s="199"/>
      <c r="J616" s="199"/>
      <c r="K616" s="199"/>
      <c r="L616" s="199"/>
      <c r="M616" s="199"/>
      <c r="N616" s="199"/>
      <c r="O616" s="199"/>
      <c r="P616" s="199"/>
      <c r="Q616" s="199"/>
      <c r="R616" s="199"/>
      <c r="S616" s="199"/>
    </row>
    <row r="617" spans="4:19">
      <c r="D617" s="216"/>
      <c r="E617" s="199"/>
      <c r="F617" s="199"/>
      <c r="G617" s="199"/>
      <c r="H617" s="199"/>
      <c r="I617" s="199"/>
      <c r="J617" s="199"/>
      <c r="K617" s="199"/>
      <c r="L617" s="199"/>
      <c r="M617" s="199"/>
      <c r="N617" s="199"/>
      <c r="O617" s="199"/>
      <c r="P617" s="199"/>
      <c r="Q617" s="199"/>
      <c r="R617" s="199"/>
      <c r="S617" s="199"/>
    </row>
    <row r="618" spans="4:19">
      <c r="D618" s="216"/>
      <c r="E618" s="199"/>
      <c r="F618" s="199"/>
      <c r="G618" s="199"/>
      <c r="H618" s="199"/>
      <c r="I618" s="199"/>
      <c r="J618" s="199"/>
      <c r="K618" s="199"/>
      <c r="L618" s="199"/>
      <c r="M618" s="199"/>
      <c r="N618" s="199"/>
      <c r="O618" s="199"/>
      <c r="P618" s="199"/>
      <c r="Q618" s="199"/>
      <c r="R618" s="199"/>
      <c r="S618" s="199"/>
    </row>
    <row r="619" spans="4:19">
      <c r="D619" s="216"/>
      <c r="E619" s="199"/>
      <c r="F619" s="199"/>
      <c r="G619" s="199"/>
      <c r="H619" s="199"/>
      <c r="I619" s="199"/>
      <c r="J619" s="199"/>
      <c r="K619" s="199"/>
      <c r="L619" s="199"/>
      <c r="M619" s="199"/>
      <c r="N619" s="199"/>
      <c r="O619" s="199"/>
      <c r="P619" s="199"/>
      <c r="Q619" s="199"/>
      <c r="R619" s="199"/>
      <c r="S619" s="199"/>
    </row>
    <row r="620" spans="4:19">
      <c r="D620" s="216"/>
      <c r="E620" s="199"/>
      <c r="F620" s="199"/>
      <c r="G620" s="199"/>
      <c r="H620" s="199"/>
      <c r="I620" s="199"/>
      <c r="J620" s="199"/>
      <c r="K620" s="199"/>
      <c r="L620" s="199"/>
      <c r="M620" s="199"/>
      <c r="N620" s="199"/>
      <c r="O620" s="199"/>
      <c r="P620" s="199"/>
      <c r="Q620" s="199"/>
      <c r="R620" s="199"/>
      <c r="S620" s="199"/>
    </row>
    <row r="621" spans="4:19">
      <c r="D621" s="216"/>
      <c r="E621" s="199"/>
      <c r="F621" s="199"/>
      <c r="G621" s="199"/>
      <c r="H621" s="199"/>
      <c r="I621" s="199"/>
      <c r="J621" s="199"/>
      <c r="K621" s="199"/>
      <c r="L621" s="199"/>
      <c r="M621" s="199"/>
      <c r="N621" s="199"/>
      <c r="O621" s="199"/>
      <c r="P621" s="199"/>
      <c r="Q621" s="199"/>
      <c r="R621" s="199"/>
      <c r="S621" s="199"/>
    </row>
    <row r="622" spans="4:19">
      <c r="D622" s="216"/>
      <c r="E622" s="199"/>
      <c r="F622" s="199"/>
      <c r="G622" s="199"/>
      <c r="H622" s="199"/>
      <c r="I622" s="199"/>
      <c r="J622" s="199"/>
      <c r="K622" s="199"/>
      <c r="L622" s="199"/>
      <c r="M622" s="199"/>
      <c r="N622" s="199"/>
      <c r="O622" s="199"/>
      <c r="P622" s="199"/>
      <c r="Q622" s="199"/>
      <c r="R622" s="199"/>
      <c r="S622" s="199"/>
    </row>
    <row r="623" spans="4:19">
      <c r="D623" s="216"/>
      <c r="E623" s="199"/>
      <c r="F623" s="199"/>
      <c r="G623" s="199"/>
      <c r="H623" s="199"/>
      <c r="I623" s="199"/>
      <c r="J623" s="199"/>
      <c r="K623" s="199"/>
      <c r="L623" s="199"/>
      <c r="M623" s="199"/>
      <c r="N623" s="199"/>
      <c r="O623" s="199"/>
      <c r="P623" s="199"/>
      <c r="Q623" s="199"/>
      <c r="R623" s="199"/>
      <c r="S623" s="199"/>
    </row>
    <row r="624" spans="4:19">
      <c r="D624" s="216"/>
      <c r="E624" s="199"/>
      <c r="F624" s="199"/>
      <c r="G624" s="199"/>
      <c r="H624" s="199"/>
      <c r="I624" s="199"/>
      <c r="J624" s="199"/>
      <c r="K624" s="199"/>
      <c r="L624" s="199"/>
      <c r="M624" s="199"/>
      <c r="N624" s="199"/>
      <c r="O624" s="199"/>
      <c r="P624" s="199"/>
      <c r="Q624" s="199"/>
      <c r="R624" s="199"/>
      <c r="S624" s="199"/>
    </row>
    <row r="625" spans="4:19">
      <c r="D625" s="216"/>
      <c r="E625" s="199"/>
      <c r="F625" s="199"/>
      <c r="G625" s="199"/>
      <c r="H625" s="199"/>
      <c r="I625" s="199"/>
      <c r="J625" s="199"/>
      <c r="K625" s="199"/>
      <c r="L625" s="199"/>
      <c r="M625" s="199"/>
      <c r="N625" s="199"/>
      <c r="O625" s="199"/>
      <c r="P625" s="199"/>
      <c r="Q625" s="199"/>
      <c r="R625" s="199"/>
      <c r="S625" s="199"/>
    </row>
    <row r="626" spans="4:19">
      <c r="D626" s="216"/>
      <c r="E626" s="199"/>
      <c r="F626" s="199"/>
      <c r="G626" s="199"/>
      <c r="H626" s="199"/>
      <c r="I626" s="199"/>
      <c r="J626" s="199"/>
      <c r="K626" s="199"/>
      <c r="L626" s="199"/>
      <c r="M626" s="199"/>
      <c r="N626" s="199"/>
      <c r="O626" s="199"/>
      <c r="P626" s="199"/>
      <c r="Q626" s="199"/>
      <c r="R626" s="199"/>
      <c r="S626" s="199"/>
    </row>
    <row r="627" spans="4:19">
      <c r="D627" s="216"/>
      <c r="E627" s="199"/>
      <c r="F627" s="199"/>
      <c r="G627" s="199"/>
      <c r="H627" s="199"/>
      <c r="I627" s="199"/>
      <c r="J627" s="199"/>
      <c r="K627" s="199"/>
      <c r="L627" s="199"/>
      <c r="M627" s="199"/>
      <c r="N627" s="199"/>
      <c r="O627" s="199"/>
      <c r="P627" s="199"/>
      <c r="Q627" s="199"/>
      <c r="R627" s="199"/>
      <c r="S627" s="199"/>
    </row>
    <row r="628" spans="4:19">
      <c r="D628" s="216"/>
      <c r="E628" s="199"/>
      <c r="F628" s="199"/>
      <c r="G628" s="199"/>
      <c r="H628" s="199"/>
      <c r="I628" s="199"/>
      <c r="J628" s="199"/>
      <c r="K628" s="199"/>
      <c r="L628" s="199"/>
      <c r="M628" s="199"/>
      <c r="N628" s="199"/>
      <c r="O628" s="199"/>
      <c r="P628" s="199"/>
      <c r="Q628" s="199"/>
      <c r="R628" s="199"/>
      <c r="S628" s="199"/>
    </row>
    <row r="629" spans="4:19">
      <c r="D629" s="216"/>
      <c r="E629" s="199"/>
      <c r="F629" s="199"/>
      <c r="G629" s="199"/>
      <c r="H629" s="199"/>
      <c r="I629" s="199"/>
      <c r="J629" s="199"/>
      <c r="K629" s="199"/>
      <c r="L629" s="199"/>
      <c r="M629" s="199"/>
      <c r="N629" s="199"/>
      <c r="O629" s="199"/>
      <c r="P629" s="199"/>
      <c r="Q629" s="199"/>
      <c r="R629" s="199"/>
      <c r="S629" s="199"/>
    </row>
    <row r="630" spans="4:19">
      <c r="D630" s="216"/>
      <c r="E630" s="199"/>
      <c r="F630" s="199"/>
      <c r="G630" s="199"/>
      <c r="H630" s="199"/>
      <c r="I630" s="199"/>
      <c r="J630" s="199"/>
      <c r="K630" s="199"/>
      <c r="L630" s="199"/>
      <c r="M630" s="199"/>
      <c r="N630" s="199"/>
      <c r="O630" s="199"/>
      <c r="P630" s="199"/>
      <c r="Q630" s="199"/>
      <c r="R630" s="199"/>
      <c r="S630" s="199"/>
    </row>
    <row r="631" spans="4:19">
      <c r="D631" s="216"/>
      <c r="E631" s="199"/>
      <c r="F631" s="199"/>
      <c r="G631" s="199"/>
      <c r="H631" s="199"/>
      <c r="I631" s="199"/>
      <c r="J631" s="199"/>
      <c r="K631" s="199"/>
      <c r="L631" s="199"/>
      <c r="M631" s="199"/>
      <c r="N631" s="199"/>
      <c r="O631" s="199"/>
      <c r="P631" s="199"/>
      <c r="Q631" s="199"/>
      <c r="R631" s="199"/>
      <c r="S631" s="199"/>
    </row>
    <row r="632" spans="4:19">
      <c r="D632" s="216"/>
      <c r="E632" s="199"/>
      <c r="F632" s="199"/>
      <c r="G632" s="199"/>
      <c r="H632" s="199"/>
      <c r="I632" s="199"/>
      <c r="J632" s="199"/>
      <c r="K632" s="199"/>
      <c r="L632" s="199"/>
      <c r="M632" s="199"/>
      <c r="N632" s="199"/>
      <c r="O632" s="199"/>
      <c r="P632" s="199"/>
      <c r="Q632" s="199"/>
      <c r="R632" s="199"/>
      <c r="S632" s="199"/>
    </row>
    <row r="633" spans="4:19">
      <c r="D633" s="216"/>
      <c r="E633" s="199"/>
      <c r="F633" s="199"/>
      <c r="G633" s="199"/>
      <c r="H633" s="199"/>
      <c r="I633" s="199"/>
      <c r="J633" s="199"/>
      <c r="K633" s="199"/>
      <c r="L633" s="199"/>
      <c r="M633" s="199"/>
      <c r="N633" s="199"/>
      <c r="O633" s="199"/>
      <c r="P633" s="199"/>
      <c r="Q633" s="199"/>
      <c r="R633" s="199"/>
      <c r="S633" s="199"/>
    </row>
    <row r="634" spans="4:19">
      <c r="D634" s="216"/>
      <c r="E634" s="199"/>
      <c r="F634" s="199"/>
      <c r="G634" s="199"/>
      <c r="H634" s="199"/>
      <c r="I634" s="199"/>
      <c r="J634" s="199"/>
      <c r="K634" s="199"/>
      <c r="L634" s="199"/>
      <c r="M634" s="199"/>
      <c r="N634" s="199"/>
      <c r="O634" s="199"/>
      <c r="P634" s="199"/>
      <c r="Q634" s="199"/>
      <c r="R634" s="199"/>
      <c r="S634" s="199"/>
    </row>
    <row r="635" spans="4:19">
      <c r="D635" s="216"/>
      <c r="E635" s="199"/>
      <c r="F635" s="199"/>
      <c r="G635" s="199"/>
      <c r="H635" s="199"/>
      <c r="I635" s="199"/>
      <c r="J635" s="199"/>
      <c r="K635" s="199"/>
      <c r="L635" s="199"/>
      <c r="M635" s="199"/>
      <c r="N635" s="199"/>
      <c r="O635" s="199"/>
      <c r="P635" s="199"/>
      <c r="Q635" s="199"/>
      <c r="R635" s="199"/>
      <c r="S635" s="199"/>
    </row>
    <row r="636" spans="4:19">
      <c r="D636" s="216"/>
      <c r="E636" s="199"/>
      <c r="F636" s="199"/>
      <c r="G636" s="199"/>
      <c r="H636" s="199"/>
      <c r="I636" s="199"/>
      <c r="J636" s="199"/>
      <c r="K636" s="199"/>
      <c r="L636" s="199"/>
      <c r="M636" s="199"/>
      <c r="N636" s="199"/>
      <c r="O636" s="199"/>
      <c r="P636" s="199"/>
      <c r="Q636" s="199"/>
      <c r="R636" s="199"/>
      <c r="S636" s="199"/>
    </row>
    <row r="637" spans="4:19">
      <c r="D637" s="216"/>
      <c r="E637" s="199"/>
      <c r="F637" s="199"/>
      <c r="G637" s="199"/>
      <c r="H637" s="199"/>
      <c r="I637" s="199"/>
      <c r="J637" s="199"/>
      <c r="K637" s="199"/>
      <c r="L637" s="199"/>
      <c r="M637" s="199"/>
      <c r="N637" s="199"/>
      <c r="O637" s="199"/>
      <c r="P637" s="199"/>
      <c r="Q637" s="199"/>
      <c r="R637" s="199"/>
      <c r="S637" s="199"/>
    </row>
    <row r="638" spans="4:19">
      <c r="D638" s="216"/>
      <c r="E638" s="199"/>
      <c r="F638" s="199"/>
      <c r="G638" s="199"/>
      <c r="H638" s="199"/>
      <c r="I638" s="199"/>
      <c r="J638" s="199"/>
      <c r="K638" s="199"/>
      <c r="L638" s="199"/>
      <c r="M638" s="199"/>
      <c r="N638" s="199"/>
      <c r="O638" s="199"/>
      <c r="P638" s="199"/>
      <c r="Q638" s="199"/>
      <c r="R638" s="199"/>
      <c r="S638" s="199"/>
    </row>
    <row r="639" spans="4:19">
      <c r="D639" s="216"/>
      <c r="E639" s="199"/>
      <c r="F639" s="199"/>
      <c r="G639" s="199"/>
      <c r="H639" s="199"/>
      <c r="I639" s="199"/>
      <c r="J639" s="199"/>
      <c r="K639" s="199"/>
      <c r="L639" s="199"/>
      <c r="M639" s="199"/>
      <c r="N639" s="199"/>
      <c r="O639" s="199"/>
      <c r="P639" s="199"/>
      <c r="Q639" s="199"/>
      <c r="R639" s="199"/>
      <c r="S639" s="199"/>
    </row>
    <row r="640" spans="4:19">
      <c r="D640" s="216"/>
      <c r="E640" s="199"/>
      <c r="F640" s="199"/>
      <c r="G640" s="199"/>
      <c r="H640" s="199"/>
      <c r="I640" s="199"/>
      <c r="J640" s="199"/>
      <c r="K640" s="199"/>
      <c r="L640" s="199"/>
      <c r="M640" s="199"/>
      <c r="N640" s="199"/>
      <c r="O640" s="199"/>
      <c r="P640" s="199"/>
      <c r="Q640" s="199"/>
      <c r="R640" s="199"/>
      <c r="S640" s="199"/>
    </row>
    <row r="641" spans="4:19">
      <c r="D641" s="216"/>
      <c r="E641" s="199"/>
      <c r="F641" s="199"/>
      <c r="G641" s="199"/>
      <c r="H641" s="199"/>
      <c r="I641" s="199"/>
      <c r="J641" s="199"/>
      <c r="K641" s="199"/>
      <c r="L641" s="199"/>
      <c r="M641" s="199"/>
      <c r="N641" s="199"/>
      <c r="O641" s="199"/>
      <c r="P641" s="199"/>
      <c r="Q641" s="199"/>
      <c r="R641" s="199"/>
      <c r="S641" s="199"/>
    </row>
    <row r="642" spans="4:19">
      <c r="D642" s="216"/>
      <c r="E642" s="199"/>
      <c r="F642" s="199"/>
      <c r="G642" s="199"/>
      <c r="H642" s="199"/>
      <c r="I642" s="199"/>
      <c r="J642" s="199"/>
      <c r="K642" s="199"/>
      <c r="L642" s="199"/>
      <c r="M642" s="199"/>
      <c r="N642" s="199"/>
      <c r="O642" s="199"/>
      <c r="P642" s="199"/>
      <c r="Q642" s="199"/>
      <c r="R642" s="199"/>
      <c r="S642" s="199"/>
    </row>
    <row r="643" spans="4:19">
      <c r="D643" s="216"/>
      <c r="E643" s="199"/>
      <c r="F643" s="199"/>
      <c r="G643" s="199"/>
      <c r="H643" s="199"/>
      <c r="I643" s="199"/>
      <c r="J643" s="199"/>
      <c r="K643" s="199"/>
      <c r="L643" s="199"/>
      <c r="M643" s="199"/>
      <c r="N643" s="199"/>
      <c r="O643" s="199"/>
      <c r="P643" s="199"/>
      <c r="Q643" s="199"/>
      <c r="R643" s="199"/>
      <c r="S643" s="199"/>
    </row>
    <row r="644" spans="4:19">
      <c r="D644" s="216"/>
      <c r="E644" s="199"/>
      <c r="F644" s="199"/>
      <c r="G644" s="199"/>
      <c r="H644" s="199"/>
      <c r="I644" s="199"/>
      <c r="J644" s="199"/>
      <c r="K644" s="199"/>
      <c r="L644" s="199"/>
      <c r="M644" s="199"/>
      <c r="N644" s="199"/>
      <c r="O644" s="199"/>
      <c r="P644" s="199"/>
      <c r="Q644" s="199"/>
      <c r="R644" s="199"/>
      <c r="S644" s="199"/>
    </row>
    <row r="645" spans="4:19">
      <c r="D645" s="216"/>
      <c r="E645" s="199"/>
      <c r="F645" s="199"/>
      <c r="G645" s="199"/>
      <c r="H645" s="199"/>
      <c r="I645" s="199"/>
      <c r="J645" s="199"/>
      <c r="K645" s="199"/>
      <c r="L645" s="199"/>
      <c r="M645" s="199"/>
      <c r="N645" s="199"/>
      <c r="O645" s="199"/>
      <c r="P645" s="199"/>
      <c r="Q645" s="199"/>
      <c r="R645" s="199"/>
      <c r="S645" s="199"/>
    </row>
    <row r="646" spans="4:19">
      <c r="D646" s="216"/>
      <c r="E646" s="199"/>
      <c r="F646" s="199"/>
      <c r="G646" s="199"/>
      <c r="H646" s="199"/>
      <c r="I646" s="199"/>
      <c r="J646" s="199"/>
      <c r="K646" s="199"/>
      <c r="L646" s="199"/>
      <c r="M646" s="199"/>
      <c r="N646" s="199"/>
      <c r="O646" s="199"/>
      <c r="P646" s="199"/>
      <c r="Q646" s="199"/>
      <c r="R646" s="199"/>
      <c r="S646" s="199"/>
    </row>
    <row r="647" spans="4:19">
      <c r="D647" s="216"/>
      <c r="E647" s="199"/>
      <c r="F647" s="199"/>
      <c r="G647" s="199"/>
      <c r="H647" s="199"/>
      <c r="I647" s="199"/>
      <c r="J647" s="199"/>
      <c r="K647" s="199"/>
      <c r="L647" s="199"/>
      <c r="M647" s="199"/>
      <c r="N647" s="199"/>
      <c r="O647" s="199"/>
      <c r="P647" s="199"/>
      <c r="Q647" s="199"/>
      <c r="R647" s="199"/>
      <c r="S647" s="199"/>
    </row>
    <row r="648" spans="4:19">
      <c r="D648" s="216"/>
      <c r="E648" s="199"/>
      <c r="F648" s="199"/>
      <c r="G648" s="199"/>
      <c r="H648" s="199"/>
      <c r="I648" s="199"/>
      <c r="J648" s="199"/>
      <c r="K648" s="199"/>
      <c r="L648" s="199"/>
      <c r="M648" s="199"/>
      <c r="N648" s="199"/>
      <c r="O648" s="199"/>
      <c r="P648" s="199"/>
      <c r="Q648" s="199"/>
      <c r="R648" s="199"/>
      <c r="S648" s="199"/>
    </row>
    <row r="649" spans="4:19">
      <c r="D649" s="216"/>
      <c r="E649" s="199"/>
      <c r="F649" s="199"/>
      <c r="G649" s="199"/>
      <c r="H649" s="199"/>
      <c r="I649" s="199"/>
      <c r="J649" s="199"/>
      <c r="K649" s="199"/>
      <c r="L649" s="199"/>
      <c r="M649" s="199"/>
      <c r="N649" s="199"/>
      <c r="O649" s="199"/>
      <c r="P649" s="199"/>
      <c r="Q649" s="199"/>
      <c r="R649" s="199"/>
      <c r="S649" s="199"/>
    </row>
    <row r="650" spans="4:19">
      <c r="D650" s="216"/>
      <c r="E650" s="199"/>
      <c r="F650" s="199"/>
      <c r="G650" s="199"/>
      <c r="H650" s="199"/>
      <c r="I650" s="199"/>
      <c r="J650" s="199"/>
      <c r="K650" s="199"/>
      <c r="L650" s="199"/>
      <c r="M650" s="199"/>
      <c r="N650" s="199"/>
      <c r="O650" s="199"/>
      <c r="P650" s="199"/>
      <c r="Q650" s="199"/>
      <c r="R650" s="199"/>
      <c r="S650" s="199"/>
    </row>
    <row r="651" spans="4:19">
      <c r="D651" s="216"/>
      <c r="E651" s="199"/>
      <c r="F651" s="199"/>
      <c r="G651" s="199"/>
      <c r="H651" s="199"/>
      <c r="I651" s="199"/>
      <c r="J651" s="199"/>
      <c r="K651" s="199"/>
      <c r="L651" s="199"/>
      <c r="M651" s="199"/>
      <c r="N651" s="199"/>
      <c r="O651" s="199"/>
      <c r="P651" s="199"/>
      <c r="Q651" s="199"/>
      <c r="R651" s="199"/>
      <c r="S651" s="199"/>
    </row>
    <row r="652" spans="4:19">
      <c r="D652" s="216"/>
      <c r="E652" s="199"/>
      <c r="F652" s="199"/>
      <c r="G652" s="199"/>
      <c r="H652" s="199"/>
      <c r="I652" s="199"/>
      <c r="J652" s="199"/>
      <c r="K652" s="199"/>
      <c r="L652" s="199"/>
      <c r="M652" s="199"/>
      <c r="N652" s="199"/>
      <c r="O652" s="199"/>
      <c r="P652" s="199"/>
      <c r="Q652" s="199"/>
      <c r="R652" s="199"/>
      <c r="S652" s="199"/>
    </row>
    <row r="653" spans="4:19">
      <c r="D653" s="216"/>
      <c r="E653" s="199"/>
      <c r="F653" s="199"/>
      <c r="G653" s="199"/>
      <c r="H653" s="199"/>
      <c r="I653" s="199"/>
      <c r="J653" s="199"/>
      <c r="K653" s="199"/>
      <c r="L653" s="199"/>
      <c r="M653" s="199"/>
      <c r="N653" s="199"/>
      <c r="O653" s="199"/>
      <c r="P653" s="199"/>
      <c r="Q653" s="199"/>
      <c r="R653" s="199"/>
      <c r="S653" s="199"/>
    </row>
    <row r="654" spans="4:19">
      <c r="D654" s="216"/>
      <c r="E654" s="199"/>
      <c r="F654" s="199"/>
      <c r="G654" s="199"/>
      <c r="H654" s="199"/>
      <c r="I654" s="199"/>
      <c r="J654" s="199"/>
      <c r="K654" s="199"/>
      <c r="L654" s="199"/>
      <c r="M654" s="199"/>
      <c r="N654" s="199"/>
      <c r="O654" s="199"/>
      <c r="P654" s="199"/>
      <c r="Q654" s="199"/>
      <c r="R654" s="199"/>
      <c r="S654" s="199"/>
    </row>
    <row r="655" spans="4:19">
      <c r="D655" s="216"/>
      <c r="E655" s="199"/>
      <c r="F655" s="199"/>
      <c r="G655" s="199"/>
      <c r="H655" s="199"/>
      <c r="I655" s="199"/>
      <c r="J655" s="199"/>
      <c r="K655" s="199"/>
      <c r="L655" s="199"/>
      <c r="M655" s="199"/>
      <c r="N655" s="199"/>
      <c r="O655" s="199"/>
      <c r="P655" s="199"/>
      <c r="Q655" s="199"/>
      <c r="R655" s="199"/>
      <c r="S655" s="199"/>
    </row>
    <row r="656" spans="4:19">
      <c r="D656" s="216"/>
      <c r="E656" s="199"/>
      <c r="F656" s="199"/>
      <c r="G656" s="199"/>
      <c r="H656" s="199"/>
      <c r="I656" s="199"/>
      <c r="J656" s="199"/>
      <c r="K656" s="199"/>
      <c r="L656" s="199"/>
      <c r="M656" s="199"/>
      <c r="N656" s="199"/>
      <c r="O656" s="199"/>
      <c r="P656" s="199"/>
      <c r="Q656" s="199"/>
      <c r="R656" s="199"/>
      <c r="S656" s="199"/>
    </row>
    <row r="657" spans="4:19">
      <c r="D657" s="216"/>
      <c r="E657" s="199"/>
      <c r="F657" s="199"/>
      <c r="G657" s="199"/>
      <c r="H657" s="199"/>
      <c r="I657" s="199"/>
      <c r="J657" s="199"/>
      <c r="K657" s="199"/>
      <c r="L657" s="199"/>
      <c r="M657" s="199"/>
      <c r="N657" s="199"/>
      <c r="O657" s="199"/>
      <c r="P657" s="199"/>
      <c r="Q657" s="199"/>
      <c r="R657" s="199"/>
      <c r="S657" s="199"/>
    </row>
    <row r="658" spans="4:19">
      <c r="D658" s="216"/>
      <c r="E658" s="199"/>
      <c r="F658" s="199"/>
      <c r="G658" s="199"/>
      <c r="H658" s="199"/>
      <c r="I658" s="199"/>
      <c r="J658" s="199"/>
      <c r="K658" s="199"/>
      <c r="L658" s="199"/>
      <c r="M658" s="199"/>
      <c r="N658" s="199"/>
      <c r="O658" s="199"/>
      <c r="P658" s="199"/>
      <c r="Q658" s="199"/>
      <c r="R658" s="199"/>
      <c r="S658" s="199"/>
    </row>
    <row r="659" spans="4:19">
      <c r="D659" s="216"/>
      <c r="E659" s="199"/>
      <c r="F659" s="199"/>
      <c r="G659" s="199"/>
      <c r="H659" s="199"/>
      <c r="I659" s="199"/>
      <c r="J659" s="199"/>
      <c r="K659" s="199"/>
      <c r="L659" s="199"/>
      <c r="M659" s="199"/>
      <c r="N659" s="199"/>
      <c r="O659" s="199"/>
      <c r="P659" s="199"/>
      <c r="Q659" s="199"/>
      <c r="R659" s="199"/>
      <c r="S659" s="199"/>
    </row>
    <row r="660" spans="4:19">
      <c r="D660" s="216"/>
      <c r="E660" s="199"/>
      <c r="F660" s="199"/>
      <c r="G660" s="199"/>
      <c r="H660" s="199"/>
      <c r="I660" s="199"/>
      <c r="J660" s="199"/>
      <c r="K660" s="199"/>
      <c r="L660" s="199"/>
      <c r="M660" s="199"/>
      <c r="N660" s="199"/>
      <c r="O660" s="199"/>
      <c r="P660" s="199"/>
      <c r="Q660" s="199"/>
      <c r="R660" s="199"/>
      <c r="S660" s="199"/>
    </row>
    <row r="661" spans="4:19">
      <c r="D661" s="216"/>
      <c r="E661" s="199"/>
      <c r="F661" s="199"/>
      <c r="G661" s="199"/>
      <c r="H661" s="199"/>
      <c r="I661" s="199"/>
      <c r="J661" s="199"/>
      <c r="K661" s="199"/>
      <c r="L661" s="199"/>
      <c r="M661" s="199"/>
      <c r="N661" s="199"/>
      <c r="O661" s="199"/>
      <c r="P661" s="199"/>
      <c r="Q661" s="199"/>
      <c r="R661" s="199"/>
      <c r="S661" s="199"/>
    </row>
    <row r="662" spans="4:19">
      <c r="D662" s="216"/>
      <c r="E662" s="199"/>
      <c r="F662" s="199"/>
      <c r="G662" s="199"/>
      <c r="H662" s="199"/>
      <c r="I662" s="199"/>
      <c r="J662" s="199"/>
      <c r="K662" s="199"/>
      <c r="L662" s="199"/>
      <c r="M662" s="199"/>
      <c r="N662" s="199"/>
      <c r="O662" s="199"/>
      <c r="P662" s="199"/>
      <c r="Q662" s="199"/>
      <c r="R662" s="199"/>
      <c r="S662" s="199"/>
    </row>
    <row r="663" spans="4:19">
      <c r="D663" s="216"/>
      <c r="E663" s="199"/>
      <c r="F663" s="199"/>
      <c r="G663" s="199"/>
      <c r="H663" s="199"/>
      <c r="I663" s="199"/>
      <c r="J663" s="199"/>
      <c r="K663" s="199"/>
      <c r="L663" s="199"/>
      <c r="M663" s="199"/>
      <c r="N663" s="199"/>
      <c r="O663" s="199"/>
      <c r="P663" s="199"/>
      <c r="Q663" s="199"/>
      <c r="R663" s="199"/>
      <c r="S663" s="199"/>
    </row>
    <row r="664" spans="4:19">
      <c r="D664" s="216"/>
      <c r="E664" s="199"/>
      <c r="F664" s="199"/>
      <c r="G664" s="199"/>
      <c r="H664" s="199"/>
      <c r="I664" s="199"/>
      <c r="J664" s="199"/>
      <c r="K664" s="199"/>
      <c r="L664" s="199"/>
      <c r="M664" s="199"/>
      <c r="N664" s="199"/>
      <c r="O664" s="199"/>
      <c r="P664" s="199"/>
      <c r="Q664" s="199"/>
      <c r="R664" s="199"/>
      <c r="S664" s="199"/>
    </row>
    <row r="665" spans="4:19">
      <c r="D665" s="216"/>
      <c r="E665" s="199"/>
      <c r="F665" s="199"/>
      <c r="G665" s="199"/>
      <c r="H665" s="199"/>
      <c r="I665" s="199"/>
      <c r="J665" s="199"/>
      <c r="K665" s="199"/>
      <c r="L665" s="199"/>
      <c r="M665" s="199"/>
      <c r="N665" s="199"/>
      <c r="O665" s="199"/>
      <c r="P665" s="199"/>
      <c r="Q665" s="199"/>
      <c r="R665" s="199"/>
      <c r="S665" s="199"/>
    </row>
    <row r="666" spans="4:19">
      <c r="D666" s="216"/>
      <c r="E666" s="199"/>
      <c r="F666" s="199"/>
      <c r="G666" s="199"/>
      <c r="H666" s="199"/>
      <c r="I666" s="199"/>
      <c r="J666" s="199"/>
      <c r="K666" s="199"/>
      <c r="L666" s="199"/>
      <c r="M666" s="199"/>
      <c r="N666" s="199"/>
      <c r="O666" s="199"/>
      <c r="P666" s="199"/>
      <c r="Q666" s="199"/>
      <c r="R666" s="199"/>
      <c r="S666" s="199"/>
    </row>
    <row r="667" spans="4:19">
      <c r="D667" s="216"/>
      <c r="E667" s="199"/>
      <c r="F667" s="199"/>
      <c r="G667" s="199"/>
      <c r="H667" s="199"/>
      <c r="I667" s="199"/>
      <c r="J667" s="199"/>
      <c r="K667" s="199"/>
      <c r="L667" s="199"/>
      <c r="M667" s="199"/>
      <c r="N667" s="199"/>
      <c r="O667" s="199"/>
      <c r="P667" s="199"/>
      <c r="Q667" s="199"/>
      <c r="R667" s="199"/>
      <c r="S667" s="199"/>
    </row>
    <row r="668" spans="4:19">
      <c r="D668" s="216"/>
      <c r="E668" s="199"/>
      <c r="F668" s="199"/>
      <c r="G668" s="199"/>
      <c r="H668" s="199"/>
      <c r="I668" s="199"/>
      <c r="J668" s="199"/>
      <c r="K668" s="199"/>
      <c r="L668" s="199"/>
      <c r="M668" s="199"/>
      <c r="N668" s="199"/>
      <c r="O668" s="199"/>
      <c r="P668" s="199"/>
      <c r="Q668" s="199"/>
      <c r="R668" s="199"/>
      <c r="S668" s="199"/>
    </row>
    <row r="669" spans="4:19">
      <c r="D669" s="216"/>
      <c r="E669" s="199"/>
      <c r="F669" s="199"/>
      <c r="G669" s="199"/>
      <c r="H669" s="199"/>
      <c r="I669" s="199"/>
      <c r="J669" s="199"/>
      <c r="K669" s="199"/>
      <c r="L669" s="199"/>
      <c r="M669" s="199"/>
      <c r="N669" s="199"/>
      <c r="O669" s="199"/>
      <c r="P669" s="199"/>
      <c r="Q669" s="199"/>
      <c r="R669" s="199"/>
      <c r="S669" s="199"/>
    </row>
    <row r="670" spans="4:19">
      <c r="D670" s="216"/>
      <c r="E670" s="199"/>
      <c r="F670" s="199"/>
      <c r="G670" s="199"/>
      <c r="H670" s="199"/>
      <c r="I670" s="199"/>
      <c r="J670" s="199"/>
      <c r="K670" s="199"/>
      <c r="L670" s="199"/>
      <c r="M670" s="199"/>
      <c r="N670" s="199"/>
      <c r="O670" s="199"/>
      <c r="P670" s="199"/>
      <c r="Q670" s="199"/>
      <c r="R670" s="199"/>
      <c r="S670" s="199"/>
    </row>
    <row r="671" spans="4:19">
      <c r="D671" s="216"/>
      <c r="E671" s="199"/>
      <c r="F671" s="199"/>
      <c r="G671" s="199"/>
      <c r="H671" s="199"/>
      <c r="I671" s="199"/>
      <c r="J671" s="199"/>
      <c r="K671" s="199"/>
      <c r="L671" s="199"/>
      <c r="M671" s="199"/>
      <c r="N671" s="199"/>
      <c r="O671" s="199"/>
      <c r="P671" s="199"/>
      <c r="Q671" s="199"/>
      <c r="R671" s="199"/>
      <c r="S671" s="199"/>
    </row>
    <row r="672" spans="4:19">
      <c r="D672" s="216"/>
      <c r="E672" s="199"/>
      <c r="F672" s="199"/>
      <c r="G672" s="199"/>
      <c r="H672" s="199"/>
      <c r="I672" s="199"/>
      <c r="J672" s="199"/>
      <c r="K672" s="199"/>
      <c r="L672" s="199"/>
      <c r="M672" s="199"/>
      <c r="N672" s="199"/>
      <c r="O672" s="199"/>
      <c r="P672" s="199"/>
      <c r="Q672" s="199"/>
      <c r="R672" s="199"/>
      <c r="S672" s="199"/>
    </row>
    <row r="673" spans="4:19">
      <c r="D673" s="216"/>
      <c r="E673" s="199"/>
      <c r="F673" s="199"/>
      <c r="G673" s="199"/>
      <c r="H673" s="199"/>
      <c r="I673" s="199"/>
      <c r="J673" s="199"/>
      <c r="K673" s="199"/>
      <c r="L673" s="199"/>
      <c r="M673" s="199"/>
      <c r="N673" s="199"/>
      <c r="O673" s="199"/>
      <c r="P673" s="199"/>
      <c r="Q673" s="199"/>
      <c r="R673" s="199"/>
      <c r="S673" s="199"/>
    </row>
    <row r="674" spans="4:19">
      <c r="D674" s="216"/>
      <c r="E674" s="199"/>
      <c r="F674" s="199"/>
      <c r="G674" s="199"/>
      <c r="H674" s="199"/>
      <c r="I674" s="199"/>
      <c r="J674" s="199"/>
      <c r="K674" s="199"/>
      <c r="L674" s="199"/>
      <c r="M674" s="199"/>
      <c r="N674" s="199"/>
      <c r="O674" s="199"/>
      <c r="P674" s="199"/>
      <c r="Q674" s="199"/>
      <c r="R674" s="199"/>
      <c r="S674" s="199"/>
    </row>
    <row r="675" spans="4:19">
      <c r="D675" s="216"/>
      <c r="E675" s="199"/>
      <c r="F675" s="199"/>
      <c r="G675" s="199"/>
      <c r="H675" s="199"/>
      <c r="I675" s="199"/>
      <c r="J675" s="199"/>
      <c r="K675" s="199"/>
      <c r="L675" s="199"/>
      <c r="M675" s="199"/>
      <c r="N675" s="199"/>
      <c r="O675" s="199"/>
      <c r="P675" s="199"/>
      <c r="Q675" s="199"/>
      <c r="R675" s="199"/>
      <c r="S675" s="199"/>
    </row>
    <row r="676" spans="4:19">
      <c r="D676" s="216"/>
      <c r="E676" s="199"/>
      <c r="F676" s="199"/>
      <c r="G676" s="199"/>
      <c r="H676" s="199"/>
      <c r="I676" s="199"/>
      <c r="J676" s="199"/>
      <c r="K676" s="199"/>
      <c r="L676" s="199"/>
      <c r="M676" s="199"/>
      <c r="N676" s="199"/>
      <c r="O676" s="199"/>
      <c r="P676" s="199"/>
      <c r="Q676" s="199"/>
      <c r="R676" s="199"/>
      <c r="S676" s="199"/>
    </row>
    <row r="677" spans="4:19">
      <c r="D677" s="216"/>
      <c r="E677" s="199"/>
      <c r="F677" s="199"/>
      <c r="G677" s="199"/>
      <c r="H677" s="199"/>
      <c r="I677" s="199"/>
      <c r="J677" s="199"/>
      <c r="K677" s="199"/>
      <c r="L677" s="199"/>
      <c r="M677" s="199"/>
      <c r="N677" s="199"/>
      <c r="O677" s="199"/>
      <c r="P677" s="199"/>
      <c r="Q677" s="199"/>
      <c r="R677" s="199"/>
      <c r="S677" s="199"/>
    </row>
    <row r="678" spans="4:19">
      <c r="D678" s="216"/>
      <c r="E678" s="199"/>
      <c r="F678" s="199"/>
      <c r="G678" s="199"/>
      <c r="H678" s="199"/>
      <c r="I678" s="199"/>
      <c r="J678" s="199"/>
      <c r="K678" s="199"/>
      <c r="L678" s="199"/>
      <c r="M678" s="199"/>
      <c r="N678" s="199"/>
      <c r="O678" s="199"/>
      <c r="P678" s="199"/>
      <c r="Q678" s="199"/>
      <c r="R678" s="199"/>
      <c r="S678" s="199"/>
    </row>
    <row r="679" spans="4:19">
      <c r="D679" s="216"/>
      <c r="E679" s="199"/>
      <c r="F679" s="199"/>
      <c r="G679" s="199"/>
      <c r="H679" s="199"/>
      <c r="I679" s="199"/>
      <c r="J679" s="199"/>
      <c r="K679" s="199"/>
      <c r="L679" s="199"/>
      <c r="M679" s="199"/>
      <c r="N679" s="199"/>
      <c r="O679" s="199"/>
      <c r="P679" s="199"/>
      <c r="Q679" s="199"/>
      <c r="R679" s="199"/>
      <c r="S679" s="199"/>
    </row>
    <row r="680" spans="4:19">
      <c r="D680" s="216"/>
      <c r="E680" s="199"/>
      <c r="F680" s="199"/>
      <c r="G680" s="199"/>
      <c r="H680" s="199"/>
      <c r="I680" s="199"/>
      <c r="J680" s="199"/>
      <c r="K680" s="199"/>
      <c r="L680" s="199"/>
      <c r="M680" s="199"/>
      <c r="N680" s="199"/>
      <c r="O680" s="199"/>
      <c r="P680" s="199"/>
      <c r="Q680" s="199"/>
      <c r="R680" s="199"/>
      <c r="S680" s="199"/>
    </row>
    <row r="681" spans="4:19">
      <c r="D681" s="216"/>
      <c r="E681" s="199"/>
      <c r="F681" s="199"/>
      <c r="G681" s="199"/>
      <c r="H681" s="199"/>
      <c r="I681" s="199"/>
      <c r="J681" s="199"/>
      <c r="K681" s="199"/>
      <c r="L681" s="199"/>
      <c r="M681" s="199"/>
      <c r="N681" s="199"/>
      <c r="O681" s="199"/>
      <c r="P681" s="199"/>
      <c r="Q681" s="199"/>
      <c r="R681" s="199"/>
      <c r="S681" s="199"/>
    </row>
    <row r="682" spans="4:19">
      <c r="D682" s="216"/>
      <c r="E682" s="199"/>
      <c r="F682" s="199"/>
      <c r="G682" s="199"/>
      <c r="H682" s="199"/>
      <c r="I682" s="199"/>
      <c r="J682" s="199"/>
      <c r="K682" s="199"/>
      <c r="L682" s="199"/>
      <c r="M682" s="199"/>
      <c r="N682" s="199"/>
      <c r="O682" s="199"/>
      <c r="P682" s="199"/>
      <c r="Q682" s="199"/>
      <c r="R682" s="199"/>
      <c r="S682" s="199"/>
    </row>
    <row r="683" spans="4:19">
      <c r="D683" s="216"/>
      <c r="E683" s="199"/>
      <c r="F683" s="199"/>
      <c r="G683" s="199"/>
      <c r="H683" s="199"/>
      <c r="I683" s="199"/>
      <c r="J683" s="199"/>
      <c r="K683" s="199"/>
      <c r="L683" s="199"/>
      <c r="M683" s="199"/>
      <c r="N683" s="199"/>
      <c r="O683" s="199"/>
      <c r="P683" s="199"/>
      <c r="Q683" s="199"/>
      <c r="R683" s="199"/>
      <c r="S683" s="199"/>
    </row>
    <row r="684" spans="4:19">
      <c r="D684" s="216"/>
      <c r="E684" s="199"/>
      <c r="F684" s="199"/>
      <c r="G684" s="199"/>
      <c r="H684" s="199"/>
      <c r="I684" s="199"/>
      <c r="J684" s="199"/>
      <c r="K684" s="199"/>
      <c r="L684" s="199"/>
      <c r="M684" s="199"/>
      <c r="N684" s="199"/>
      <c r="O684" s="199"/>
      <c r="P684" s="199"/>
      <c r="Q684" s="199"/>
      <c r="R684" s="199"/>
      <c r="S684" s="199"/>
    </row>
    <row r="685" spans="4:19">
      <c r="D685" s="216"/>
      <c r="E685" s="199"/>
      <c r="F685" s="199"/>
      <c r="G685" s="199"/>
      <c r="H685" s="199"/>
      <c r="I685" s="199"/>
      <c r="J685" s="199"/>
      <c r="K685" s="199"/>
      <c r="L685" s="199"/>
      <c r="M685" s="199"/>
      <c r="N685" s="199"/>
      <c r="O685" s="199"/>
      <c r="P685" s="199"/>
      <c r="Q685" s="199"/>
      <c r="R685" s="199"/>
      <c r="S685" s="199"/>
    </row>
    <row r="686" spans="4:19">
      <c r="D686" s="216"/>
      <c r="E686" s="199"/>
      <c r="F686" s="199"/>
      <c r="G686" s="199"/>
      <c r="H686" s="199"/>
      <c r="I686" s="199"/>
      <c r="J686" s="199"/>
      <c r="K686" s="199"/>
      <c r="L686" s="199"/>
      <c r="M686" s="199"/>
      <c r="N686" s="199"/>
      <c r="O686" s="199"/>
      <c r="P686" s="199"/>
      <c r="Q686" s="199"/>
      <c r="R686" s="199"/>
      <c r="S686" s="199"/>
    </row>
    <row r="687" spans="4:19">
      <c r="D687" s="216"/>
      <c r="E687" s="199"/>
      <c r="F687" s="199"/>
      <c r="G687" s="199"/>
      <c r="H687" s="199"/>
      <c r="I687" s="199"/>
      <c r="J687" s="199"/>
      <c r="K687" s="199"/>
      <c r="L687" s="199"/>
      <c r="M687" s="199"/>
      <c r="N687" s="199"/>
      <c r="O687" s="199"/>
      <c r="P687" s="199"/>
      <c r="Q687" s="199"/>
      <c r="R687" s="199"/>
      <c r="S687" s="199"/>
    </row>
    <row r="688" spans="4:19">
      <c r="D688" s="216"/>
      <c r="E688" s="199"/>
      <c r="F688" s="199"/>
      <c r="G688" s="199"/>
      <c r="H688" s="199"/>
      <c r="I688" s="199"/>
      <c r="J688" s="199"/>
      <c r="K688" s="199"/>
      <c r="L688" s="199"/>
      <c r="M688" s="199"/>
      <c r="N688" s="199"/>
      <c r="O688" s="199"/>
      <c r="P688" s="199"/>
      <c r="Q688" s="199"/>
      <c r="R688" s="199"/>
      <c r="S688" s="199"/>
    </row>
    <row r="689" spans="4:19">
      <c r="D689" s="216"/>
      <c r="E689" s="199"/>
      <c r="F689" s="199"/>
      <c r="G689" s="199"/>
      <c r="H689" s="199"/>
      <c r="I689" s="199"/>
      <c r="J689" s="199"/>
      <c r="K689" s="199"/>
      <c r="L689" s="199"/>
      <c r="M689" s="199"/>
      <c r="N689" s="199"/>
      <c r="O689" s="199"/>
      <c r="P689" s="199"/>
      <c r="Q689" s="199"/>
      <c r="R689" s="199"/>
      <c r="S689" s="199"/>
    </row>
    <row r="690" spans="4:19">
      <c r="D690" s="216"/>
      <c r="E690" s="199"/>
      <c r="F690" s="199"/>
      <c r="G690" s="199"/>
      <c r="H690" s="199"/>
      <c r="I690" s="199"/>
      <c r="J690" s="199"/>
      <c r="K690" s="199"/>
      <c r="L690" s="199"/>
      <c r="M690" s="199"/>
      <c r="N690" s="199"/>
      <c r="O690" s="199"/>
      <c r="P690" s="199"/>
      <c r="Q690" s="199"/>
      <c r="R690" s="199"/>
      <c r="S690" s="199"/>
    </row>
    <row r="691" spans="4:19">
      <c r="D691" s="216"/>
      <c r="E691" s="199"/>
      <c r="F691" s="199"/>
      <c r="G691" s="199"/>
      <c r="H691" s="199"/>
      <c r="I691" s="199"/>
      <c r="J691" s="199"/>
      <c r="K691" s="199"/>
      <c r="L691" s="199"/>
      <c r="M691" s="199"/>
      <c r="N691" s="199"/>
      <c r="O691" s="199"/>
      <c r="P691" s="199"/>
      <c r="Q691" s="199"/>
      <c r="R691" s="199"/>
      <c r="S691" s="199"/>
    </row>
    <row r="692" spans="4:19">
      <c r="D692" s="216"/>
      <c r="E692" s="199"/>
      <c r="F692" s="199"/>
      <c r="G692" s="199"/>
      <c r="H692" s="199"/>
      <c r="I692" s="199"/>
      <c r="J692" s="199"/>
      <c r="K692" s="199"/>
      <c r="L692" s="199"/>
      <c r="M692" s="199"/>
      <c r="N692" s="199"/>
      <c r="O692" s="199"/>
      <c r="P692" s="199"/>
      <c r="Q692" s="199"/>
      <c r="R692" s="199"/>
      <c r="S692" s="199"/>
    </row>
    <row r="693" spans="4:19">
      <c r="D693" s="216"/>
      <c r="E693" s="199"/>
      <c r="F693" s="199"/>
      <c r="G693" s="199"/>
      <c r="H693" s="199"/>
      <c r="I693" s="199"/>
      <c r="J693" s="199"/>
      <c r="K693" s="199"/>
      <c r="L693" s="199"/>
      <c r="M693" s="199"/>
      <c r="N693" s="199"/>
      <c r="O693" s="199"/>
      <c r="P693" s="199"/>
      <c r="Q693" s="199"/>
      <c r="R693" s="199"/>
      <c r="S693" s="199"/>
    </row>
    <row r="694" spans="4:19">
      <c r="D694" s="216"/>
      <c r="E694" s="199"/>
      <c r="F694" s="199"/>
      <c r="G694" s="199"/>
      <c r="H694" s="199"/>
      <c r="I694" s="199"/>
      <c r="J694" s="199"/>
      <c r="K694" s="199"/>
      <c r="L694" s="199"/>
      <c r="M694" s="199"/>
      <c r="N694" s="199"/>
      <c r="O694" s="199"/>
      <c r="P694" s="199"/>
      <c r="Q694" s="199"/>
      <c r="R694" s="199"/>
      <c r="S694" s="199"/>
    </row>
    <row r="695" spans="4:19">
      <c r="D695" s="216"/>
      <c r="E695" s="199"/>
      <c r="F695" s="199"/>
      <c r="G695" s="199"/>
      <c r="H695" s="199"/>
      <c r="I695" s="199"/>
      <c r="J695" s="199"/>
      <c r="K695" s="199"/>
      <c r="L695" s="199"/>
      <c r="M695" s="199"/>
      <c r="N695" s="199"/>
      <c r="O695" s="199"/>
      <c r="P695" s="199"/>
      <c r="Q695" s="199"/>
      <c r="R695" s="199"/>
      <c r="S695" s="199"/>
    </row>
    <row r="696" spans="4:19">
      <c r="D696" s="216"/>
      <c r="E696" s="199"/>
      <c r="F696" s="199"/>
      <c r="G696" s="199"/>
      <c r="H696" s="199"/>
      <c r="I696" s="199"/>
      <c r="J696" s="199"/>
      <c r="K696" s="199"/>
      <c r="L696" s="199"/>
      <c r="M696" s="199"/>
      <c r="N696" s="199"/>
      <c r="O696" s="199"/>
      <c r="P696" s="199"/>
      <c r="Q696" s="199"/>
      <c r="R696" s="199"/>
      <c r="S696" s="199"/>
    </row>
    <row r="697" spans="4:19">
      <c r="D697" s="216"/>
      <c r="E697" s="199"/>
      <c r="F697" s="199"/>
      <c r="G697" s="199"/>
      <c r="H697" s="199"/>
      <c r="I697" s="199"/>
      <c r="J697" s="199"/>
      <c r="K697" s="199"/>
      <c r="L697" s="199"/>
      <c r="M697" s="199"/>
      <c r="N697" s="199"/>
      <c r="O697" s="199"/>
      <c r="P697" s="199"/>
      <c r="Q697" s="199"/>
      <c r="R697" s="199"/>
      <c r="S697" s="199"/>
    </row>
    <row r="698" spans="4:19">
      <c r="D698" s="216"/>
      <c r="E698" s="199"/>
      <c r="F698" s="199"/>
      <c r="G698" s="199"/>
      <c r="H698" s="199"/>
      <c r="I698" s="199"/>
      <c r="J698" s="199"/>
      <c r="K698" s="199"/>
      <c r="L698" s="199"/>
      <c r="M698" s="199"/>
      <c r="N698" s="199"/>
      <c r="O698" s="199"/>
      <c r="P698" s="199"/>
      <c r="Q698" s="199"/>
      <c r="R698" s="199"/>
      <c r="S698" s="199"/>
    </row>
    <row r="699" spans="4:19">
      <c r="D699" s="216"/>
      <c r="E699" s="199"/>
      <c r="F699" s="199"/>
      <c r="G699" s="199"/>
      <c r="H699" s="199"/>
      <c r="I699" s="199"/>
      <c r="J699" s="199"/>
      <c r="K699" s="199"/>
      <c r="L699" s="199"/>
      <c r="M699" s="199"/>
      <c r="N699" s="199"/>
      <c r="O699" s="199"/>
      <c r="P699" s="199"/>
      <c r="Q699" s="199"/>
      <c r="R699" s="199"/>
      <c r="S699" s="199"/>
    </row>
    <row r="700" spans="4:19">
      <c r="D700" s="216"/>
      <c r="E700" s="199"/>
      <c r="F700" s="199"/>
      <c r="G700" s="199"/>
      <c r="H700" s="199"/>
      <c r="I700" s="199"/>
      <c r="J700" s="199"/>
      <c r="K700" s="199"/>
      <c r="L700" s="199"/>
      <c r="M700" s="199"/>
      <c r="N700" s="199"/>
      <c r="O700" s="199"/>
      <c r="P700" s="199"/>
      <c r="Q700" s="199"/>
      <c r="R700" s="199"/>
      <c r="S700" s="199"/>
    </row>
    <row r="701" spans="4:19">
      <c r="D701" s="216"/>
      <c r="E701" s="199"/>
      <c r="F701" s="199"/>
      <c r="G701" s="199"/>
      <c r="H701" s="199"/>
      <c r="I701" s="199"/>
      <c r="J701" s="199"/>
      <c r="K701" s="199"/>
      <c r="L701" s="199"/>
      <c r="M701" s="199"/>
      <c r="N701" s="199"/>
      <c r="O701" s="199"/>
      <c r="P701" s="199"/>
      <c r="Q701" s="199"/>
      <c r="R701" s="199"/>
      <c r="S701" s="199"/>
    </row>
    <row r="702" spans="4:19">
      <c r="D702" s="216"/>
      <c r="E702" s="199"/>
      <c r="F702" s="199"/>
      <c r="G702" s="199"/>
      <c r="H702" s="199"/>
      <c r="I702" s="199"/>
      <c r="J702" s="199"/>
      <c r="K702" s="199"/>
      <c r="L702" s="199"/>
      <c r="M702" s="199"/>
      <c r="N702" s="199"/>
      <c r="O702" s="199"/>
      <c r="P702" s="199"/>
      <c r="Q702" s="199"/>
      <c r="R702" s="199"/>
      <c r="S702" s="199"/>
    </row>
    <row r="703" spans="4:19">
      <c r="D703" s="216"/>
      <c r="E703" s="199"/>
      <c r="F703" s="199"/>
      <c r="G703" s="199"/>
      <c r="H703" s="199"/>
      <c r="I703" s="199"/>
      <c r="J703" s="199"/>
      <c r="K703" s="199"/>
      <c r="L703" s="199"/>
      <c r="M703" s="199"/>
      <c r="N703" s="199"/>
      <c r="O703" s="199"/>
      <c r="P703" s="199"/>
      <c r="Q703" s="199"/>
      <c r="R703" s="199"/>
      <c r="S703" s="199"/>
    </row>
    <row r="704" spans="4:19">
      <c r="D704" s="216"/>
      <c r="E704" s="199"/>
      <c r="F704" s="199"/>
      <c r="G704" s="199"/>
      <c r="H704" s="199"/>
      <c r="I704" s="199"/>
      <c r="J704" s="199"/>
      <c r="K704" s="199"/>
      <c r="L704" s="199"/>
      <c r="M704" s="199"/>
      <c r="N704" s="199"/>
      <c r="O704" s="199"/>
      <c r="P704" s="199"/>
      <c r="Q704" s="199"/>
      <c r="R704" s="199"/>
      <c r="S704" s="199"/>
    </row>
    <row r="705" spans="4:19">
      <c r="D705" s="216"/>
      <c r="E705" s="199"/>
      <c r="F705" s="199"/>
      <c r="G705" s="199"/>
      <c r="H705" s="199"/>
      <c r="I705" s="199"/>
      <c r="J705" s="199"/>
      <c r="K705" s="199"/>
      <c r="L705" s="199"/>
      <c r="M705" s="199"/>
      <c r="N705" s="199"/>
      <c r="O705" s="199"/>
      <c r="P705" s="199"/>
      <c r="Q705" s="199"/>
      <c r="R705" s="199"/>
      <c r="S705" s="199"/>
    </row>
    <row r="706" spans="4:19">
      <c r="D706" s="216"/>
      <c r="E706" s="199"/>
      <c r="F706" s="199"/>
      <c r="G706" s="199"/>
      <c r="H706" s="199"/>
      <c r="I706" s="199"/>
      <c r="J706" s="199"/>
      <c r="K706" s="199"/>
      <c r="L706" s="199"/>
      <c r="M706" s="199"/>
      <c r="N706" s="199"/>
      <c r="O706" s="199"/>
      <c r="P706" s="199"/>
      <c r="Q706" s="199"/>
      <c r="R706" s="199"/>
      <c r="S706" s="199"/>
    </row>
    <row r="707" spans="4:19">
      <c r="D707" s="216"/>
      <c r="E707" s="199"/>
      <c r="F707" s="199"/>
      <c r="G707" s="199"/>
      <c r="H707" s="199"/>
      <c r="I707" s="199"/>
      <c r="J707" s="199"/>
      <c r="K707" s="199"/>
      <c r="L707" s="199"/>
      <c r="M707" s="199"/>
      <c r="N707" s="199"/>
      <c r="O707" s="199"/>
      <c r="P707" s="199"/>
      <c r="Q707" s="199"/>
      <c r="R707" s="199"/>
      <c r="S707" s="199"/>
    </row>
    <row r="708" spans="4:19">
      <c r="D708" s="216"/>
      <c r="E708" s="199"/>
      <c r="F708" s="199"/>
      <c r="G708" s="199"/>
      <c r="H708" s="199"/>
      <c r="I708" s="199"/>
      <c r="J708" s="199"/>
      <c r="K708" s="199"/>
      <c r="L708" s="199"/>
      <c r="M708" s="199"/>
      <c r="N708" s="199"/>
      <c r="O708" s="199"/>
      <c r="P708" s="199"/>
      <c r="Q708" s="199"/>
      <c r="R708" s="199"/>
      <c r="S708" s="199"/>
    </row>
    <row r="709" spans="4:19">
      <c r="D709" s="216"/>
      <c r="E709" s="199"/>
      <c r="F709" s="199"/>
      <c r="G709" s="199"/>
      <c r="H709" s="199"/>
      <c r="I709" s="199"/>
      <c r="J709" s="199"/>
      <c r="K709" s="199"/>
      <c r="L709" s="199"/>
      <c r="M709" s="199"/>
      <c r="N709" s="199"/>
      <c r="O709" s="199"/>
      <c r="P709" s="199"/>
      <c r="Q709" s="199"/>
      <c r="R709" s="199"/>
      <c r="S709" s="199"/>
    </row>
    <row r="710" spans="4:19">
      <c r="D710" s="216"/>
      <c r="E710" s="199"/>
      <c r="F710" s="199"/>
      <c r="G710" s="199"/>
      <c r="H710" s="199"/>
      <c r="I710" s="199"/>
      <c r="J710" s="199"/>
      <c r="K710" s="199"/>
      <c r="L710" s="199"/>
      <c r="M710" s="199"/>
      <c r="N710" s="199"/>
      <c r="O710" s="199"/>
      <c r="P710" s="199"/>
      <c r="Q710" s="199"/>
      <c r="R710" s="199"/>
      <c r="S710" s="199"/>
    </row>
    <row r="711" spans="4:19">
      <c r="D711" s="216"/>
      <c r="E711" s="199"/>
      <c r="F711" s="199"/>
      <c r="G711" s="199"/>
      <c r="H711" s="199"/>
      <c r="I711" s="199"/>
      <c r="J711" s="199"/>
      <c r="K711" s="199"/>
      <c r="L711" s="199"/>
      <c r="M711" s="199"/>
      <c r="N711" s="199"/>
      <c r="O711" s="199"/>
      <c r="P711" s="199"/>
      <c r="Q711" s="199"/>
      <c r="R711" s="199"/>
      <c r="S711" s="199"/>
    </row>
    <row r="712" spans="4:19">
      <c r="D712" s="216"/>
      <c r="E712" s="199"/>
      <c r="F712" s="199"/>
      <c r="G712" s="199"/>
      <c r="H712" s="199"/>
      <c r="I712" s="199"/>
      <c r="J712" s="199"/>
      <c r="K712" s="199"/>
      <c r="L712" s="199"/>
      <c r="M712" s="199"/>
      <c r="N712" s="199"/>
      <c r="O712" s="199"/>
      <c r="P712" s="199"/>
      <c r="Q712" s="199"/>
      <c r="R712" s="199"/>
      <c r="S712" s="199"/>
    </row>
    <row r="713" spans="4:19">
      <c r="D713" s="216"/>
      <c r="E713" s="199"/>
      <c r="F713" s="199"/>
      <c r="G713" s="199"/>
      <c r="H713" s="199"/>
      <c r="I713" s="199"/>
      <c r="J713" s="199"/>
      <c r="K713" s="199"/>
      <c r="L713" s="199"/>
      <c r="M713" s="199"/>
      <c r="N713" s="199"/>
      <c r="O713" s="199"/>
      <c r="P713" s="199"/>
      <c r="Q713" s="199"/>
      <c r="R713" s="199"/>
      <c r="S713" s="199"/>
    </row>
    <row r="714" spans="4:19">
      <c r="D714" s="216"/>
      <c r="E714" s="199"/>
      <c r="F714" s="199"/>
      <c r="G714" s="199"/>
      <c r="H714" s="199"/>
      <c r="I714" s="199"/>
      <c r="J714" s="199"/>
      <c r="K714" s="199"/>
      <c r="L714" s="199"/>
      <c r="M714" s="199"/>
      <c r="N714" s="199"/>
      <c r="O714" s="199"/>
      <c r="P714" s="199"/>
      <c r="Q714" s="199"/>
      <c r="R714" s="199"/>
      <c r="S714" s="199"/>
    </row>
    <row r="715" spans="4:19">
      <c r="D715" s="216"/>
      <c r="E715" s="199"/>
      <c r="F715" s="199"/>
      <c r="G715" s="199"/>
      <c r="H715" s="199"/>
      <c r="I715" s="199"/>
      <c r="J715" s="199"/>
      <c r="K715" s="199"/>
      <c r="L715" s="199"/>
      <c r="M715" s="199"/>
      <c r="N715" s="199"/>
      <c r="O715" s="199"/>
      <c r="P715" s="199"/>
      <c r="Q715" s="199"/>
      <c r="R715" s="199"/>
      <c r="S715" s="199"/>
    </row>
    <row r="716" spans="4:19">
      <c r="D716" s="216"/>
      <c r="E716" s="199"/>
      <c r="F716" s="199"/>
      <c r="G716" s="199"/>
      <c r="H716" s="199"/>
      <c r="I716" s="199"/>
      <c r="J716" s="199"/>
      <c r="K716" s="199"/>
      <c r="L716" s="199"/>
      <c r="M716" s="199"/>
      <c r="N716" s="199"/>
      <c r="O716" s="199"/>
      <c r="P716" s="199"/>
      <c r="Q716" s="199"/>
      <c r="R716" s="199"/>
      <c r="S716" s="199"/>
    </row>
    <row r="717" spans="4:19">
      <c r="D717" s="216"/>
      <c r="E717" s="199"/>
      <c r="F717" s="199"/>
      <c r="G717" s="199"/>
      <c r="H717" s="199"/>
      <c r="I717" s="199"/>
      <c r="J717" s="199"/>
      <c r="K717" s="199"/>
      <c r="L717" s="199"/>
      <c r="M717" s="199"/>
      <c r="N717" s="199"/>
      <c r="O717" s="199"/>
      <c r="P717" s="199"/>
      <c r="Q717" s="199"/>
      <c r="R717" s="199"/>
      <c r="S717" s="199"/>
    </row>
    <row r="718" spans="4:19">
      <c r="D718" s="216"/>
      <c r="E718" s="199"/>
      <c r="F718" s="199"/>
      <c r="G718" s="199"/>
      <c r="H718" s="199"/>
      <c r="I718" s="199"/>
      <c r="J718" s="199"/>
      <c r="K718" s="199"/>
      <c r="L718" s="199"/>
      <c r="M718" s="199"/>
      <c r="N718" s="199"/>
      <c r="O718" s="199"/>
      <c r="P718" s="199"/>
      <c r="Q718" s="199"/>
      <c r="R718" s="199"/>
      <c r="S718" s="199"/>
    </row>
    <row r="719" spans="4:19">
      <c r="D719" s="216"/>
      <c r="E719" s="199"/>
      <c r="F719" s="199"/>
      <c r="G719" s="199"/>
      <c r="H719" s="199"/>
      <c r="I719" s="199"/>
      <c r="J719" s="199"/>
      <c r="K719" s="199"/>
      <c r="L719" s="199"/>
      <c r="M719" s="199"/>
      <c r="N719" s="199"/>
      <c r="O719" s="199"/>
      <c r="P719" s="199"/>
      <c r="Q719" s="199"/>
      <c r="R719" s="199"/>
      <c r="S719" s="199"/>
    </row>
    <row r="720" spans="4:19">
      <c r="D720" s="216"/>
      <c r="E720" s="199"/>
      <c r="F720" s="199"/>
      <c r="G720" s="199"/>
      <c r="H720" s="199"/>
      <c r="I720" s="199"/>
      <c r="J720" s="199"/>
      <c r="K720" s="199"/>
      <c r="L720" s="199"/>
      <c r="M720" s="199"/>
      <c r="N720" s="199"/>
      <c r="O720" s="199"/>
      <c r="P720" s="199"/>
      <c r="Q720" s="199"/>
      <c r="R720" s="199"/>
      <c r="S720" s="199"/>
    </row>
    <row r="721" spans="4:19">
      <c r="D721" s="216"/>
      <c r="E721" s="199"/>
      <c r="F721" s="199"/>
      <c r="G721" s="199"/>
      <c r="H721" s="199"/>
      <c r="I721" s="199"/>
      <c r="J721" s="199"/>
      <c r="K721" s="199"/>
      <c r="L721" s="199"/>
      <c r="M721" s="199"/>
      <c r="N721" s="199"/>
      <c r="O721" s="199"/>
      <c r="P721" s="199"/>
      <c r="Q721" s="199"/>
      <c r="R721" s="199"/>
      <c r="S721" s="199"/>
    </row>
    <row r="722" spans="4:19">
      <c r="D722" s="216"/>
      <c r="E722" s="199"/>
      <c r="F722" s="199"/>
      <c r="G722" s="199"/>
      <c r="H722" s="199"/>
      <c r="I722" s="199"/>
      <c r="J722" s="199"/>
      <c r="K722" s="199"/>
      <c r="L722" s="199"/>
      <c r="M722" s="199"/>
      <c r="N722" s="199"/>
      <c r="O722" s="199"/>
      <c r="P722" s="199"/>
      <c r="Q722" s="199"/>
      <c r="R722" s="199"/>
      <c r="S722" s="199"/>
    </row>
    <row r="723" spans="4:19">
      <c r="D723" s="216"/>
      <c r="E723" s="199"/>
      <c r="F723" s="199"/>
      <c r="G723" s="199"/>
      <c r="H723" s="199"/>
      <c r="I723" s="199"/>
      <c r="J723" s="199"/>
      <c r="K723" s="199"/>
      <c r="L723" s="199"/>
      <c r="M723" s="199"/>
      <c r="N723" s="199"/>
      <c r="O723" s="199"/>
      <c r="P723" s="199"/>
      <c r="Q723" s="199"/>
      <c r="R723" s="199"/>
      <c r="S723" s="199"/>
    </row>
    <row r="724" spans="4:19">
      <c r="D724" s="216"/>
      <c r="E724" s="199"/>
      <c r="F724" s="199"/>
      <c r="G724" s="199"/>
      <c r="H724" s="199"/>
      <c r="I724" s="199"/>
      <c r="J724" s="199"/>
      <c r="K724" s="199"/>
      <c r="L724" s="199"/>
      <c r="M724" s="199"/>
      <c r="N724" s="199"/>
      <c r="O724" s="199"/>
      <c r="P724" s="199"/>
      <c r="Q724" s="199"/>
      <c r="R724" s="199"/>
      <c r="S724" s="199"/>
    </row>
    <row r="725" spans="4:19">
      <c r="D725" s="216"/>
      <c r="E725" s="199"/>
      <c r="F725" s="199"/>
      <c r="G725" s="199"/>
      <c r="H725" s="199"/>
      <c r="I725" s="199"/>
      <c r="J725" s="199"/>
      <c r="K725" s="199"/>
      <c r="L725" s="199"/>
      <c r="M725" s="199"/>
      <c r="N725" s="199"/>
      <c r="O725" s="199"/>
      <c r="P725" s="199"/>
      <c r="Q725" s="199"/>
      <c r="R725" s="199"/>
      <c r="S725" s="199"/>
    </row>
    <row r="726" spans="4:19">
      <c r="D726" s="216"/>
      <c r="E726" s="199"/>
      <c r="F726" s="199"/>
      <c r="G726" s="199"/>
      <c r="H726" s="199"/>
      <c r="I726" s="199"/>
      <c r="J726" s="199"/>
      <c r="K726" s="199"/>
      <c r="L726" s="199"/>
      <c r="M726" s="199"/>
      <c r="N726" s="199"/>
      <c r="O726" s="199"/>
      <c r="P726" s="199"/>
      <c r="Q726" s="199"/>
      <c r="R726" s="199"/>
      <c r="S726" s="199"/>
    </row>
    <row r="727" spans="4:19">
      <c r="D727" s="216"/>
      <c r="E727" s="199"/>
      <c r="F727" s="199"/>
      <c r="G727" s="199"/>
      <c r="H727" s="199"/>
      <c r="I727" s="199"/>
      <c r="J727" s="199"/>
      <c r="K727" s="199"/>
      <c r="L727" s="199"/>
      <c r="M727" s="199"/>
      <c r="N727" s="199"/>
      <c r="O727" s="199"/>
      <c r="P727" s="199"/>
      <c r="Q727" s="199"/>
      <c r="R727" s="199"/>
      <c r="S727" s="199"/>
    </row>
    <row r="728" spans="4:19">
      <c r="D728" s="216"/>
      <c r="E728" s="199"/>
      <c r="F728" s="199"/>
      <c r="G728" s="199"/>
      <c r="H728" s="199"/>
      <c r="I728" s="199"/>
      <c r="J728" s="199"/>
      <c r="K728" s="199"/>
      <c r="L728" s="199"/>
      <c r="M728" s="199"/>
      <c r="N728" s="199"/>
      <c r="O728" s="199"/>
      <c r="P728" s="199"/>
      <c r="Q728" s="199"/>
      <c r="R728" s="199"/>
      <c r="S728" s="199"/>
    </row>
    <row r="729" spans="4:19">
      <c r="D729" s="216"/>
      <c r="E729" s="199"/>
      <c r="F729" s="199"/>
      <c r="G729" s="199"/>
      <c r="H729" s="199"/>
      <c r="I729" s="199"/>
      <c r="J729" s="199"/>
      <c r="K729" s="199"/>
      <c r="L729" s="199"/>
      <c r="M729" s="199"/>
      <c r="N729" s="199"/>
      <c r="O729" s="199"/>
      <c r="P729" s="199"/>
      <c r="Q729" s="199"/>
      <c r="R729" s="199"/>
      <c r="S729" s="199"/>
    </row>
    <row r="730" spans="4:19">
      <c r="D730" s="216"/>
      <c r="E730" s="199"/>
      <c r="F730" s="199"/>
      <c r="G730" s="199"/>
      <c r="H730" s="199"/>
      <c r="I730" s="199"/>
      <c r="J730" s="199"/>
      <c r="K730" s="199"/>
      <c r="L730" s="199"/>
      <c r="M730" s="199"/>
      <c r="N730" s="199"/>
      <c r="O730" s="199"/>
      <c r="P730" s="199"/>
      <c r="Q730" s="199"/>
      <c r="R730" s="199"/>
      <c r="S730" s="199"/>
    </row>
    <row r="731" spans="4:19">
      <c r="D731" s="216"/>
      <c r="E731" s="199"/>
      <c r="F731" s="199"/>
      <c r="G731" s="199"/>
      <c r="H731" s="199"/>
      <c r="I731" s="199"/>
      <c r="J731" s="199"/>
      <c r="K731" s="199"/>
      <c r="L731" s="199"/>
      <c r="M731" s="199"/>
      <c r="N731" s="199"/>
      <c r="O731" s="199"/>
      <c r="P731" s="199"/>
      <c r="Q731" s="199"/>
      <c r="R731" s="199"/>
      <c r="S731" s="199"/>
    </row>
    <row r="732" spans="4:19">
      <c r="D732" s="216"/>
      <c r="E732" s="199"/>
      <c r="F732" s="199"/>
      <c r="G732" s="199"/>
      <c r="H732" s="199"/>
      <c r="I732" s="199"/>
      <c r="J732" s="199"/>
      <c r="K732" s="199"/>
      <c r="L732" s="199"/>
      <c r="M732" s="199"/>
      <c r="N732" s="199"/>
      <c r="O732" s="199"/>
      <c r="P732" s="199"/>
      <c r="Q732" s="199"/>
      <c r="R732" s="199"/>
      <c r="S732" s="199"/>
    </row>
    <row r="733" spans="4:19">
      <c r="D733" s="216"/>
      <c r="E733" s="199"/>
      <c r="F733" s="199"/>
      <c r="G733" s="199"/>
      <c r="H733" s="199"/>
      <c r="I733" s="199"/>
      <c r="J733" s="199"/>
      <c r="K733" s="199"/>
      <c r="L733" s="199"/>
      <c r="M733" s="199"/>
      <c r="N733" s="199"/>
      <c r="O733" s="199"/>
      <c r="P733" s="199"/>
      <c r="Q733" s="199"/>
      <c r="R733" s="199"/>
      <c r="S733" s="199"/>
    </row>
    <row r="734" spans="4:19">
      <c r="D734" s="216"/>
      <c r="E734" s="199"/>
      <c r="F734" s="199"/>
      <c r="G734" s="199"/>
      <c r="H734" s="199"/>
      <c r="I734" s="199"/>
      <c r="J734" s="199"/>
      <c r="K734" s="199"/>
      <c r="L734" s="199"/>
      <c r="M734" s="199"/>
      <c r="N734" s="199"/>
      <c r="O734" s="199"/>
      <c r="P734" s="199"/>
      <c r="Q734" s="199"/>
      <c r="R734" s="199"/>
      <c r="S734" s="199"/>
    </row>
    <row r="735" spans="4:19">
      <c r="D735" s="216"/>
      <c r="E735" s="199"/>
      <c r="F735" s="199"/>
      <c r="G735" s="199"/>
      <c r="H735" s="199"/>
      <c r="I735" s="199"/>
      <c r="J735" s="199"/>
      <c r="K735" s="199"/>
      <c r="L735" s="199"/>
      <c r="M735" s="199"/>
      <c r="N735" s="199"/>
      <c r="O735" s="199"/>
      <c r="P735" s="199"/>
      <c r="Q735" s="199"/>
      <c r="R735" s="199"/>
      <c r="S735" s="199"/>
    </row>
    <row r="736" spans="4:19">
      <c r="D736" s="216"/>
      <c r="E736" s="199"/>
      <c r="F736" s="199"/>
      <c r="G736" s="199"/>
      <c r="H736" s="199"/>
      <c r="I736" s="199"/>
      <c r="J736" s="199"/>
      <c r="K736" s="199"/>
      <c r="L736" s="199"/>
      <c r="M736" s="199"/>
      <c r="N736" s="199"/>
      <c r="O736" s="199"/>
      <c r="P736" s="199"/>
      <c r="Q736" s="199"/>
      <c r="R736" s="199"/>
      <c r="S736" s="199"/>
    </row>
    <row r="737" spans="4:19">
      <c r="D737" s="216"/>
      <c r="E737" s="199"/>
      <c r="F737" s="199"/>
      <c r="G737" s="199"/>
      <c r="H737" s="199"/>
      <c r="I737" s="199"/>
      <c r="J737" s="199"/>
      <c r="K737" s="199"/>
      <c r="L737" s="199"/>
      <c r="M737" s="199"/>
      <c r="N737" s="199"/>
      <c r="O737" s="199"/>
      <c r="P737" s="199"/>
      <c r="Q737" s="199"/>
      <c r="R737" s="199"/>
      <c r="S737" s="199"/>
    </row>
    <row r="738" spans="4:19">
      <c r="D738" s="216"/>
      <c r="E738" s="199"/>
      <c r="F738" s="199"/>
      <c r="G738" s="199"/>
      <c r="H738" s="199"/>
      <c r="I738" s="199"/>
      <c r="J738" s="199"/>
      <c r="K738" s="199"/>
      <c r="L738" s="199"/>
      <c r="M738" s="199"/>
      <c r="N738" s="199"/>
      <c r="O738" s="199"/>
      <c r="P738" s="199"/>
      <c r="Q738" s="199"/>
      <c r="R738" s="199"/>
      <c r="S738" s="199"/>
    </row>
    <row r="739" spans="4:19">
      <c r="D739" s="216"/>
      <c r="E739" s="199"/>
      <c r="F739" s="199"/>
      <c r="G739" s="199"/>
      <c r="H739" s="199"/>
      <c r="I739" s="199"/>
      <c r="J739" s="199"/>
      <c r="K739" s="199"/>
      <c r="L739" s="199"/>
      <c r="M739" s="199"/>
      <c r="N739" s="199"/>
      <c r="O739" s="199"/>
      <c r="P739" s="199"/>
      <c r="Q739" s="199"/>
      <c r="R739" s="199"/>
      <c r="S739" s="199"/>
    </row>
    <row r="740" spans="4:19">
      <c r="D740" s="216"/>
      <c r="E740" s="199"/>
      <c r="F740" s="199"/>
      <c r="G740" s="199"/>
      <c r="H740" s="199"/>
      <c r="I740" s="199"/>
      <c r="J740" s="199"/>
      <c r="K740" s="199"/>
      <c r="L740" s="199"/>
      <c r="M740" s="199"/>
      <c r="N740" s="199"/>
      <c r="O740" s="199"/>
      <c r="P740" s="199"/>
      <c r="Q740" s="199"/>
      <c r="R740" s="199"/>
      <c r="S740" s="199"/>
    </row>
    <row r="741" spans="4:19">
      <c r="D741" s="216"/>
      <c r="E741" s="199"/>
      <c r="F741" s="199"/>
      <c r="G741" s="199"/>
      <c r="H741" s="199"/>
      <c r="I741" s="199"/>
      <c r="J741" s="199"/>
      <c r="K741" s="199"/>
      <c r="L741" s="199"/>
      <c r="M741" s="199"/>
      <c r="N741" s="199"/>
      <c r="O741" s="199"/>
      <c r="P741" s="199"/>
      <c r="Q741" s="199"/>
      <c r="R741" s="199"/>
      <c r="S741" s="199"/>
    </row>
    <row r="742" spans="4:19">
      <c r="D742" s="216"/>
      <c r="E742" s="199"/>
      <c r="F742" s="199"/>
      <c r="G742" s="199"/>
      <c r="H742" s="199"/>
      <c r="I742" s="199"/>
      <c r="J742" s="199"/>
      <c r="K742" s="199"/>
      <c r="L742" s="199"/>
      <c r="M742" s="199"/>
      <c r="N742" s="199"/>
      <c r="O742" s="199"/>
      <c r="P742" s="199"/>
      <c r="Q742" s="199"/>
      <c r="R742" s="199"/>
      <c r="S742" s="199"/>
    </row>
    <row r="743" spans="4:19">
      <c r="D743" s="216"/>
      <c r="E743" s="199"/>
      <c r="F743" s="199"/>
      <c r="G743" s="199"/>
      <c r="H743" s="199"/>
      <c r="I743" s="199"/>
      <c r="J743" s="199"/>
      <c r="K743" s="199"/>
      <c r="L743" s="199"/>
      <c r="M743" s="199"/>
      <c r="N743" s="199"/>
      <c r="O743" s="199"/>
      <c r="P743" s="199"/>
      <c r="Q743" s="199"/>
      <c r="R743" s="199"/>
      <c r="S743" s="199"/>
    </row>
    <row r="744" spans="4:19">
      <c r="D744" s="216"/>
      <c r="E744" s="199"/>
      <c r="F744" s="199"/>
      <c r="G744" s="199"/>
      <c r="H744" s="199"/>
      <c r="I744" s="199"/>
      <c r="J744" s="199"/>
      <c r="K744" s="199"/>
      <c r="L744" s="199"/>
      <c r="M744" s="199"/>
      <c r="N744" s="199"/>
      <c r="O744" s="199"/>
      <c r="P744" s="199"/>
      <c r="Q744" s="199"/>
      <c r="R744" s="199"/>
      <c r="S744" s="199"/>
    </row>
    <row r="745" spans="4:19">
      <c r="D745" s="216"/>
      <c r="E745" s="199"/>
      <c r="F745" s="199"/>
      <c r="G745" s="199"/>
      <c r="H745" s="199"/>
      <c r="I745" s="199"/>
      <c r="J745" s="199"/>
      <c r="K745" s="199"/>
      <c r="L745" s="199"/>
      <c r="M745" s="199"/>
      <c r="N745" s="199"/>
      <c r="O745" s="199"/>
      <c r="P745" s="199"/>
      <c r="Q745" s="199"/>
      <c r="R745" s="199"/>
      <c r="S745" s="199"/>
    </row>
    <row r="746" spans="4:19">
      <c r="D746" s="216"/>
      <c r="E746" s="199"/>
      <c r="F746" s="199"/>
      <c r="G746" s="199"/>
      <c r="H746" s="199"/>
      <c r="I746" s="199"/>
      <c r="J746" s="199"/>
      <c r="K746" s="199"/>
      <c r="L746" s="199"/>
      <c r="M746" s="199"/>
      <c r="N746" s="199"/>
      <c r="O746" s="199"/>
      <c r="P746" s="199"/>
      <c r="Q746" s="199"/>
      <c r="R746" s="199"/>
      <c r="S746" s="199"/>
    </row>
    <row r="747" spans="4:19">
      <c r="D747" s="216"/>
      <c r="E747" s="199"/>
      <c r="F747" s="199"/>
      <c r="G747" s="199"/>
      <c r="H747" s="199"/>
      <c r="I747" s="199"/>
      <c r="J747" s="199"/>
      <c r="K747" s="199"/>
      <c r="L747" s="199"/>
      <c r="M747" s="199"/>
      <c r="N747" s="199"/>
      <c r="O747" s="199"/>
      <c r="P747" s="199"/>
      <c r="Q747" s="199"/>
      <c r="R747" s="199"/>
      <c r="S747" s="199"/>
    </row>
    <row r="748" spans="4:19">
      <c r="D748" s="216"/>
      <c r="E748" s="199"/>
      <c r="F748" s="199"/>
      <c r="G748" s="199"/>
      <c r="H748" s="199"/>
      <c r="I748" s="199"/>
      <c r="J748" s="199"/>
      <c r="K748" s="199"/>
      <c r="L748" s="199"/>
      <c r="M748" s="199"/>
      <c r="N748" s="199"/>
      <c r="O748" s="199"/>
      <c r="P748" s="199"/>
      <c r="Q748" s="199"/>
      <c r="R748" s="199"/>
      <c r="S748" s="199"/>
    </row>
    <row r="749" spans="4:19">
      <c r="D749" s="216"/>
      <c r="E749" s="199"/>
      <c r="F749" s="199"/>
      <c r="G749" s="199"/>
      <c r="H749" s="199"/>
      <c r="I749" s="199"/>
      <c r="J749" s="199"/>
      <c r="K749" s="199"/>
      <c r="L749" s="199"/>
      <c r="M749" s="199"/>
      <c r="N749" s="199"/>
      <c r="O749" s="199"/>
      <c r="P749" s="199"/>
      <c r="Q749" s="199"/>
      <c r="R749" s="199"/>
      <c r="S749" s="199"/>
    </row>
    <row r="750" spans="4:19">
      <c r="D750" s="216"/>
      <c r="E750" s="199"/>
      <c r="F750" s="199"/>
      <c r="G750" s="199"/>
      <c r="H750" s="199"/>
      <c r="I750" s="199"/>
      <c r="J750" s="199"/>
      <c r="K750" s="199"/>
      <c r="L750" s="199"/>
      <c r="M750" s="199"/>
      <c r="N750" s="199"/>
      <c r="O750" s="199"/>
      <c r="P750" s="199"/>
      <c r="Q750" s="199"/>
      <c r="R750" s="199"/>
      <c r="S750" s="199"/>
    </row>
    <row r="751" spans="4:19">
      <c r="D751" s="216"/>
      <c r="E751" s="199"/>
      <c r="F751" s="199"/>
      <c r="G751" s="199"/>
      <c r="H751" s="199"/>
      <c r="I751" s="199"/>
      <c r="J751" s="199"/>
      <c r="K751" s="199"/>
      <c r="L751" s="199"/>
      <c r="M751" s="199"/>
      <c r="N751" s="199"/>
      <c r="O751" s="199"/>
      <c r="P751" s="199"/>
      <c r="Q751" s="199"/>
      <c r="R751" s="199"/>
      <c r="S751" s="199"/>
    </row>
    <row r="752" spans="4:19">
      <c r="D752" s="216"/>
      <c r="E752" s="199"/>
      <c r="F752" s="199"/>
      <c r="G752" s="199"/>
      <c r="H752" s="199"/>
      <c r="I752" s="199"/>
      <c r="J752" s="199"/>
      <c r="K752" s="199"/>
      <c r="L752" s="199"/>
      <c r="M752" s="199"/>
      <c r="N752" s="199"/>
      <c r="O752" s="199"/>
      <c r="P752" s="199"/>
      <c r="Q752" s="199"/>
      <c r="R752" s="199"/>
      <c r="S752" s="199"/>
    </row>
    <row r="753" spans="4:19">
      <c r="D753" s="216"/>
      <c r="E753" s="199"/>
      <c r="F753" s="199"/>
      <c r="G753" s="199"/>
      <c r="H753" s="199"/>
      <c r="I753" s="199"/>
      <c r="J753" s="199"/>
      <c r="K753" s="199"/>
      <c r="L753" s="199"/>
      <c r="M753" s="199"/>
      <c r="N753" s="199"/>
      <c r="O753" s="199"/>
      <c r="P753" s="199"/>
      <c r="Q753" s="199"/>
      <c r="R753" s="199"/>
      <c r="S753" s="199"/>
    </row>
    <row r="754" spans="4:19">
      <c r="D754" s="216"/>
      <c r="E754" s="199"/>
      <c r="F754" s="199"/>
      <c r="G754" s="199"/>
      <c r="H754" s="199"/>
      <c r="I754" s="199"/>
      <c r="J754" s="199"/>
      <c r="K754" s="199"/>
      <c r="L754" s="199"/>
      <c r="M754" s="199"/>
      <c r="N754" s="199"/>
      <c r="O754" s="199"/>
      <c r="P754" s="199"/>
      <c r="Q754" s="199"/>
      <c r="R754" s="199"/>
      <c r="S754" s="199"/>
    </row>
    <row r="755" spans="4:19">
      <c r="D755" s="216"/>
      <c r="E755" s="199"/>
      <c r="F755" s="199"/>
      <c r="G755" s="199"/>
      <c r="H755" s="199"/>
      <c r="I755" s="199"/>
      <c r="J755" s="199"/>
      <c r="K755" s="199"/>
      <c r="L755" s="199"/>
      <c r="M755" s="199"/>
      <c r="N755" s="199"/>
      <c r="O755" s="199"/>
      <c r="P755" s="199"/>
      <c r="Q755" s="199"/>
      <c r="R755" s="199"/>
      <c r="S755" s="199"/>
    </row>
    <row r="756" spans="4:19">
      <c r="D756" s="216"/>
      <c r="E756" s="199"/>
      <c r="F756" s="199"/>
      <c r="G756" s="199"/>
      <c r="H756" s="199"/>
      <c r="I756" s="199"/>
      <c r="J756" s="199"/>
      <c r="K756" s="199"/>
      <c r="L756" s="199"/>
      <c r="M756" s="199"/>
      <c r="N756" s="199"/>
      <c r="O756" s="199"/>
      <c r="P756" s="199"/>
      <c r="Q756" s="199"/>
      <c r="R756" s="199"/>
      <c r="S756" s="199"/>
    </row>
    <row r="757" spans="4:19">
      <c r="D757" s="216"/>
      <c r="E757" s="199"/>
      <c r="F757" s="199"/>
      <c r="G757" s="199"/>
      <c r="H757" s="199"/>
      <c r="I757" s="199"/>
      <c r="J757" s="199"/>
      <c r="K757" s="199"/>
      <c r="L757" s="199"/>
      <c r="M757" s="199"/>
      <c r="N757" s="199"/>
      <c r="O757" s="199"/>
      <c r="P757" s="199"/>
      <c r="Q757" s="199"/>
      <c r="R757" s="199"/>
      <c r="S757" s="199"/>
    </row>
    <row r="758" spans="4:19">
      <c r="D758" s="216"/>
      <c r="E758" s="199"/>
      <c r="F758" s="199"/>
      <c r="G758" s="199"/>
      <c r="H758" s="199"/>
      <c r="I758" s="199"/>
      <c r="J758" s="199"/>
      <c r="K758" s="199"/>
      <c r="L758" s="199"/>
      <c r="M758" s="199"/>
      <c r="N758" s="199"/>
      <c r="O758" s="199"/>
      <c r="P758" s="199"/>
      <c r="Q758" s="199"/>
      <c r="R758" s="199"/>
      <c r="S758" s="199"/>
    </row>
    <row r="759" spans="4:19">
      <c r="D759" s="216"/>
      <c r="E759" s="199"/>
      <c r="F759" s="199"/>
      <c r="G759" s="199"/>
      <c r="H759" s="199"/>
      <c r="I759" s="199"/>
      <c r="J759" s="199"/>
      <c r="K759" s="199"/>
      <c r="L759" s="199"/>
      <c r="M759" s="199"/>
      <c r="N759" s="199"/>
      <c r="O759" s="199"/>
      <c r="P759" s="199"/>
      <c r="Q759" s="199"/>
      <c r="R759" s="199"/>
      <c r="S759" s="199"/>
    </row>
    <row r="760" spans="4:19">
      <c r="D760" s="216"/>
      <c r="E760" s="199"/>
      <c r="F760" s="199"/>
      <c r="G760" s="199"/>
      <c r="H760" s="199"/>
      <c r="I760" s="199"/>
      <c r="J760" s="199"/>
      <c r="K760" s="199"/>
      <c r="L760" s="199"/>
      <c r="M760" s="199"/>
      <c r="N760" s="199"/>
      <c r="O760" s="199"/>
      <c r="P760" s="199"/>
      <c r="Q760" s="199"/>
      <c r="R760" s="199"/>
      <c r="S760" s="199"/>
    </row>
    <row r="761" spans="4:19">
      <c r="D761" s="216"/>
      <c r="E761" s="199"/>
      <c r="F761" s="199"/>
      <c r="G761" s="199"/>
      <c r="H761" s="199"/>
      <c r="I761" s="199"/>
      <c r="J761" s="199"/>
      <c r="K761" s="199"/>
      <c r="L761" s="199"/>
      <c r="M761" s="199"/>
      <c r="N761" s="199"/>
      <c r="O761" s="199"/>
      <c r="P761" s="199"/>
      <c r="Q761" s="199"/>
      <c r="R761" s="199"/>
      <c r="S761" s="199"/>
    </row>
    <row r="762" spans="4:19">
      <c r="D762" s="216"/>
      <c r="E762" s="199"/>
      <c r="F762" s="199"/>
      <c r="G762" s="199"/>
      <c r="H762" s="199"/>
      <c r="I762" s="199"/>
      <c r="J762" s="199"/>
      <c r="K762" s="199"/>
      <c r="L762" s="199"/>
      <c r="M762" s="199"/>
      <c r="N762" s="199"/>
      <c r="O762" s="199"/>
      <c r="P762" s="199"/>
      <c r="Q762" s="199"/>
      <c r="R762" s="199"/>
      <c r="S762" s="199"/>
    </row>
    <row r="763" spans="4:19">
      <c r="D763" s="216"/>
      <c r="E763" s="199"/>
      <c r="F763" s="199"/>
      <c r="G763" s="199"/>
      <c r="H763" s="199"/>
      <c r="I763" s="199"/>
      <c r="J763" s="199"/>
      <c r="K763" s="199"/>
      <c r="L763" s="199"/>
      <c r="M763" s="199"/>
      <c r="N763" s="199"/>
      <c r="O763" s="199"/>
      <c r="P763" s="199"/>
      <c r="Q763" s="199"/>
      <c r="R763" s="199"/>
      <c r="S763" s="199"/>
    </row>
    <row r="764" spans="4:19">
      <c r="D764" s="216"/>
      <c r="E764" s="199"/>
      <c r="F764" s="199"/>
      <c r="G764" s="199"/>
      <c r="H764" s="199"/>
      <c r="I764" s="199"/>
      <c r="J764" s="199"/>
      <c r="K764" s="199"/>
      <c r="L764" s="199"/>
      <c r="M764" s="199"/>
      <c r="N764" s="199"/>
      <c r="O764" s="199"/>
      <c r="P764" s="199"/>
      <c r="Q764" s="199"/>
      <c r="R764" s="199"/>
      <c r="S764" s="199"/>
    </row>
    <row r="765" spans="4:19">
      <c r="D765" s="216"/>
      <c r="E765" s="199"/>
      <c r="F765" s="199"/>
      <c r="G765" s="199"/>
      <c r="H765" s="199"/>
      <c r="I765" s="199"/>
      <c r="J765" s="199"/>
      <c r="K765" s="199"/>
      <c r="L765" s="199"/>
      <c r="M765" s="199"/>
      <c r="N765" s="199"/>
      <c r="O765" s="199"/>
      <c r="P765" s="199"/>
      <c r="Q765" s="199"/>
      <c r="R765" s="199"/>
      <c r="S765" s="199"/>
    </row>
    <row r="766" spans="4:19">
      <c r="D766" s="216"/>
      <c r="E766" s="199"/>
      <c r="F766" s="199"/>
      <c r="G766" s="199"/>
      <c r="H766" s="199"/>
      <c r="I766" s="199"/>
      <c r="J766" s="199"/>
      <c r="K766" s="199"/>
      <c r="L766" s="199"/>
      <c r="M766" s="199"/>
      <c r="N766" s="199"/>
      <c r="O766" s="199"/>
      <c r="P766" s="199"/>
      <c r="Q766" s="199"/>
      <c r="R766" s="199"/>
      <c r="S766" s="199"/>
    </row>
    <row r="767" spans="4:19">
      <c r="D767" s="216"/>
      <c r="E767" s="199"/>
      <c r="F767" s="199"/>
      <c r="G767" s="199"/>
      <c r="H767" s="199"/>
      <c r="I767" s="199"/>
      <c r="J767" s="199"/>
      <c r="K767" s="199"/>
      <c r="L767" s="199"/>
      <c r="M767" s="199"/>
      <c r="N767" s="199"/>
      <c r="O767" s="199"/>
      <c r="P767" s="199"/>
      <c r="Q767" s="199"/>
      <c r="R767" s="199"/>
      <c r="S767" s="199"/>
    </row>
    <row r="768" spans="4:19">
      <c r="D768" s="216"/>
      <c r="E768" s="199"/>
      <c r="F768" s="199"/>
      <c r="G768" s="199"/>
      <c r="H768" s="199"/>
      <c r="I768" s="199"/>
      <c r="J768" s="199"/>
      <c r="K768" s="199"/>
      <c r="L768" s="199"/>
      <c r="M768" s="199"/>
      <c r="N768" s="199"/>
      <c r="O768" s="199"/>
      <c r="P768" s="199"/>
      <c r="Q768" s="199"/>
      <c r="R768" s="199"/>
      <c r="S768" s="199"/>
    </row>
    <row r="769" spans="4:19">
      <c r="D769" s="216"/>
      <c r="E769" s="199"/>
      <c r="F769" s="199"/>
      <c r="G769" s="199"/>
      <c r="H769" s="199"/>
      <c r="I769" s="199"/>
      <c r="J769" s="199"/>
      <c r="K769" s="199"/>
      <c r="L769" s="199"/>
      <c r="M769" s="199"/>
      <c r="N769" s="199"/>
      <c r="O769" s="199"/>
      <c r="P769" s="199"/>
      <c r="Q769" s="199"/>
      <c r="R769" s="199"/>
      <c r="S769" s="199"/>
    </row>
    <row r="770" spans="4:19">
      <c r="D770" s="216"/>
      <c r="E770" s="199"/>
      <c r="F770" s="199"/>
      <c r="G770" s="199"/>
      <c r="H770" s="199"/>
      <c r="I770" s="199"/>
      <c r="J770" s="199"/>
      <c r="K770" s="199"/>
      <c r="L770" s="199"/>
      <c r="M770" s="199"/>
      <c r="N770" s="199"/>
      <c r="O770" s="199"/>
      <c r="P770" s="199"/>
      <c r="Q770" s="199"/>
      <c r="R770" s="199"/>
      <c r="S770" s="199"/>
    </row>
    <row r="771" spans="4:19">
      <c r="D771" s="216"/>
      <c r="E771" s="199"/>
      <c r="F771" s="199"/>
      <c r="G771" s="199"/>
      <c r="H771" s="199"/>
      <c r="I771" s="199"/>
      <c r="J771" s="199"/>
      <c r="K771" s="199"/>
      <c r="L771" s="199"/>
      <c r="M771" s="199"/>
      <c r="N771" s="199"/>
      <c r="O771" s="199"/>
      <c r="P771" s="199"/>
      <c r="Q771" s="199"/>
      <c r="R771" s="199"/>
      <c r="S771" s="199"/>
    </row>
    <row r="772" spans="4:19">
      <c r="D772" s="216"/>
      <c r="E772" s="199"/>
      <c r="F772" s="199"/>
      <c r="G772" s="199"/>
      <c r="H772" s="199"/>
      <c r="I772" s="199"/>
      <c r="J772" s="199"/>
      <c r="K772" s="199"/>
      <c r="L772" s="199"/>
      <c r="M772" s="199"/>
      <c r="N772" s="199"/>
      <c r="O772" s="199"/>
      <c r="P772" s="199"/>
      <c r="Q772" s="199"/>
      <c r="R772" s="199"/>
      <c r="S772" s="199"/>
    </row>
    <row r="773" spans="4:19">
      <c r="D773" s="216"/>
      <c r="E773" s="199"/>
      <c r="F773" s="199"/>
      <c r="G773" s="199"/>
      <c r="H773" s="199"/>
      <c r="I773" s="199"/>
      <c r="J773" s="199"/>
      <c r="K773" s="199"/>
      <c r="L773" s="199"/>
      <c r="M773" s="199"/>
      <c r="N773" s="199"/>
      <c r="O773" s="199"/>
      <c r="P773" s="199"/>
      <c r="Q773" s="199"/>
      <c r="R773" s="199"/>
      <c r="S773" s="199"/>
    </row>
    <row r="774" spans="4:19">
      <c r="D774" s="216"/>
      <c r="E774" s="199"/>
      <c r="F774" s="199"/>
      <c r="G774" s="199"/>
      <c r="H774" s="199"/>
      <c r="I774" s="199"/>
      <c r="J774" s="199"/>
      <c r="K774" s="199"/>
      <c r="L774" s="199"/>
      <c r="M774" s="199"/>
      <c r="N774" s="199"/>
      <c r="O774" s="199"/>
      <c r="P774" s="199"/>
      <c r="Q774" s="199"/>
      <c r="R774" s="199"/>
      <c r="S774" s="199"/>
    </row>
    <row r="775" spans="4:19">
      <c r="D775" s="216"/>
      <c r="E775" s="199"/>
      <c r="F775" s="199"/>
      <c r="G775" s="199"/>
      <c r="H775" s="199"/>
      <c r="I775" s="199"/>
      <c r="J775" s="199"/>
      <c r="K775" s="199"/>
      <c r="L775" s="199"/>
      <c r="M775" s="199"/>
      <c r="N775" s="199"/>
      <c r="O775" s="199"/>
      <c r="P775" s="199"/>
      <c r="Q775" s="199"/>
      <c r="R775" s="199"/>
      <c r="S775" s="199"/>
    </row>
    <row r="776" spans="4:19">
      <c r="D776" s="216"/>
      <c r="E776" s="199"/>
      <c r="F776" s="199"/>
      <c r="G776" s="199"/>
      <c r="H776" s="199"/>
      <c r="I776" s="199"/>
      <c r="J776" s="199"/>
      <c r="K776" s="199"/>
      <c r="L776" s="199"/>
      <c r="M776" s="199"/>
      <c r="N776" s="199"/>
      <c r="O776" s="199"/>
      <c r="P776" s="199"/>
      <c r="Q776" s="199"/>
      <c r="R776" s="199"/>
      <c r="S776" s="199"/>
    </row>
    <row r="777" spans="4:19">
      <c r="D777" s="216"/>
      <c r="E777" s="199"/>
      <c r="F777" s="199"/>
      <c r="G777" s="199"/>
      <c r="H777" s="199"/>
      <c r="I777" s="199"/>
      <c r="J777" s="199"/>
      <c r="K777" s="199"/>
      <c r="L777" s="199"/>
      <c r="M777" s="199"/>
      <c r="N777" s="199"/>
      <c r="O777" s="199"/>
      <c r="P777" s="199"/>
      <c r="Q777" s="199"/>
      <c r="R777" s="199"/>
      <c r="S777" s="199"/>
    </row>
    <row r="778" spans="4:19">
      <c r="D778" s="216"/>
      <c r="E778" s="199"/>
      <c r="F778" s="199"/>
      <c r="G778" s="199"/>
      <c r="H778" s="199"/>
      <c r="I778" s="199"/>
      <c r="J778" s="199"/>
      <c r="K778" s="199"/>
      <c r="L778" s="199"/>
      <c r="M778" s="199"/>
      <c r="N778" s="199"/>
      <c r="O778" s="199"/>
      <c r="P778" s="199"/>
      <c r="Q778" s="199"/>
      <c r="R778" s="199"/>
      <c r="S778" s="199"/>
    </row>
    <row r="779" spans="4:19">
      <c r="D779" s="216"/>
      <c r="E779" s="199"/>
      <c r="F779" s="199"/>
      <c r="G779" s="199"/>
      <c r="H779" s="199"/>
      <c r="I779" s="199"/>
      <c r="J779" s="199"/>
      <c r="K779" s="199"/>
      <c r="L779" s="199"/>
      <c r="M779" s="199"/>
      <c r="N779" s="199"/>
      <c r="O779" s="199"/>
      <c r="P779" s="199"/>
      <c r="Q779" s="199"/>
      <c r="R779" s="199"/>
      <c r="S779" s="199"/>
    </row>
    <row r="780" spans="4:19">
      <c r="D780" s="216"/>
      <c r="E780" s="199"/>
      <c r="F780" s="199"/>
      <c r="G780" s="199"/>
      <c r="H780" s="199"/>
      <c r="I780" s="199"/>
      <c r="J780" s="199"/>
      <c r="K780" s="199"/>
      <c r="L780" s="199"/>
      <c r="M780" s="199"/>
      <c r="N780" s="199"/>
      <c r="O780" s="199"/>
      <c r="P780" s="199"/>
      <c r="Q780" s="199"/>
      <c r="R780" s="199"/>
      <c r="S780" s="199"/>
    </row>
    <row r="781" spans="4:19">
      <c r="D781" s="216"/>
      <c r="E781" s="199"/>
      <c r="F781" s="199"/>
      <c r="G781" s="199"/>
      <c r="H781" s="199"/>
      <c r="I781" s="199"/>
      <c r="J781" s="199"/>
      <c r="K781" s="199"/>
      <c r="L781" s="199"/>
      <c r="M781" s="199"/>
      <c r="N781" s="199"/>
      <c r="O781" s="199"/>
      <c r="P781" s="199"/>
      <c r="Q781" s="199"/>
      <c r="R781" s="199"/>
      <c r="S781" s="199"/>
    </row>
    <row r="782" spans="4:19">
      <c r="D782" s="216"/>
      <c r="E782" s="199"/>
      <c r="F782" s="199"/>
      <c r="G782" s="199"/>
      <c r="H782" s="199"/>
      <c r="I782" s="199"/>
      <c r="J782" s="199"/>
      <c r="K782" s="199"/>
      <c r="L782" s="199"/>
      <c r="M782" s="199"/>
      <c r="N782" s="199"/>
      <c r="O782" s="199"/>
      <c r="P782" s="199"/>
      <c r="Q782" s="199"/>
      <c r="R782" s="199"/>
      <c r="S782" s="199"/>
    </row>
    <row r="783" spans="4:19">
      <c r="D783" s="216"/>
      <c r="E783" s="199"/>
      <c r="F783" s="199"/>
      <c r="G783" s="199"/>
      <c r="H783" s="199"/>
      <c r="I783" s="199"/>
      <c r="J783" s="199"/>
      <c r="K783" s="199"/>
      <c r="L783" s="199"/>
      <c r="M783" s="199"/>
      <c r="N783" s="199"/>
      <c r="O783" s="199"/>
      <c r="P783" s="199"/>
      <c r="Q783" s="199"/>
      <c r="R783" s="199"/>
      <c r="S783" s="199"/>
    </row>
    <row r="784" spans="4:19">
      <c r="D784" s="216"/>
      <c r="E784" s="199"/>
      <c r="F784" s="199"/>
      <c r="G784" s="199"/>
      <c r="H784" s="199"/>
      <c r="I784" s="199"/>
      <c r="J784" s="199"/>
      <c r="K784" s="199"/>
      <c r="L784" s="199"/>
      <c r="M784" s="199"/>
      <c r="N784" s="199"/>
      <c r="O784" s="199"/>
      <c r="P784" s="199"/>
      <c r="Q784" s="199"/>
      <c r="R784" s="199"/>
      <c r="S784" s="199"/>
    </row>
    <row r="785" spans="4:19">
      <c r="D785" s="216"/>
      <c r="E785" s="199"/>
      <c r="F785" s="199"/>
      <c r="G785" s="199"/>
      <c r="H785" s="199"/>
      <c r="I785" s="199"/>
      <c r="J785" s="199"/>
      <c r="K785" s="199"/>
      <c r="L785" s="199"/>
      <c r="M785" s="199"/>
      <c r="N785" s="199"/>
      <c r="O785" s="199"/>
      <c r="P785" s="199"/>
      <c r="Q785" s="199"/>
      <c r="R785" s="199"/>
      <c r="S785" s="199"/>
    </row>
    <row r="786" spans="4:19">
      <c r="D786" s="216"/>
      <c r="E786" s="199"/>
      <c r="F786" s="199"/>
      <c r="G786" s="199"/>
      <c r="H786" s="199"/>
      <c r="I786" s="199"/>
      <c r="J786" s="199"/>
      <c r="K786" s="199"/>
      <c r="L786" s="199"/>
      <c r="M786" s="199"/>
      <c r="N786" s="199"/>
      <c r="O786" s="199"/>
      <c r="P786" s="199"/>
      <c r="Q786" s="199"/>
      <c r="R786" s="199"/>
      <c r="S786" s="199"/>
    </row>
    <row r="787" spans="4:19">
      <c r="D787" s="216"/>
      <c r="E787" s="199"/>
      <c r="F787" s="199"/>
      <c r="G787" s="199"/>
      <c r="H787" s="199"/>
      <c r="I787" s="199"/>
      <c r="J787" s="199"/>
      <c r="K787" s="199"/>
      <c r="L787" s="199"/>
      <c r="M787" s="199"/>
      <c r="N787" s="199"/>
      <c r="O787" s="199"/>
      <c r="P787" s="199"/>
      <c r="Q787" s="199"/>
      <c r="R787" s="199"/>
      <c r="S787" s="199"/>
    </row>
    <row r="788" spans="4:19">
      <c r="D788" s="216"/>
      <c r="E788" s="199"/>
      <c r="F788" s="199"/>
      <c r="G788" s="199"/>
      <c r="H788" s="199"/>
      <c r="I788" s="199"/>
      <c r="J788" s="199"/>
      <c r="K788" s="199"/>
      <c r="L788" s="199"/>
      <c r="M788" s="199"/>
      <c r="N788" s="199"/>
      <c r="O788" s="199"/>
      <c r="P788" s="199"/>
      <c r="Q788" s="199"/>
      <c r="R788" s="199"/>
      <c r="S788" s="199"/>
    </row>
    <row r="789" spans="4:19">
      <c r="D789" s="216"/>
      <c r="E789" s="199"/>
      <c r="F789" s="199"/>
      <c r="G789" s="199"/>
      <c r="H789" s="199"/>
      <c r="I789" s="199"/>
      <c r="J789" s="199"/>
      <c r="K789" s="199"/>
      <c r="L789" s="199"/>
      <c r="M789" s="199"/>
      <c r="N789" s="199"/>
      <c r="O789" s="199"/>
      <c r="P789" s="199"/>
      <c r="Q789" s="199"/>
      <c r="R789" s="199"/>
      <c r="S789" s="199"/>
    </row>
    <row r="790" spans="4:19">
      <c r="D790" s="216"/>
      <c r="E790" s="199"/>
      <c r="F790" s="199"/>
      <c r="G790" s="199"/>
      <c r="H790" s="199"/>
      <c r="I790" s="199"/>
      <c r="J790" s="199"/>
      <c r="K790" s="199"/>
      <c r="L790" s="199"/>
      <c r="M790" s="199"/>
      <c r="N790" s="199"/>
      <c r="O790" s="199"/>
      <c r="P790" s="199"/>
      <c r="Q790" s="199"/>
      <c r="R790" s="199"/>
      <c r="S790" s="199"/>
    </row>
    <row r="791" spans="4:19">
      <c r="D791" s="216"/>
      <c r="E791" s="199"/>
      <c r="F791" s="199"/>
      <c r="G791" s="199"/>
      <c r="H791" s="199"/>
      <c r="I791" s="199"/>
      <c r="J791" s="199"/>
      <c r="K791" s="199"/>
      <c r="L791" s="199"/>
      <c r="M791" s="199"/>
      <c r="N791" s="199"/>
      <c r="O791" s="199"/>
      <c r="P791" s="199"/>
      <c r="Q791" s="199"/>
      <c r="R791" s="199"/>
      <c r="S791" s="199"/>
    </row>
    <row r="792" spans="4:19">
      <c r="D792" s="216"/>
      <c r="E792" s="199"/>
      <c r="F792" s="199"/>
      <c r="G792" s="199"/>
      <c r="H792" s="199"/>
      <c r="I792" s="199"/>
      <c r="J792" s="199"/>
      <c r="K792" s="199"/>
      <c r="L792" s="199"/>
      <c r="M792" s="199"/>
      <c r="N792" s="199"/>
      <c r="O792" s="199"/>
      <c r="P792" s="199"/>
      <c r="Q792" s="199"/>
      <c r="R792" s="199"/>
      <c r="S792" s="199"/>
    </row>
    <row r="793" spans="4:19">
      <c r="D793" s="216"/>
      <c r="E793" s="199"/>
      <c r="F793" s="199"/>
      <c r="G793" s="199"/>
      <c r="H793" s="199"/>
      <c r="I793" s="199"/>
      <c r="J793" s="199"/>
      <c r="K793" s="199"/>
      <c r="L793" s="199"/>
      <c r="M793" s="199"/>
      <c r="N793" s="199"/>
      <c r="O793" s="199"/>
      <c r="P793" s="199"/>
      <c r="Q793" s="199"/>
      <c r="R793" s="199"/>
      <c r="S793" s="199"/>
    </row>
    <row r="794" spans="4:19">
      <c r="D794" s="216"/>
      <c r="E794" s="199"/>
      <c r="F794" s="199"/>
      <c r="G794" s="199"/>
      <c r="H794" s="199"/>
      <c r="I794" s="199"/>
      <c r="J794" s="199"/>
      <c r="K794" s="199"/>
      <c r="L794" s="199"/>
      <c r="M794" s="199"/>
      <c r="N794" s="199"/>
      <c r="O794" s="199"/>
      <c r="P794" s="199"/>
      <c r="Q794" s="199"/>
      <c r="R794" s="199"/>
      <c r="S794" s="199"/>
    </row>
    <row r="795" spans="4:19">
      <c r="D795" s="216"/>
      <c r="E795" s="199"/>
      <c r="F795" s="199"/>
      <c r="G795" s="199"/>
      <c r="H795" s="199"/>
      <c r="I795" s="199"/>
      <c r="J795" s="199"/>
      <c r="K795" s="199"/>
      <c r="L795" s="199"/>
      <c r="M795" s="199"/>
      <c r="N795" s="199"/>
      <c r="O795" s="199"/>
      <c r="P795" s="199"/>
      <c r="Q795" s="199"/>
      <c r="R795" s="199"/>
      <c r="S795" s="199"/>
    </row>
    <row r="796" spans="4:19">
      <c r="D796" s="216"/>
      <c r="E796" s="199"/>
      <c r="F796" s="199"/>
      <c r="G796" s="199"/>
      <c r="H796" s="199"/>
      <c r="I796" s="199"/>
      <c r="J796" s="199"/>
      <c r="K796" s="199"/>
      <c r="L796" s="199"/>
      <c r="M796" s="199"/>
      <c r="N796" s="199"/>
      <c r="O796" s="199"/>
      <c r="P796" s="199"/>
      <c r="Q796" s="199"/>
      <c r="R796" s="199"/>
      <c r="S796" s="199"/>
    </row>
    <row r="797" spans="4:19">
      <c r="D797" s="216"/>
      <c r="E797" s="199"/>
      <c r="F797" s="199"/>
      <c r="G797" s="199"/>
      <c r="H797" s="199"/>
      <c r="I797" s="199"/>
      <c r="J797" s="199"/>
      <c r="K797" s="199"/>
      <c r="L797" s="199"/>
      <c r="M797" s="199"/>
      <c r="N797" s="199"/>
      <c r="O797" s="199"/>
      <c r="P797" s="199"/>
      <c r="Q797" s="199"/>
      <c r="R797" s="199"/>
      <c r="S797" s="199"/>
    </row>
    <row r="798" spans="4:19">
      <c r="D798" s="216"/>
      <c r="E798" s="199"/>
      <c r="F798" s="199"/>
      <c r="G798" s="199"/>
      <c r="H798" s="199"/>
      <c r="I798" s="199"/>
      <c r="J798" s="199"/>
      <c r="K798" s="199"/>
      <c r="L798" s="199"/>
      <c r="M798" s="199"/>
      <c r="N798" s="199"/>
      <c r="O798" s="199"/>
      <c r="P798" s="199"/>
      <c r="Q798" s="199"/>
      <c r="R798" s="199"/>
      <c r="S798" s="199"/>
    </row>
    <row r="799" spans="4:19">
      <c r="D799" s="216"/>
      <c r="E799" s="199"/>
      <c r="F799" s="199"/>
      <c r="G799" s="199"/>
      <c r="H799" s="199"/>
      <c r="I799" s="199"/>
      <c r="J799" s="199"/>
      <c r="K799" s="199"/>
      <c r="L799" s="199"/>
      <c r="M799" s="199"/>
      <c r="N799" s="199"/>
      <c r="O799" s="199"/>
      <c r="P799" s="199"/>
      <c r="Q799" s="199"/>
      <c r="R799" s="199"/>
      <c r="S799" s="199"/>
    </row>
    <row r="800" spans="4:19">
      <c r="D800" s="216"/>
      <c r="E800" s="199"/>
      <c r="F800" s="199"/>
      <c r="G800" s="199"/>
      <c r="H800" s="199"/>
      <c r="I800" s="199"/>
      <c r="J800" s="199"/>
      <c r="K800" s="199"/>
      <c r="L800" s="199"/>
      <c r="M800" s="199"/>
      <c r="N800" s="199"/>
      <c r="O800" s="199"/>
      <c r="P800" s="199"/>
      <c r="Q800" s="199"/>
      <c r="R800" s="199"/>
      <c r="S800" s="199"/>
    </row>
    <row r="801" spans="4:19">
      <c r="D801" s="216"/>
      <c r="E801" s="199"/>
      <c r="F801" s="199"/>
      <c r="G801" s="199"/>
      <c r="H801" s="199"/>
      <c r="I801" s="199"/>
      <c r="J801" s="199"/>
      <c r="K801" s="199"/>
      <c r="L801" s="199"/>
      <c r="M801" s="199"/>
      <c r="N801" s="199"/>
      <c r="O801" s="199"/>
      <c r="P801" s="199"/>
      <c r="Q801" s="199"/>
      <c r="R801" s="199"/>
      <c r="S801" s="199"/>
    </row>
    <row r="802" spans="4:19">
      <c r="D802" s="216"/>
      <c r="E802" s="199"/>
      <c r="F802" s="199"/>
      <c r="G802" s="199"/>
      <c r="H802" s="199"/>
      <c r="I802" s="199"/>
      <c r="J802" s="199"/>
      <c r="K802" s="199"/>
      <c r="L802" s="199"/>
      <c r="M802" s="199"/>
      <c r="N802" s="199"/>
      <c r="O802" s="199"/>
      <c r="P802" s="199"/>
      <c r="Q802" s="199"/>
      <c r="R802" s="199"/>
      <c r="S802" s="199"/>
    </row>
    <row r="803" spans="4:19">
      <c r="D803" s="216"/>
      <c r="E803" s="199"/>
      <c r="F803" s="199"/>
      <c r="G803" s="199"/>
      <c r="H803" s="199"/>
      <c r="I803" s="199"/>
      <c r="J803" s="199"/>
      <c r="K803" s="199"/>
      <c r="L803" s="199"/>
      <c r="M803" s="199"/>
      <c r="N803" s="199"/>
      <c r="O803" s="199"/>
      <c r="P803" s="199"/>
      <c r="Q803" s="199"/>
      <c r="R803" s="199"/>
      <c r="S803" s="199"/>
    </row>
    <row r="804" spans="4:19">
      <c r="D804" s="216"/>
      <c r="E804" s="199"/>
      <c r="F804" s="199"/>
      <c r="G804" s="199"/>
      <c r="H804" s="199"/>
      <c r="I804" s="199"/>
      <c r="J804" s="199"/>
      <c r="K804" s="199"/>
      <c r="L804" s="199"/>
      <c r="M804" s="199"/>
      <c r="N804" s="199"/>
      <c r="O804" s="199"/>
      <c r="P804" s="199"/>
      <c r="Q804" s="199"/>
      <c r="R804" s="199"/>
      <c r="S804" s="199"/>
    </row>
    <row r="805" spans="4:19">
      <c r="D805" s="216"/>
      <c r="E805" s="199"/>
      <c r="F805" s="199"/>
      <c r="G805" s="199"/>
      <c r="H805" s="199"/>
      <c r="I805" s="199"/>
      <c r="J805" s="199"/>
      <c r="K805" s="199"/>
      <c r="L805" s="199"/>
      <c r="M805" s="199"/>
      <c r="N805" s="199"/>
      <c r="O805" s="199"/>
      <c r="P805" s="199"/>
      <c r="Q805" s="199"/>
      <c r="R805" s="199"/>
      <c r="S805" s="199"/>
    </row>
    <row r="806" spans="4:19">
      <c r="D806" s="216"/>
      <c r="E806" s="199"/>
      <c r="F806" s="199"/>
      <c r="G806" s="199"/>
      <c r="H806" s="199"/>
      <c r="I806" s="199"/>
      <c r="J806" s="199"/>
      <c r="K806" s="199"/>
      <c r="L806" s="199"/>
      <c r="M806" s="199"/>
      <c r="N806" s="199"/>
      <c r="O806" s="199"/>
      <c r="P806" s="199"/>
      <c r="Q806" s="199"/>
      <c r="R806" s="199"/>
      <c r="S806" s="199"/>
    </row>
    <row r="807" spans="4:19">
      <c r="D807" s="216"/>
      <c r="E807" s="199"/>
      <c r="F807" s="199"/>
      <c r="G807" s="199"/>
      <c r="H807" s="199"/>
      <c r="I807" s="199"/>
      <c r="J807" s="199"/>
      <c r="K807" s="199"/>
      <c r="L807" s="199"/>
      <c r="M807" s="199"/>
      <c r="N807" s="199"/>
      <c r="O807" s="199"/>
      <c r="P807" s="199"/>
      <c r="Q807" s="199"/>
      <c r="R807" s="199"/>
      <c r="S807" s="199"/>
    </row>
    <row r="808" spans="4:19">
      <c r="D808" s="216"/>
      <c r="E808" s="199"/>
      <c r="F808" s="199"/>
      <c r="G808" s="199"/>
      <c r="H808" s="199"/>
      <c r="I808" s="199"/>
      <c r="J808" s="199"/>
      <c r="K808" s="199"/>
      <c r="L808" s="199"/>
      <c r="M808" s="199"/>
      <c r="N808" s="199"/>
      <c r="O808" s="199"/>
      <c r="P808" s="199"/>
      <c r="Q808" s="199"/>
      <c r="R808" s="199"/>
      <c r="S808" s="199"/>
    </row>
    <row r="809" spans="4:19">
      <c r="D809" s="216"/>
      <c r="E809" s="199"/>
      <c r="F809" s="199"/>
      <c r="G809" s="199"/>
      <c r="H809" s="199"/>
      <c r="I809" s="199"/>
      <c r="J809" s="199"/>
      <c r="K809" s="199"/>
      <c r="L809" s="199"/>
      <c r="M809" s="199"/>
      <c r="N809" s="199"/>
      <c r="O809" s="199"/>
      <c r="P809" s="199"/>
      <c r="Q809" s="199"/>
      <c r="R809" s="199"/>
      <c r="S809" s="199"/>
    </row>
    <row r="810" spans="4:19">
      <c r="D810" s="216"/>
      <c r="E810" s="199"/>
      <c r="F810" s="199"/>
      <c r="G810" s="199"/>
      <c r="H810" s="199"/>
      <c r="I810" s="199"/>
      <c r="J810" s="199"/>
      <c r="K810" s="199"/>
      <c r="L810" s="199"/>
      <c r="M810" s="199"/>
      <c r="N810" s="199"/>
      <c r="O810" s="199"/>
      <c r="P810" s="199"/>
      <c r="Q810" s="199"/>
      <c r="R810" s="199"/>
      <c r="S810" s="199"/>
    </row>
    <row r="811" spans="4:19">
      <c r="D811" s="216"/>
      <c r="E811" s="199"/>
      <c r="F811" s="199"/>
      <c r="G811" s="199"/>
      <c r="H811" s="199"/>
      <c r="I811" s="199"/>
      <c r="J811" s="199"/>
      <c r="K811" s="199"/>
      <c r="L811" s="199"/>
      <c r="M811" s="199"/>
      <c r="N811" s="199"/>
      <c r="O811" s="199"/>
      <c r="P811" s="199"/>
      <c r="Q811" s="199"/>
      <c r="R811" s="199"/>
      <c r="S811" s="199"/>
    </row>
    <row r="812" spans="4:19">
      <c r="D812" s="216"/>
      <c r="E812" s="199"/>
      <c r="F812" s="199"/>
      <c r="G812" s="199"/>
      <c r="H812" s="199"/>
      <c r="I812" s="199"/>
      <c r="J812" s="199"/>
      <c r="K812" s="199"/>
      <c r="L812" s="199"/>
      <c r="M812" s="199"/>
      <c r="N812" s="199"/>
      <c r="O812" s="199"/>
      <c r="P812" s="199"/>
      <c r="Q812" s="199"/>
      <c r="R812" s="199"/>
      <c r="S812" s="199"/>
    </row>
    <row r="813" spans="4:19">
      <c r="D813" s="216"/>
      <c r="E813" s="199"/>
      <c r="F813" s="199"/>
      <c r="G813" s="199"/>
      <c r="H813" s="199"/>
      <c r="I813" s="199"/>
      <c r="J813" s="199"/>
      <c r="K813" s="199"/>
      <c r="L813" s="199"/>
      <c r="M813" s="199"/>
      <c r="N813" s="199"/>
      <c r="O813" s="199"/>
      <c r="P813" s="199"/>
      <c r="Q813" s="199"/>
      <c r="R813" s="199"/>
      <c r="S813" s="199"/>
    </row>
    <row r="814" spans="4:19">
      <c r="D814" s="216"/>
      <c r="E814" s="199"/>
      <c r="F814" s="199"/>
      <c r="G814" s="199"/>
      <c r="H814" s="199"/>
      <c r="I814" s="199"/>
      <c r="J814" s="199"/>
      <c r="K814" s="199"/>
      <c r="L814" s="199"/>
      <c r="M814" s="199"/>
      <c r="N814" s="199"/>
      <c r="O814" s="199"/>
      <c r="P814" s="199"/>
      <c r="Q814" s="199"/>
      <c r="R814" s="199"/>
      <c r="S814" s="199"/>
    </row>
    <row r="815" spans="4:19">
      <c r="D815" s="216"/>
      <c r="E815" s="199"/>
      <c r="F815" s="199"/>
      <c r="G815" s="199"/>
      <c r="H815" s="199"/>
      <c r="I815" s="199"/>
      <c r="J815" s="199"/>
      <c r="K815" s="199"/>
      <c r="L815" s="199"/>
      <c r="M815" s="199"/>
      <c r="N815" s="199"/>
      <c r="O815" s="199"/>
      <c r="P815" s="199"/>
      <c r="Q815" s="199"/>
      <c r="R815" s="199"/>
      <c r="S815" s="199"/>
    </row>
    <row r="816" spans="4:19">
      <c r="D816" s="216"/>
      <c r="E816" s="199"/>
      <c r="F816" s="199"/>
      <c r="G816" s="199"/>
      <c r="H816" s="199"/>
      <c r="I816" s="199"/>
      <c r="J816" s="199"/>
      <c r="K816" s="199"/>
      <c r="L816" s="199"/>
      <c r="M816" s="199"/>
      <c r="N816" s="199"/>
      <c r="O816" s="199"/>
      <c r="P816" s="199"/>
      <c r="Q816" s="199"/>
      <c r="R816" s="199"/>
      <c r="S816" s="199"/>
    </row>
    <row r="817" spans="4:19">
      <c r="D817" s="216"/>
      <c r="E817" s="199"/>
      <c r="F817" s="199"/>
      <c r="G817" s="199"/>
      <c r="H817" s="199"/>
      <c r="I817" s="199"/>
      <c r="J817" s="199"/>
      <c r="K817" s="199"/>
      <c r="L817" s="199"/>
      <c r="M817" s="199"/>
      <c r="N817" s="199"/>
      <c r="O817" s="199"/>
      <c r="P817" s="199"/>
      <c r="Q817" s="199"/>
      <c r="R817" s="199"/>
      <c r="S817" s="199"/>
    </row>
    <row r="818" spans="4:19">
      <c r="D818" s="216"/>
      <c r="E818" s="199"/>
      <c r="F818" s="199"/>
      <c r="G818" s="199"/>
      <c r="H818" s="199"/>
      <c r="I818" s="199"/>
      <c r="J818" s="199"/>
      <c r="K818" s="199"/>
      <c r="L818" s="199"/>
      <c r="M818" s="199"/>
      <c r="N818" s="199"/>
      <c r="O818" s="199"/>
      <c r="P818" s="199"/>
      <c r="Q818" s="199"/>
      <c r="R818" s="199"/>
      <c r="S818" s="199"/>
    </row>
    <row r="819" spans="4:19">
      <c r="D819" s="216"/>
      <c r="E819" s="199"/>
      <c r="F819" s="199"/>
      <c r="G819" s="199"/>
      <c r="H819" s="199"/>
      <c r="I819" s="199"/>
      <c r="J819" s="199"/>
      <c r="K819" s="199"/>
      <c r="L819" s="199"/>
      <c r="M819" s="199"/>
      <c r="N819" s="199"/>
      <c r="O819" s="199"/>
      <c r="P819" s="199"/>
      <c r="Q819" s="199"/>
      <c r="R819" s="199"/>
      <c r="S819" s="199"/>
    </row>
    <row r="820" spans="4:19">
      <c r="D820" s="216"/>
      <c r="E820" s="199"/>
      <c r="F820" s="199"/>
      <c r="G820" s="199"/>
      <c r="H820" s="199"/>
      <c r="I820" s="199"/>
      <c r="J820" s="199"/>
      <c r="K820" s="199"/>
      <c r="L820" s="199"/>
      <c r="M820" s="199"/>
      <c r="N820" s="199"/>
      <c r="O820" s="199"/>
      <c r="P820" s="199"/>
      <c r="Q820" s="199"/>
      <c r="R820" s="199"/>
      <c r="S820" s="199"/>
    </row>
    <row r="821" spans="4:19">
      <c r="D821" s="216"/>
      <c r="E821" s="199"/>
      <c r="F821" s="199"/>
      <c r="G821" s="199"/>
      <c r="H821" s="199"/>
      <c r="I821" s="199"/>
      <c r="J821" s="199"/>
      <c r="K821" s="199"/>
      <c r="L821" s="199"/>
      <c r="M821" s="199"/>
      <c r="N821" s="199"/>
      <c r="O821" s="199"/>
      <c r="P821" s="199"/>
      <c r="Q821" s="199"/>
      <c r="R821" s="199"/>
      <c r="S821" s="199"/>
    </row>
    <row r="822" spans="4:19">
      <c r="D822" s="216"/>
      <c r="E822" s="199"/>
      <c r="F822" s="199"/>
      <c r="G822" s="199"/>
      <c r="H822" s="199"/>
      <c r="I822" s="199"/>
      <c r="J822" s="199"/>
      <c r="K822" s="199"/>
      <c r="L822" s="199"/>
      <c r="M822" s="199"/>
      <c r="N822" s="199"/>
      <c r="O822" s="199"/>
      <c r="P822" s="199"/>
      <c r="Q822" s="199"/>
      <c r="R822" s="199"/>
      <c r="S822" s="199"/>
    </row>
    <row r="823" spans="4:19">
      <c r="D823" s="216"/>
      <c r="E823" s="199"/>
      <c r="F823" s="199"/>
      <c r="G823" s="199"/>
      <c r="H823" s="199"/>
      <c r="I823" s="199"/>
      <c r="J823" s="199"/>
      <c r="K823" s="199"/>
      <c r="L823" s="199"/>
      <c r="M823" s="199"/>
      <c r="N823" s="199"/>
      <c r="O823" s="199"/>
      <c r="P823" s="199"/>
      <c r="Q823" s="199"/>
      <c r="R823" s="199"/>
      <c r="S823" s="199"/>
    </row>
    <row r="824" spans="4:19">
      <c r="D824" s="216"/>
      <c r="E824" s="199"/>
      <c r="F824" s="199"/>
      <c r="G824" s="199"/>
      <c r="H824" s="199"/>
      <c r="I824" s="199"/>
      <c r="J824" s="199"/>
      <c r="K824" s="199"/>
      <c r="L824" s="199"/>
      <c r="M824" s="199"/>
      <c r="N824" s="199"/>
      <c r="O824" s="199"/>
      <c r="P824" s="199"/>
      <c r="Q824" s="199"/>
      <c r="R824" s="199"/>
      <c r="S824" s="199"/>
    </row>
    <row r="825" spans="4:19">
      <c r="D825" s="216"/>
      <c r="E825" s="199"/>
      <c r="F825" s="199"/>
      <c r="G825" s="199"/>
      <c r="H825" s="199"/>
      <c r="I825" s="199"/>
      <c r="J825" s="199"/>
      <c r="K825" s="199"/>
      <c r="L825" s="199"/>
      <c r="M825" s="199"/>
      <c r="N825" s="199"/>
      <c r="O825" s="199"/>
      <c r="P825" s="199"/>
      <c r="Q825" s="199"/>
      <c r="R825" s="199"/>
      <c r="S825" s="199"/>
    </row>
    <row r="826" spans="4:19">
      <c r="D826" s="216"/>
      <c r="E826" s="199"/>
      <c r="F826" s="199"/>
      <c r="G826" s="199"/>
      <c r="H826" s="199"/>
      <c r="I826" s="199"/>
      <c r="J826" s="199"/>
      <c r="K826" s="199"/>
      <c r="L826" s="199"/>
      <c r="M826" s="199"/>
      <c r="N826" s="199"/>
      <c r="O826" s="199"/>
      <c r="P826" s="199"/>
      <c r="Q826" s="199"/>
      <c r="R826" s="199"/>
      <c r="S826" s="199"/>
    </row>
    <row r="827" spans="4:19">
      <c r="D827" s="216"/>
      <c r="E827" s="199"/>
      <c r="F827" s="199"/>
      <c r="G827" s="199"/>
      <c r="H827" s="199"/>
      <c r="I827" s="199"/>
      <c r="J827" s="199"/>
      <c r="K827" s="199"/>
      <c r="L827" s="199"/>
      <c r="M827" s="199"/>
      <c r="N827" s="199"/>
      <c r="O827" s="199"/>
      <c r="P827" s="199"/>
      <c r="Q827" s="199"/>
      <c r="R827" s="199"/>
      <c r="S827" s="199"/>
    </row>
    <row r="828" spans="4:19">
      <c r="D828" s="216"/>
      <c r="E828" s="199"/>
      <c r="F828" s="199"/>
      <c r="G828" s="199"/>
      <c r="H828" s="199"/>
      <c r="I828" s="199"/>
      <c r="J828" s="199"/>
      <c r="K828" s="199"/>
      <c r="L828" s="199"/>
      <c r="M828" s="199"/>
      <c r="N828" s="199"/>
      <c r="O828" s="199"/>
      <c r="P828" s="199"/>
      <c r="Q828" s="199"/>
      <c r="R828" s="199"/>
      <c r="S828" s="199"/>
    </row>
    <row r="829" spans="4:19">
      <c r="D829" s="216"/>
      <c r="E829" s="199"/>
      <c r="F829" s="199"/>
      <c r="G829" s="199"/>
      <c r="H829" s="199"/>
      <c r="I829" s="199"/>
      <c r="J829" s="199"/>
      <c r="K829" s="199"/>
      <c r="L829" s="199"/>
      <c r="M829" s="199"/>
      <c r="N829" s="199"/>
      <c r="O829" s="199"/>
      <c r="P829" s="199"/>
      <c r="Q829" s="199"/>
      <c r="R829" s="199"/>
      <c r="S829" s="199"/>
    </row>
    <row r="830" spans="4:19">
      <c r="D830" s="216"/>
      <c r="E830" s="199"/>
      <c r="F830" s="199"/>
      <c r="G830" s="199"/>
      <c r="H830" s="199"/>
      <c r="I830" s="199"/>
      <c r="J830" s="199"/>
      <c r="K830" s="199"/>
      <c r="L830" s="199"/>
      <c r="M830" s="199"/>
      <c r="N830" s="199"/>
      <c r="O830" s="199"/>
      <c r="P830" s="199"/>
      <c r="Q830" s="199"/>
      <c r="R830" s="199"/>
      <c r="S830" s="199"/>
    </row>
    <row r="831" spans="4:19">
      <c r="D831" s="216"/>
      <c r="E831" s="199"/>
      <c r="F831" s="199"/>
      <c r="G831" s="199"/>
      <c r="H831" s="199"/>
      <c r="I831" s="199"/>
      <c r="J831" s="199"/>
      <c r="K831" s="199"/>
      <c r="L831" s="199"/>
      <c r="M831" s="199"/>
      <c r="N831" s="199"/>
      <c r="O831" s="199"/>
      <c r="P831" s="199"/>
      <c r="Q831" s="199"/>
      <c r="R831" s="199"/>
      <c r="S831" s="199"/>
    </row>
    <row r="832" spans="4:19">
      <c r="D832" s="216"/>
      <c r="E832" s="199"/>
      <c r="F832" s="199"/>
      <c r="G832" s="199"/>
      <c r="H832" s="199"/>
      <c r="I832" s="199"/>
      <c r="J832" s="199"/>
      <c r="K832" s="199"/>
      <c r="L832" s="199"/>
      <c r="M832" s="199"/>
      <c r="N832" s="199"/>
      <c r="O832" s="199"/>
      <c r="P832" s="199"/>
      <c r="Q832" s="199"/>
      <c r="R832" s="199"/>
      <c r="S832" s="199"/>
    </row>
    <row r="833" spans="4:19">
      <c r="D833" s="216"/>
      <c r="E833" s="199"/>
      <c r="F833" s="199"/>
      <c r="G833" s="199"/>
      <c r="H833" s="199"/>
      <c r="I833" s="199"/>
      <c r="J833" s="199"/>
      <c r="K833" s="199"/>
      <c r="L833" s="199"/>
      <c r="M833" s="199"/>
      <c r="N833" s="199"/>
      <c r="O833" s="199"/>
      <c r="P833" s="199"/>
      <c r="Q833" s="199"/>
      <c r="R833" s="199"/>
      <c r="S833" s="199"/>
    </row>
    <row r="834" spans="4:19">
      <c r="D834" s="216"/>
      <c r="E834" s="199"/>
      <c r="F834" s="199"/>
      <c r="G834" s="199"/>
      <c r="H834" s="199"/>
      <c r="I834" s="199"/>
      <c r="J834" s="199"/>
      <c r="K834" s="199"/>
      <c r="L834" s="199"/>
      <c r="M834" s="199"/>
      <c r="N834" s="199"/>
      <c r="O834" s="199"/>
      <c r="P834" s="199"/>
      <c r="Q834" s="199"/>
      <c r="R834" s="199"/>
      <c r="S834" s="199"/>
    </row>
    <row r="835" spans="4:19">
      <c r="D835" s="216"/>
      <c r="E835" s="199"/>
      <c r="F835" s="199"/>
      <c r="G835" s="199"/>
      <c r="H835" s="199"/>
      <c r="I835" s="199"/>
      <c r="J835" s="199"/>
      <c r="K835" s="199"/>
      <c r="L835" s="199"/>
      <c r="M835" s="199"/>
      <c r="N835" s="199"/>
      <c r="O835" s="199"/>
      <c r="P835" s="199"/>
      <c r="Q835" s="199"/>
      <c r="R835" s="199"/>
      <c r="S835" s="199"/>
    </row>
    <row r="836" spans="4:19">
      <c r="D836" s="216"/>
      <c r="E836" s="199"/>
      <c r="F836" s="199"/>
      <c r="G836" s="199"/>
      <c r="H836" s="199"/>
      <c r="I836" s="199"/>
      <c r="J836" s="199"/>
      <c r="K836" s="199"/>
      <c r="L836" s="199"/>
      <c r="M836" s="199"/>
      <c r="N836" s="199"/>
      <c r="O836" s="199"/>
      <c r="P836" s="199"/>
      <c r="Q836" s="199"/>
      <c r="R836" s="199"/>
      <c r="S836" s="199"/>
    </row>
    <row r="837" spans="4:19">
      <c r="D837" s="216"/>
      <c r="E837" s="199"/>
      <c r="F837" s="199"/>
      <c r="G837" s="199"/>
      <c r="H837" s="199"/>
      <c r="I837" s="199"/>
      <c r="J837" s="199"/>
      <c r="K837" s="199"/>
      <c r="L837" s="199"/>
      <c r="M837" s="199"/>
      <c r="N837" s="199"/>
      <c r="O837" s="199"/>
      <c r="P837" s="199"/>
      <c r="Q837" s="199"/>
      <c r="R837" s="199"/>
      <c r="S837" s="199"/>
    </row>
    <row r="838" spans="4:19">
      <c r="D838" s="216"/>
      <c r="E838" s="199"/>
      <c r="F838" s="199"/>
      <c r="G838" s="199"/>
      <c r="H838" s="199"/>
      <c r="I838" s="199"/>
      <c r="J838" s="199"/>
      <c r="K838" s="199"/>
      <c r="L838" s="199"/>
      <c r="M838" s="199"/>
      <c r="N838" s="199"/>
      <c r="O838" s="199"/>
      <c r="P838" s="199"/>
      <c r="Q838" s="199"/>
      <c r="R838" s="199"/>
      <c r="S838" s="199"/>
    </row>
    <row r="839" spans="4:19">
      <c r="D839" s="216"/>
      <c r="E839" s="199"/>
      <c r="F839" s="199"/>
      <c r="G839" s="199"/>
      <c r="H839" s="199"/>
      <c r="I839" s="199"/>
      <c r="J839" s="199"/>
      <c r="K839" s="199"/>
      <c r="L839" s="199"/>
      <c r="M839" s="199"/>
      <c r="N839" s="199"/>
      <c r="O839" s="199"/>
      <c r="P839" s="199"/>
      <c r="Q839" s="199"/>
      <c r="R839" s="199"/>
      <c r="S839" s="199"/>
    </row>
    <row r="840" spans="4:19">
      <c r="D840" s="216"/>
      <c r="E840" s="199"/>
      <c r="F840" s="199"/>
      <c r="G840" s="199"/>
      <c r="H840" s="199"/>
      <c r="I840" s="199"/>
      <c r="J840" s="199"/>
      <c r="K840" s="199"/>
      <c r="L840" s="199"/>
      <c r="M840" s="199"/>
      <c r="N840" s="199"/>
      <c r="O840" s="199"/>
      <c r="P840" s="199"/>
      <c r="Q840" s="199"/>
      <c r="R840" s="199"/>
      <c r="S840" s="199"/>
    </row>
    <row r="841" spans="4:19">
      <c r="D841" s="216"/>
      <c r="E841" s="199"/>
      <c r="F841" s="199"/>
      <c r="G841" s="199"/>
      <c r="H841" s="199"/>
      <c r="I841" s="199"/>
      <c r="J841" s="199"/>
      <c r="K841" s="199"/>
      <c r="L841" s="199"/>
      <c r="M841" s="199"/>
      <c r="N841" s="199"/>
      <c r="O841" s="199"/>
      <c r="P841" s="199"/>
      <c r="Q841" s="199"/>
      <c r="R841" s="199"/>
      <c r="S841" s="199"/>
    </row>
    <row r="842" spans="4:19">
      <c r="D842" s="216"/>
      <c r="E842" s="199"/>
      <c r="F842" s="199"/>
      <c r="G842" s="199"/>
      <c r="H842" s="199"/>
      <c r="I842" s="199"/>
      <c r="J842" s="199"/>
      <c r="K842" s="199"/>
      <c r="L842" s="199"/>
      <c r="M842" s="199"/>
      <c r="N842" s="199"/>
      <c r="O842" s="199"/>
      <c r="P842" s="199"/>
      <c r="Q842" s="199"/>
      <c r="R842" s="199"/>
      <c r="S842" s="199"/>
    </row>
    <row r="843" spans="4:19">
      <c r="D843" s="216"/>
      <c r="E843" s="199"/>
      <c r="F843" s="199"/>
      <c r="G843" s="199"/>
      <c r="H843" s="199"/>
      <c r="I843" s="199"/>
      <c r="J843" s="199"/>
      <c r="K843" s="199"/>
      <c r="L843" s="199"/>
      <c r="M843" s="199"/>
      <c r="N843" s="199"/>
      <c r="O843" s="199"/>
      <c r="P843" s="199"/>
      <c r="Q843" s="199"/>
      <c r="R843" s="199"/>
      <c r="S843" s="199"/>
    </row>
    <row r="844" spans="4:19">
      <c r="D844" s="216"/>
      <c r="E844" s="199"/>
      <c r="F844" s="199"/>
      <c r="G844" s="199"/>
      <c r="H844" s="199"/>
      <c r="I844" s="199"/>
      <c r="J844" s="199"/>
      <c r="K844" s="199"/>
      <c r="L844" s="199"/>
      <c r="M844" s="199"/>
      <c r="N844" s="199"/>
      <c r="O844" s="199"/>
      <c r="P844" s="199"/>
      <c r="Q844" s="199"/>
      <c r="R844" s="199"/>
      <c r="S844" s="199"/>
    </row>
    <row r="845" spans="4:19">
      <c r="D845" s="216"/>
      <c r="E845" s="199"/>
      <c r="F845" s="199"/>
      <c r="G845" s="199"/>
      <c r="H845" s="199"/>
      <c r="I845" s="199"/>
      <c r="J845" s="199"/>
      <c r="K845" s="199"/>
      <c r="L845" s="199"/>
      <c r="M845" s="199"/>
      <c r="N845" s="199"/>
      <c r="O845" s="199"/>
      <c r="P845" s="199"/>
      <c r="Q845" s="199"/>
      <c r="R845" s="199"/>
      <c r="S845" s="199"/>
    </row>
    <row r="846" spans="4:19">
      <c r="D846" s="216"/>
      <c r="E846" s="199"/>
      <c r="F846" s="199"/>
      <c r="G846" s="199"/>
      <c r="H846" s="199"/>
      <c r="I846" s="199"/>
      <c r="J846" s="199"/>
      <c r="K846" s="199"/>
      <c r="L846" s="199"/>
      <c r="M846" s="199"/>
      <c r="N846" s="199"/>
      <c r="O846" s="199"/>
      <c r="P846" s="199"/>
      <c r="Q846" s="199"/>
      <c r="R846" s="199"/>
      <c r="S846" s="199"/>
    </row>
    <row r="847" spans="4:19">
      <c r="D847" s="216"/>
      <c r="E847" s="199"/>
      <c r="F847" s="199"/>
      <c r="G847" s="199"/>
      <c r="H847" s="199"/>
      <c r="I847" s="199"/>
      <c r="J847" s="199"/>
      <c r="K847" s="199"/>
      <c r="L847" s="199"/>
      <c r="M847" s="199"/>
      <c r="N847" s="199"/>
      <c r="O847" s="199"/>
      <c r="P847" s="199"/>
      <c r="Q847" s="199"/>
      <c r="R847" s="199"/>
      <c r="S847" s="199"/>
    </row>
    <row r="848" spans="4:19">
      <c r="D848" s="216"/>
      <c r="E848" s="199"/>
      <c r="F848" s="199"/>
      <c r="G848" s="199"/>
      <c r="H848" s="199"/>
      <c r="I848" s="199"/>
      <c r="J848" s="199"/>
      <c r="K848" s="199"/>
      <c r="L848" s="199"/>
      <c r="M848" s="199"/>
      <c r="N848" s="199"/>
      <c r="O848" s="199"/>
      <c r="P848" s="199"/>
      <c r="Q848" s="199"/>
      <c r="R848" s="199"/>
      <c r="S848" s="199"/>
    </row>
    <row r="849" spans="4:19">
      <c r="D849" s="216"/>
      <c r="E849" s="199"/>
      <c r="F849" s="199"/>
      <c r="G849" s="199"/>
      <c r="H849" s="199"/>
      <c r="I849" s="199"/>
      <c r="J849" s="199"/>
      <c r="K849" s="199"/>
      <c r="L849" s="199"/>
      <c r="M849" s="199"/>
      <c r="N849" s="199"/>
      <c r="O849" s="199"/>
      <c r="P849" s="199"/>
      <c r="Q849" s="199"/>
      <c r="R849" s="199"/>
      <c r="S849" s="199"/>
    </row>
    <row r="850" spans="4:19">
      <c r="D850" s="216"/>
      <c r="E850" s="199"/>
      <c r="F850" s="199"/>
      <c r="G850" s="199"/>
      <c r="H850" s="199"/>
      <c r="I850" s="199"/>
      <c r="J850" s="199"/>
      <c r="K850" s="199"/>
      <c r="L850" s="199"/>
      <c r="M850" s="199"/>
      <c r="N850" s="199"/>
      <c r="O850" s="199"/>
      <c r="P850" s="199"/>
      <c r="Q850" s="199"/>
      <c r="R850" s="199"/>
      <c r="S850" s="199"/>
    </row>
    <row r="851" spans="4:19">
      <c r="D851" s="216"/>
      <c r="E851" s="199"/>
      <c r="F851" s="199"/>
      <c r="G851" s="199"/>
      <c r="H851" s="199"/>
      <c r="I851" s="199"/>
      <c r="J851" s="199"/>
      <c r="K851" s="199"/>
      <c r="L851" s="199"/>
      <c r="M851" s="199"/>
      <c r="N851" s="199"/>
      <c r="O851" s="199"/>
      <c r="P851" s="199"/>
      <c r="Q851" s="199"/>
      <c r="R851" s="199"/>
      <c r="S851" s="199"/>
    </row>
    <row r="852" spans="4:19">
      <c r="D852" s="216"/>
      <c r="E852" s="199"/>
      <c r="F852" s="199"/>
      <c r="G852" s="199"/>
      <c r="H852" s="199"/>
      <c r="I852" s="199"/>
      <c r="J852" s="199"/>
      <c r="K852" s="199"/>
      <c r="L852" s="199"/>
      <c r="M852" s="199"/>
      <c r="N852" s="199"/>
      <c r="O852" s="199"/>
      <c r="P852" s="199"/>
      <c r="Q852" s="199"/>
      <c r="R852" s="199"/>
      <c r="S852" s="199"/>
    </row>
    <row r="853" spans="4:19">
      <c r="D853" s="216"/>
      <c r="E853" s="199"/>
      <c r="F853" s="199"/>
      <c r="G853" s="199"/>
      <c r="H853" s="199"/>
      <c r="I853" s="199"/>
      <c r="J853" s="199"/>
      <c r="K853" s="199"/>
      <c r="L853" s="199"/>
      <c r="M853" s="199"/>
      <c r="N853" s="199"/>
      <c r="O853" s="199"/>
      <c r="P853" s="199"/>
      <c r="Q853" s="199"/>
      <c r="R853" s="199"/>
      <c r="S853" s="199"/>
    </row>
    <row r="854" spans="4:19">
      <c r="D854" s="216"/>
      <c r="E854" s="199"/>
      <c r="F854" s="199"/>
      <c r="G854" s="199"/>
      <c r="H854" s="199"/>
      <c r="I854" s="199"/>
      <c r="J854" s="199"/>
      <c r="K854" s="199"/>
      <c r="L854" s="199"/>
      <c r="M854" s="199"/>
      <c r="N854" s="199"/>
      <c r="O854" s="199"/>
      <c r="P854" s="199"/>
      <c r="Q854" s="199"/>
      <c r="R854" s="199"/>
      <c r="S854" s="199"/>
    </row>
    <row r="855" spans="4:19">
      <c r="D855" s="216"/>
      <c r="E855" s="199"/>
      <c r="F855" s="199"/>
      <c r="G855" s="199"/>
      <c r="H855" s="199"/>
      <c r="I855" s="199"/>
      <c r="J855" s="199"/>
      <c r="K855" s="199"/>
      <c r="L855" s="199"/>
      <c r="M855" s="199"/>
      <c r="N855" s="199"/>
      <c r="O855" s="199"/>
      <c r="P855" s="199"/>
      <c r="Q855" s="199"/>
      <c r="R855" s="199"/>
      <c r="S855" s="199"/>
    </row>
    <row r="856" spans="4:19">
      <c r="D856" s="216"/>
      <c r="E856" s="199"/>
      <c r="F856" s="199"/>
      <c r="G856" s="199"/>
      <c r="H856" s="199"/>
      <c r="I856" s="199"/>
      <c r="J856" s="199"/>
      <c r="K856" s="199"/>
      <c r="L856" s="199"/>
      <c r="M856" s="199"/>
      <c r="N856" s="199"/>
      <c r="O856" s="199"/>
      <c r="P856" s="199"/>
      <c r="Q856" s="199"/>
      <c r="R856" s="199"/>
      <c r="S856" s="199"/>
    </row>
    <row r="857" spans="4:19">
      <c r="D857" s="216"/>
      <c r="E857" s="199"/>
      <c r="F857" s="199"/>
      <c r="G857" s="199"/>
      <c r="H857" s="199"/>
      <c r="I857" s="199"/>
      <c r="J857" s="199"/>
      <c r="K857" s="199"/>
      <c r="L857" s="199"/>
      <c r="M857" s="199"/>
      <c r="N857" s="199"/>
      <c r="O857" s="199"/>
      <c r="P857" s="199"/>
      <c r="Q857" s="199"/>
      <c r="R857" s="199"/>
      <c r="S857" s="199"/>
    </row>
    <row r="858" spans="4:19">
      <c r="D858" s="216"/>
      <c r="E858" s="199"/>
      <c r="F858" s="199"/>
      <c r="G858" s="199"/>
      <c r="H858" s="199"/>
      <c r="I858" s="199"/>
      <c r="J858" s="199"/>
      <c r="K858" s="199"/>
      <c r="L858" s="199"/>
      <c r="M858" s="199"/>
      <c r="N858" s="199"/>
      <c r="O858" s="199"/>
      <c r="P858" s="199"/>
      <c r="Q858" s="199"/>
      <c r="R858" s="199"/>
      <c r="S858" s="199"/>
    </row>
    <row r="859" spans="4:19">
      <c r="D859" s="216"/>
      <c r="E859" s="199"/>
      <c r="F859" s="199"/>
      <c r="G859" s="199"/>
      <c r="H859" s="199"/>
      <c r="I859" s="199"/>
      <c r="J859" s="199"/>
      <c r="K859" s="199"/>
      <c r="L859" s="199"/>
      <c r="M859" s="199"/>
      <c r="N859" s="199"/>
      <c r="O859" s="199"/>
      <c r="P859" s="199"/>
      <c r="Q859" s="199"/>
      <c r="R859" s="199"/>
      <c r="S859" s="199"/>
    </row>
    <row r="860" spans="4:19">
      <c r="D860" s="216"/>
      <c r="E860" s="199"/>
      <c r="F860" s="199"/>
      <c r="G860" s="199"/>
      <c r="H860" s="199"/>
      <c r="I860" s="199"/>
      <c r="J860" s="199"/>
      <c r="K860" s="199"/>
      <c r="L860" s="199"/>
      <c r="M860" s="199"/>
      <c r="N860" s="199"/>
      <c r="O860" s="199"/>
      <c r="P860" s="199"/>
      <c r="Q860" s="199"/>
      <c r="R860" s="199"/>
      <c r="S860" s="199"/>
    </row>
    <row r="861" spans="4:19">
      <c r="D861" s="216"/>
      <c r="E861" s="199"/>
      <c r="F861" s="199"/>
      <c r="G861" s="199"/>
      <c r="H861" s="199"/>
      <c r="I861" s="199"/>
      <c r="J861" s="199"/>
      <c r="K861" s="199"/>
      <c r="L861" s="199"/>
      <c r="M861" s="199"/>
      <c r="N861" s="199"/>
      <c r="O861" s="199"/>
      <c r="P861" s="199"/>
      <c r="Q861" s="199"/>
      <c r="R861" s="199"/>
      <c r="S861" s="199"/>
    </row>
    <row r="862" spans="4:19">
      <c r="D862" s="216"/>
      <c r="E862" s="199"/>
      <c r="F862" s="199"/>
      <c r="G862" s="199"/>
      <c r="H862" s="199"/>
      <c r="I862" s="199"/>
      <c r="J862" s="199"/>
      <c r="K862" s="199"/>
      <c r="L862" s="199"/>
      <c r="M862" s="199"/>
      <c r="N862" s="199"/>
      <c r="O862" s="199"/>
      <c r="P862" s="199"/>
      <c r="Q862" s="199"/>
      <c r="R862" s="199"/>
      <c r="S862" s="199"/>
    </row>
    <row r="863" spans="4:19">
      <c r="D863" s="216"/>
      <c r="E863" s="199"/>
      <c r="F863" s="199"/>
      <c r="G863" s="199"/>
      <c r="H863" s="199"/>
      <c r="I863" s="199"/>
      <c r="J863" s="199"/>
      <c r="K863" s="199"/>
      <c r="L863" s="199"/>
      <c r="M863" s="199"/>
      <c r="N863" s="199"/>
      <c r="O863" s="199"/>
      <c r="P863" s="199"/>
      <c r="Q863" s="199"/>
      <c r="R863" s="199"/>
      <c r="S863" s="199"/>
    </row>
    <row r="864" spans="4:19">
      <c r="D864" s="216"/>
      <c r="E864" s="199"/>
      <c r="F864" s="199"/>
      <c r="G864" s="199"/>
      <c r="H864" s="199"/>
      <c r="I864" s="199"/>
      <c r="J864" s="199"/>
      <c r="K864" s="199"/>
      <c r="L864" s="199"/>
      <c r="M864" s="199"/>
      <c r="N864" s="199"/>
      <c r="O864" s="199"/>
      <c r="P864" s="199"/>
      <c r="Q864" s="199"/>
      <c r="R864" s="199"/>
      <c r="S864" s="199"/>
    </row>
    <row r="865" spans="4:19">
      <c r="D865" s="216"/>
      <c r="E865" s="199"/>
      <c r="F865" s="199"/>
      <c r="G865" s="199"/>
      <c r="H865" s="199"/>
      <c r="I865" s="199"/>
      <c r="J865" s="199"/>
      <c r="K865" s="199"/>
      <c r="L865" s="199"/>
      <c r="M865" s="199"/>
      <c r="N865" s="199"/>
      <c r="O865" s="199"/>
      <c r="P865" s="199"/>
      <c r="Q865" s="199"/>
      <c r="R865" s="199"/>
      <c r="S865" s="199"/>
    </row>
    <row r="866" spans="4:19">
      <c r="D866" s="216"/>
      <c r="E866" s="199"/>
      <c r="F866" s="199"/>
      <c r="G866" s="199"/>
      <c r="H866" s="199"/>
      <c r="I866" s="199"/>
      <c r="J866" s="199"/>
      <c r="K866" s="199"/>
      <c r="L866" s="199"/>
      <c r="M866" s="199"/>
      <c r="N866" s="199"/>
      <c r="O866" s="199"/>
      <c r="P866" s="199"/>
      <c r="Q866" s="199"/>
      <c r="R866" s="199"/>
      <c r="S866" s="199"/>
    </row>
    <row r="867" spans="4:19">
      <c r="D867" s="216"/>
      <c r="E867" s="199"/>
      <c r="F867" s="199"/>
      <c r="G867" s="199"/>
      <c r="H867" s="199"/>
      <c r="I867" s="199"/>
      <c r="J867" s="199"/>
      <c r="K867" s="199"/>
      <c r="L867" s="199"/>
      <c r="M867" s="199"/>
      <c r="N867" s="199"/>
      <c r="O867" s="199"/>
      <c r="P867" s="199"/>
      <c r="Q867" s="199"/>
      <c r="R867" s="199"/>
      <c r="S867" s="199"/>
    </row>
    <row r="868" spans="4:19">
      <c r="D868" s="216"/>
      <c r="E868" s="199"/>
      <c r="F868" s="199"/>
      <c r="G868" s="199"/>
      <c r="H868" s="199"/>
      <c r="I868" s="199"/>
      <c r="J868" s="199"/>
      <c r="K868" s="199"/>
      <c r="L868" s="199"/>
      <c r="M868" s="199"/>
      <c r="N868" s="199"/>
      <c r="O868" s="199"/>
      <c r="P868" s="199"/>
      <c r="Q868" s="199"/>
      <c r="R868" s="199"/>
      <c r="S868" s="199"/>
    </row>
    <row r="869" spans="4:19">
      <c r="D869" s="216"/>
      <c r="E869" s="199"/>
      <c r="F869" s="199"/>
      <c r="G869" s="199"/>
      <c r="H869" s="199"/>
      <c r="I869" s="199"/>
      <c r="J869" s="199"/>
      <c r="K869" s="199"/>
      <c r="L869" s="199"/>
      <c r="M869" s="199"/>
      <c r="N869" s="199"/>
      <c r="O869" s="199"/>
      <c r="P869" s="199"/>
      <c r="Q869" s="199"/>
      <c r="R869" s="199"/>
      <c r="S869" s="199"/>
    </row>
    <row r="870" spans="4:19">
      <c r="D870" s="216"/>
      <c r="E870" s="199"/>
      <c r="F870" s="199"/>
      <c r="G870" s="199"/>
      <c r="H870" s="199"/>
      <c r="I870" s="199"/>
      <c r="J870" s="199"/>
      <c r="K870" s="199"/>
      <c r="L870" s="199"/>
      <c r="M870" s="199"/>
      <c r="N870" s="199"/>
      <c r="O870" s="199"/>
      <c r="P870" s="199"/>
      <c r="Q870" s="199"/>
      <c r="R870" s="199"/>
      <c r="S870" s="199"/>
    </row>
    <row r="871" spans="4:19">
      <c r="D871" s="216"/>
      <c r="E871" s="199"/>
      <c r="F871" s="199"/>
      <c r="G871" s="199"/>
      <c r="H871" s="199"/>
      <c r="I871" s="199"/>
      <c r="J871" s="199"/>
      <c r="K871" s="199"/>
      <c r="L871" s="199"/>
      <c r="M871" s="199"/>
      <c r="N871" s="199"/>
      <c r="O871" s="199"/>
      <c r="P871" s="199"/>
      <c r="Q871" s="199"/>
      <c r="R871" s="199"/>
      <c r="S871" s="199"/>
    </row>
    <row r="872" spans="4:19">
      <c r="D872" s="216"/>
      <c r="E872" s="199"/>
      <c r="F872" s="199"/>
      <c r="G872" s="199"/>
      <c r="H872" s="199"/>
      <c r="I872" s="199"/>
      <c r="J872" s="199"/>
      <c r="K872" s="199"/>
      <c r="L872" s="199"/>
      <c r="M872" s="199"/>
      <c r="N872" s="199"/>
      <c r="O872" s="199"/>
      <c r="P872" s="199"/>
      <c r="Q872" s="199"/>
      <c r="R872" s="199"/>
      <c r="S872" s="199"/>
    </row>
    <row r="873" spans="4:19">
      <c r="D873" s="216"/>
      <c r="E873" s="199"/>
      <c r="F873" s="199"/>
      <c r="G873" s="199"/>
      <c r="H873" s="199"/>
      <c r="I873" s="199"/>
      <c r="J873" s="199"/>
      <c r="K873" s="199"/>
      <c r="L873" s="199"/>
      <c r="M873" s="199"/>
      <c r="N873" s="199"/>
      <c r="O873" s="199"/>
      <c r="P873" s="199"/>
      <c r="Q873" s="199"/>
      <c r="R873" s="199"/>
      <c r="S873" s="199"/>
    </row>
    <row r="874" spans="4:19">
      <c r="D874" s="216"/>
      <c r="E874" s="199"/>
      <c r="F874" s="199"/>
      <c r="G874" s="199"/>
      <c r="H874" s="199"/>
      <c r="I874" s="199"/>
      <c r="J874" s="199"/>
      <c r="K874" s="199"/>
      <c r="L874" s="199"/>
      <c r="M874" s="199"/>
      <c r="N874" s="199"/>
      <c r="O874" s="199"/>
      <c r="P874" s="199"/>
      <c r="Q874" s="199"/>
      <c r="R874" s="199"/>
      <c r="S874" s="199"/>
    </row>
    <row r="875" spans="4:19">
      <c r="D875" s="216"/>
      <c r="E875" s="199"/>
      <c r="F875" s="199"/>
      <c r="G875" s="199"/>
      <c r="H875" s="199"/>
      <c r="I875" s="199"/>
      <c r="J875" s="199"/>
      <c r="K875" s="199"/>
      <c r="L875" s="199"/>
      <c r="M875" s="199"/>
      <c r="N875" s="199"/>
      <c r="O875" s="199"/>
      <c r="P875" s="199"/>
      <c r="Q875" s="199"/>
      <c r="R875" s="199"/>
      <c r="S875" s="199"/>
    </row>
    <row r="876" spans="4:19">
      <c r="D876" s="216"/>
      <c r="E876" s="199"/>
      <c r="F876" s="199"/>
      <c r="G876" s="199"/>
      <c r="H876" s="199"/>
      <c r="I876" s="199"/>
      <c r="J876" s="199"/>
      <c r="K876" s="199"/>
      <c r="L876" s="199"/>
      <c r="M876" s="199"/>
      <c r="N876" s="199"/>
      <c r="O876" s="199"/>
      <c r="P876" s="199"/>
      <c r="Q876" s="199"/>
      <c r="R876" s="199"/>
      <c r="S876" s="199"/>
    </row>
    <row r="877" spans="4:19">
      <c r="D877" s="216"/>
      <c r="E877" s="199"/>
      <c r="F877" s="199"/>
      <c r="G877" s="199"/>
      <c r="H877" s="199"/>
      <c r="I877" s="199"/>
      <c r="J877" s="199"/>
      <c r="K877" s="199"/>
      <c r="L877" s="199"/>
      <c r="M877" s="199"/>
      <c r="N877" s="199"/>
      <c r="O877" s="199"/>
      <c r="P877" s="199"/>
      <c r="Q877" s="199"/>
      <c r="R877" s="199"/>
      <c r="S877" s="199"/>
    </row>
    <row r="878" spans="4:19">
      <c r="D878" s="216"/>
      <c r="E878" s="199"/>
      <c r="F878" s="199"/>
      <c r="G878" s="199"/>
      <c r="H878" s="199"/>
      <c r="I878" s="199"/>
      <c r="J878" s="199"/>
      <c r="K878" s="199"/>
      <c r="L878" s="199"/>
      <c r="M878" s="199"/>
      <c r="N878" s="199"/>
      <c r="O878" s="199"/>
      <c r="P878" s="199"/>
      <c r="Q878" s="199"/>
      <c r="R878" s="199"/>
      <c r="S878" s="199"/>
    </row>
    <row r="879" spans="4:19">
      <c r="D879" s="216"/>
      <c r="E879" s="199"/>
      <c r="F879" s="199"/>
      <c r="G879" s="199"/>
      <c r="H879" s="199"/>
      <c r="I879" s="199"/>
      <c r="J879" s="199"/>
      <c r="K879" s="199"/>
      <c r="L879" s="199"/>
      <c r="M879" s="199"/>
      <c r="N879" s="199"/>
      <c r="O879" s="199"/>
      <c r="P879" s="199"/>
      <c r="Q879" s="199"/>
      <c r="R879" s="199"/>
      <c r="S879" s="199"/>
    </row>
    <row r="880" spans="4:19">
      <c r="D880" s="216"/>
      <c r="E880" s="199"/>
      <c r="F880" s="199"/>
      <c r="G880" s="199"/>
      <c r="H880" s="199"/>
      <c r="I880" s="199"/>
      <c r="J880" s="199"/>
      <c r="K880" s="199"/>
      <c r="L880" s="199"/>
      <c r="M880" s="199"/>
      <c r="N880" s="199"/>
      <c r="O880" s="199"/>
      <c r="P880" s="199"/>
      <c r="Q880" s="199"/>
      <c r="R880" s="199"/>
      <c r="S880" s="199"/>
    </row>
    <row r="881" spans="4:19">
      <c r="D881" s="216"/>
      <c r="E881" s="199"/>
      <c r="F881" s="199"/>
      <c r="G881" s="199"/>
      <c r="H881" s="199"/>
      <c r="I881" s="199"/>
      <c r="J881" s="199"/>
      <c r="K881" s="199"/>
      <c r="L881" s="199"/>
      <c r="M881" s="199"/>
      <c r="N881" s="199"/>
      <c r="O881" s="199"/>
      <c r="P881" s="199"/>
      <c r="Q881" s="199"/>
      <c r="R881" s="199"/>
      <c r="S881" s="199"/>
    </row>
    <row r="882" spans="4:19">
      <c r="D882" s="216"/>
      <c r="E882" s="199"/>
      <c r="F882" s="199"/>
      <c r="G882" s="199"/>
      <c r="H882" s="199"/>
      <c r="I882" s="199"/>
      <c r="J882" s="199"/>
      <c r="K882" s="199"/>
      <c r="L882" s="199"/>
      <c r="M882" s="199"/>
      <c r="N882" s="199"/>
      <c r="O882" s="199"/>
      <c r="P882" s="199"/>
      <c r="Q882" s="199"/>
      <c r="R882" s="199"/>
      <c r="S882" s="199"/>
    </row>
    <row r="883" spans="4:19">
      <c r="D883" s="216"/>
      <c r="E883" s="199"/>
      <c r="F883" s="199"/>
      <c r="G883" s="199"/>
      <c r="H883" s="199"/>
      <c r="I883" s="199"/>
      <c r="J883" s="199"/>
      <c r="K883" s="199"/>
      <c r="L883" s="199"/>
      <c r="M883" s="199"/>
      <c r="N883" s="199"/>
      <c r="O883" s="199"/>
      <c r="P883" s="199"/>
      <c r="Q883" s="199"/>
      <c r="R883" s="199"/>
      <c r="S883" s="199"/>
    </row>
    <row r="884" spans="4:19">
      <c r="D884" s="216"/>
      <c r="E884" s="199"/>
      <c r="F884" s="199"/>
      <c r="G884" s="199"/>
      <c r="H884" s="199"/>
      <c r="I884" s="199"/>
      <c r="J884" s="199"/>
      <c r="K884" s="199"/>
      <c r="L884" s="199"/>
      <c r="M884" s="199"/>
      <c r="N884" s="199"/>
      <c r="O884" s="199"/>
      <c r="P884" s="199"/>
      <c r="Q884" s="199"/>
      <c r="R884" s="199"/>
      <c r="S884" s="199"/>
    </row>
    <row r="885" spans="4:19">
      <c r="D885" s="216"/>
      <c r="E885" s="199"/>
      <c r="F885" s="199"/>
      <c r="G885" s="199"/>
      <c r="H885" s="199"/>
      <c r="I885" s="199"/>
      <c r="J885" s="199"/>
      <c r="K885" s="199"/>
      <c r="L885" s="199"/>
      <c r="M885" s="199"/>
      <c r="N885" s="199"/>
      <c r="O885" s="199"/>
      <c r="P885" s="199"/>
      <c r="Q885" s="199"/>
      <c r="R885" s="199"/>
      <c r="S885" s="199"/>
    </row>
    <row r="886" spans="4:19">
      <c r="D886" s="216"/>
      <c r="E886" s="199"/>
      <c r="F886" s="199"/>
      <c r="G886" s="199"/>
      <c r="H886" s="199"/>
      <c r="I886" s="199"/>
      <c r="J886" s="199"/>
      <c r="K886" s="199"/>
      <c r="L886" s="199"/>
      <c r="M886" s="199"/>
      <c r="N886" s="199"/>
      <c r="O886" s="199"/>
      <c r="P886" s="199"/>
      <c r="Q886" s="199"/>
      <c r="R886" s="199"/>
      <c r="S886" s="199"/>
    </row>
    <row r="887" spans="4:19">
      <c r="D887" s="216"/>
      <c r="E887" s="199"/>
      <c r="F887" s="199"/>
      <c r="G887" s="199"/>
      <c r="H887" s="199"/>
      <c r="I887" s="199"/>
      <c r="J887" s="199"/>
      <c r="K887" s="199"/>
      <c r="L887" s="199"/>
      <c r="M887" s="199"/>
      <c r="N887" s="199"/>
      <c r="O887" s="199"/>
      <c r="P887" s="199"/>
      <c r="Q887" s="199"/>
      <c r="R887" s="199"/>
      <c r="S887" s="199"/>
    </row>
    <row r="888" spans="4:19">
      <c r="D888" s="216"/>
      <c r="E888" s="199"/>
      <c r="F888" s="199"/>
      <c r="G888" s="199"/>
      <c r="H888" s="199"/>
      <c r="I888" s="199"/>
      <c r="J888" s="199"/>
      <c r="K888" s="199"/>
      <c r="L888" s="199"/>
      <c r="M888" s="199"/>
      <c r="N888" s="199"/>
      <c r="O888" s="199"/>
      <c r="P888" s="199"/>
      <c r="Q888" s="199"/>
      <c r="R888" s="199"/>
      <c r="S888" s="199"/>
    </row>
    <row r="889" spans="4:19">
      <c r="D889" s="216"/>
      <c r="E889" s="199"/>
      <c r="F889" s="199"/>
      <c r="G889" s="199"/>
      <c r="H889" s="199"/>
      <c r="I889" s="199"/>
      <c r="J889" s="199"/>
      <c r="K889" s="199"/>
      <c r="L889" s="199"/>
      <c r="M889" s="199"/>
      <c r="N889" s="199"/>
      <c r="O889" s="199"/>
      <c r="P889" s="199"/>
      <c r="Q889" s="199"/>
      <c r="R889" s="199"/>
      <c r="S889" s="199"/>
    </row>
    <row r="890" spans="4:19">
      <c r="D890" s="216"/>
      <c r="E890" s="199"/>
      <c r="F890" s="199"/>
      <c r="G890" s="199"/>
      <c r="H890" s="199"/>
      <c r="I890" s="199"/>
      <c r="J890" s="199"/>
      <c r="K890" s="199"/>
      <c r="L890" s="199"/>
      <c r="M890" s="199"/>
      <c r="N890" s="199"/>
      <c r="O890" s="199"/>
      <c r="P890" s="199"/>
      <c r="Q890" s="199"/>
      <c r="R890" s="199"/>
      <c r="S890" s="199"/>
    </row>
    <row r="891" spans="4:19">
      <c r="D891" s="216"/>
      <c r="E891" s="199"/>
      <c r="F891" s="199"/>
      <c r="G891" s="199"/>
      <c r="H891" s="199"/>
      <c r="I891" s="199"/>
      <c r="J891" s="199"/>
      <c r="K891" s="199"/>
      <c r="L891" s="199"/>
      <c r="M891" s="199"/>
      <c r="N891" s="199"/>
      <c r="O891" s="199"/>
      <c r="P891" s="199"/>
      <c r="Q891" s="199"/>
      <c r="R891" s="199"/>
      <c r="S891" s="199"/>
    </row>
    <row r="892" spans="4:19">
      <c r="D892" s="216"/>
      <c r="E892" s="199"/>
      <c r="F892" s="199"/>
      <c r="G892" s="199"/>
      <c r="H892" s="199"/>
      <c r="I892" s="199"/>
      <c r="J892" s="199"/>
      <c r="K892" s="199"/>
      <c r="L892" s="199"/>
      <c r="M892" s="199"/>
      <c r="N892" s="199"/>
      <c r="O892" s="199"/>
      <c r="P892" s="199"/>
      <c r="Q892" s="199"/>
      <c r="R892" s="199"/>
      <c r="S892" s="199"/>
    </row>
    <row r="893" spans="4:19">
      <c r="D893" s="216"/>
      <c r="E893" s="199"/>
      <c r="F893" s="199"/>
      <c r="G893" s="199"/>
      <c r="H893" s="199"/>
      <c r="I893" s="199"/>
      <c r="J893" s="199"/>
      <c r="K893" s="199"/>
      <c r="L893" s="199"/>
      <c r="M893" s="199"/>
      <c r="N893" s="199"/>
      <c r="O893" s="199"/>
      <c r="P893" s="199"/>
      <c r="Q893" s="199"/>
      <c r="R893" s="199"/>
      <c r="S893" s="199"/>
    </row>
    <row r="894" spans="4:19">
      <c r="D894" s="216"/>
      <c r="E894" s="199"/>
      <c r="F894" s="199"/>
      <c r="G894" s="199"/>
      <c r="H894" s="199"/>
      <c r="I894" s="199"/>
      <c r="J894" s="199"/>
      <c r="K894" s="199"/>
      <c r="L894" s="199"/>
      <c r="M894" s="199"/>
      <c r="N894" s="199"/>
      <c r="O894" s="199"/>
      <c r="P894" s="199"/>
      <c r="Q894" s="199"/>
      <c r="R894" s="199"/>
      <c r="S894" s="199"/>
    </row>
    <row r="895" spans="4:19">
      <c r="D895" s="216"/>
      <c r="E895" s="199"/>
      <c r="F895" s="199"/>
      <c r="G895" s="199"/>
      <c r="H895" s="199"/>
      <c r="I895" s="199"/>
      <c r="J895" s="199"/>
      <c r="K895" s="199"/>
      <c r="L895" s="199"/>
      <c r="M895" s="199"/>
      <c r="N895" s="199"/>
      <c r="O895" s="199"/>
      <c r="P895" s="199"/>
      <c r="Q895" s="199"/>
      <c r="R895" s="199"/>
      <c r="S895" s="199"/>
    </row>
    <row r="896" spans="4:19">
      <c r="D896" s="216"/>
      <c r="E896" s="199"/>
      <c r="F896" s="199"/>
      <c r="G896" s="199"/>
      <c r="H896" s="199"/>
      <c r="I896" s="199"/>
      <c r="J896" s="199"/>
      <c r="K896" s="199"/>
      <c r="L896" s="199"/>
      <c r="M896" s="199"/>
      <c r="N896" s="199"/>
      <c r="O896" s="199"/>
      <c r="P896" s="199"/>
      <c r="Q896" s="199"/>
      <c r="R896" s="199"/>
      <c r="S896" s="199"/>
    </row>
    <row r="897" spans="4:19">
      <c r="D897" s="216"/>
      <c r="E897" s="199"/>
      <c r="F897" s="199"/>
      <c r="G897" s="199"/>
      <c r="H897" s="199"/>
      <c r="I897" s="199"/>
      <c r="J897" s="199"/>
      <c r="K897" s="199"/>
      <c r="L897" s="199"/>
      <c r="M897" s="199"/>
      <c r="N897" s="199"/>
      <c r="O897" s="199"/>
      <c r="P897" s="199"/>
      <c r="Q897" s="199"/>
      <c r="R897" s="199"/>
      <c r="S897" s="199"/>
    </row>
    <row r="898" spans="4:19">
      <c r="D898" s="216"/>
      <c r="E898" s="199"/>
      <c r="F898" s="199"/>
      <c r="G898" s="199"/>
      <c r="H898" s="199"/>
      <c r="I898" s="199"/>
      <c r="J898" s="199"/>
      <c r="K898" s="199"/>
      <c r="L898" s="199"/>
      <c r="M898" s="199"/>
      <c r="N898" s="199"/>
      <c r="O898" s="199"/>
      <c r="P898" s="199"/>
      <c r="Q898" s="199"/>
      <c r="R898" s="199"/>
      <c r="S898" s="199"/>
    </row>
    <row r="899" spans="4:19">
      <c r="D899" s="216"/>
      <c r="E899" s="199"/>
      <c r="F899" s="199"/>
      <c r="G899" s="199"/>
      <c r="H899" s="199"/>
      <c r="I899" s="199"/>
      <c r="J899" s="199"/>
      <c r="K899" s="199"/>
      <c r="L899" s="199"/>
      <c r="M899" s="199"/>
      <c r="N899" s="199"/>
      <c r="O899" s="199"/>
      <c r="P899" s="199"/>
      <c r="Q899" s="199"/>
      <c r="R899" s="199"/>
      <c r="S899" s="199"/>
    </row>
    <row r="900" spans="4:19">
      <c r="D900" s="216"/>
      <c r="E900" s="199"/>
      <c r="F900" s="199"/>
      <c r="G900" s="199"/>
      <c r="H900" s="199"/>
      <c r="I900" s="199"/>
      <c r="J900" s="199"/>
      <c r="K900" s="199"/>
      <c r="L900" s="199"/>
      <c r="M900" s="199"/>
      <c r="N900" s="199"/>
      <c r="O900" s="199"/>
      <c r="P900" s="199"/>
      <c r="Q900" s="199"/>
      <c r="R900" s="199"/>
      <c r="S900" s="199"/>
    </row>
    <row r="901" spans="4:19">
      <c r="D901" s="216"/>
      <c r="E901" s="199"/>
      <c r="F901" s="199"/>
      <c r="G901" s="199"/>
      <c r="H901" s="199"/>
      <c r="I901" s="199"/>
      <c r="J901" s="199"/>
      <c r="K901" s="199"/>
      <c r="L901" s="199"/>
      <c r="M901" s="199"/>
      <c r="N901" s="199"/>
      <c r="O901" s="199"/>
      <c r="P901" s="199"/>
      <c r="Q901" s="199"/>
      <c r="R901" s="199"/>
      <c r="S901" s="199"/>
    </row>
    <row r="902" spans="4:19">
      <c r="D902" s="216"/>
      <c r="E902" s="199"/>
      <c r="F902" s="199"/>
      <c r="G902" s="199"/>
      <c r="H902" s="199"/>
      <c r="I902" s="199"/>
      <c r="J902" s="199"/>
      <c r="K902" s="199"/>
      <c r="L902" s="199"/>
      <c r="M902" s="199"/>
      <c r="N902" s="199"/>
      <c r="O902" s="199"/>
      <c r="P902" s="199"/>
      <c r="Q902" s="199"/>
      <c r="R902" s="199"/>
      <c r="S902" s="199"/>
    </row>
    <row r="903" spans="4:19">
      <c r="D903" s="216"/>
      <c r="E903" s="199"/>
      <c r="F903" s="199"/>
      <c r="G903" s="199"/>
      <c r="H903" s="199"/>
      <c r="I903" s="199"/>
      <c r="J903" s="199"/>
      <c r="K903" s="199"/>
      <c r="L903" s="199"/>
      <c r="M903" s="199"/>
      <c r="N903" s="199"/>
      <c r="O903" s="199"/>
      <c r="P903" s="199"/>
      <c r="Q903" s="199"/>
      <c r="R903" s="199"/>
      <c r="S903" s="199"/>
    </row>
    <row r="904" spans="4:19">
      <c r="D904" s="216"/>
      <c r="E904" s="199"/>
      <c r="F904" s="199"/>
      <c r="G904" s="199"/>
      <c r="H904" s="199"/>
      <c r="I904" s="199"/>
      <c r="J904" s="199"/>
      <c r="K904" s="199"/>
      <c r="L904" s="199"/>
      <c r="M904" s="199"/>
      <c r="N904" s="199"/>
      <c r="O904" s="199"/>
      <c r="P904" s="199"/>
      <c r="Q904" s="199"/>
      <c r="R904" s="199"/>
      <c r="S904" s="199"/>
    </row>
    <row r="905" spans="4:19">
      <c r="D905" s="216"/>
      <c r="E905" s="199"/>
      <c r="F905" s="199"/>
      <c r="G905" s="199"/>
      <c r="H905" s="199"/>
      <c r="I905" s="199"/>
      <c r="J905" s="199"/>
      <c r="K905" s="199"/>
      <c r="L905" s="199"/>
      <c r="M905" s="199"/>
      <c r="N905" s="199"/>
      <c r="O905" s="199"/>
      <c r="P905" s="199"/>
      <c r="Q905" s="199"/>
      <c r="R905" s="199"/>
      <c r="S905" s="199"/>
    </row>
    <row r="906" spans="4:19">
      <c r="D906" s="216"/>
      <c r="E906" s="199"/>
      <c r="F906" s="199"/>
      <c r="G906" s="199"/>
      <c r="H906" s="199"/>
      <c r="I906" s="199"/>
      <c r="J906" s="199"/>
      <c r="K906" s="199"/>
      <c r="L906" s="199"/>
      <c r="M906" s="199"/>
      <c r="N906" s="199"/>
      <c r="O906" s="199"/>
      <c r="P906" s="199"/>
      <c r="Q906" s="199"/>
      <c r="R906" s="199"/>
      <c r="S906" s="199"/>
    </row>
    <row r="907" spans="4:19">
      <c r="D907" s="216"/>
      <c r="E907" s="199"/>
      <c r="F907" s="199"/>
      <c r="G907" s="199"/>
      <c r="H907" s="199"/>
      <c r="I907" s="199"/>
      <c r="J907" s="199"/>
      <c r="K907" s="199"/>
      <c r="L907" s="199"/>
      <c r="M907" s="199"/>
      <c r="N907" s="199"/>
      <c r="O907" s="199"/>
      <c r="P907" s="199"/>
      <c r="Q907" s="199"/>
      <c r="R907" s="199"/>
      <c r="S907" s="199"/>
    </row>
    <row r="908" spans="4:19">
      <c r="D908" s="216"/>
      <c r="E908" s="199"/>
      <c r="F908" s="199"/>
      <c r="G908" s="199"/>
      <c r="H908" s="199"/>
      <c r="I908" s="199"/>
      <c r="J908" s="199"/>
      <c r="K908" s="199"/>
      <c r="L908" s="199"/>
      <c r="M908" s="199"/>
      <c r="N908" s="199"/>
      <c r="O908" s="199"/>
      <c r="P908" s="199"/>
      <c r="Q908" s="199"/>
      <c r="R908" s="199"/>
      <c r="S908" s="199"/>
    </row>
    <row r="909" spans="4:19">
      <c r="D909" s="216"/>
      <c r="E909" s="199"/>
      <c r="F909" s="199"/>
      <c r="G909" s="199"/>
      <c r="H909" s="199"/>
      <c r="I909" s="199"/>
      <c r="J909" s="199"/>
      <c r="K909" s="199"/>
      <c r="L909" s="199"/>
      <c r="M909" s="199"/>
      <c r="N909" s="199"/>
      <c r="O909" s="199"/>
      <c r="P909" s="199"/>
      <c r="Q909" s="199"/>
      <c r="R909" s="199"/>
      <c r="S909" s="199"/>
    </row>
    <row r="910" spans="4:19">
      <c r="D910" s="216"/>
      <c r="E910" s="199"/>
      <c r="F910" s="199"/>
      <c r="G910" s="199"/>
      <c r="H910" s="199"/>
      <c r="I910" s="199"/>
      <c r="J910" s="199"/>
      <c r="K910" s="199"/>
      <c r="L910" s="199"/>
      <c r="M910" s="199"/>
      <c r="N910" s="199"/>
      <c r="O910" s="199"/>
      <c r="P910" s="199"/>
      <c r="Q910" s="199"/>
      <c r="R910" s="199"/>
      <c r="S910" s="199"/>
    </row>
    <row r="911" spans="4:19">
      <c r="D911" s="216"/>
      <c r="E911" s="199"/>
      <c r="F911" s="199"/>
      <c r="G911" s="199"/>
      <c r="H911" s="199"/>
      <c r="I911" s="199"/>
      <c r="J911" s="199"/>
      <c r="K911" s="199"/>
      <c r="L911" s="199"/>
      <c r="M911" s="199"/>
      <c r="N911" s="199"/>
      <c r="O911" s="199"/>
      <c r="P911" s="199"/>
      <c r="Q911" s="199"/>
      <c r="R911" s="199"/>
      <c r="S911" s="199"/>
    </row>
    <row r="912" spans="4:19">
      <c r="D912" s="216"/>
      <c r="E912" s="199"/>
      <c r="F912" s="199"/>
      <c r="G912" s="199"/>
      <c r="H912" s="199"/>
      <c r="I912" s="199"/>
      <c r="J912" s="199"/>
      <c r="K912" s="199"/>
      <c r="L912" s="199"/>
      <c r="M912" s="199"/>
      <c r="N912" s="199"/>
      <c r="O912" s="199"/>
      <c r="P912" s="199"/>
      <c r="Q912" s="199"/>
      <c r="R912" s="199"/>
      <c r="S912" s="199"/>
    </row>
    <row r="913" spans="4:19">
      <c r="D913" s="216"/>
      <c r="E913" s="199"/>
      <c r="F913" s="199"/>
      <c r="G913" s="199"/>
      <c r="H913" s="199"/>
      <c r="I913" s="199"/>
      <c r="J913" s="199"/>
      <c r="K913" s="199"/>
      <c r="L913" s="199"/>
      <c r="M913" s="199"/>
      <c r="N913" s="199"/>
      <c r="O913" s="199"/>
      <c r="P913" s="199"/>
      <c r="Q913" s="199"/>
      <c r="R913" s="199"/>
      <c r="S913" s="199"/>
    </row>
    <row r="914" spans="4:19">
      <c r="D914" s="216"/>
      <c r="E914" s="199"/>
      <c r="F914" s="199"/>
      <c r="G914" s="199"/>
      <c r="H914" s="199"/>
      <c r="I914" s="199"/>
      <c r="J914" s="199"/>
      <c r="K914" s="199"/>
      <c r="L914" s="199"/>
      <c r="M914" s="199"/>
      <c r="N914" s="199"/>
      <c r="O914" s="199"/>
      <c r="P914" s="199"/>
      <c r="Q914" s="199"/>
      <c r="R914" s="199"/>
      <c r="S914" s="199"/>
    </row>
    <row r="915" spans="4:19">
      <c r="D915" s="216"/>
      <c r="E915" s="199"/>
      <c r="F915" s="199"/>
      <c r="G915" s="199"/>
      <c r="H915" s="199"/>
      <c r="I915" s="199"/>
      <c r="J915" s="199"/>
      <c r="K915" s="199"/>
      <c r="L915" s="199"/>
      <c r="M915" s="199"/>
      <c r="N915" s="199"/>
      <c r="O915" s="199"/>
      <c r="P915" s="199"/>
      <c r="Q915" s="199"/>
      <c r="R915" s="199"/>
      <c r="S915" s="199"/>
    </row>
    <row r="916" spans="4:19">
      <c r="D916" s="216"/>
      <c r="E916" s="199"/>
      <c r="F916" s="199"/>
      <c r="G916" s="199"/>
      <c r="H916" s="199"/>
      <c r="I916" s="199"/>
      <c r="J916" s="199"/>
      <c r="K916" s="199"/>
      <c r="L916" s="199"/>
      <c r="M916" s="199"/>
      <c r="N916" s="199"/>
      <c r="O916" s="199"/>
      <c r="P916" s="199"/>
      <c r="Q916" s="199"/>
      <c r="R916" s="199"/>
      <c r="S916" s="199"/>
    </row>
    <row r="917" spans="4:19">
      <c r="D917" s="216"/>
      <c r="E917" s="199"/>
      <c r="F917" s="199"/>
      <c r="G917" s="199"/>
      <c r="H917" s="199"/>
      <c r="I917" s="199"/>
      <c r="J917" s="199"/>
      <c r="K917" s="199"/>
      <c r="L917" s="199"/>
      <c r="M917" s="199"/>
      <c r="N917" s="199"/>
      <c r="O917" s="199"/>
      <c r="P917" s="199"/>
      <c r="Q917" s="199"/>
      <c r="R917" s="199"/>
      <c r="S917" s="199"/>
    </row>
    <row r="918" spans="4:19">
      <c r="D918" s="216"/>
      <c r="E918" s="199"/>
      <c r="F918" s="199"/>
      <c r="G918" s="199"/>
      <c r="H918" s="199"/>
      <c r="I918" s="199"/>
      <c r="J918" s="199"/>
      <c r="K918" s="199"/>
      <c r="L918" s="199"/>
      <c r="M918" s="199"/>
      <c r="N918" s="199"/>
      <c r="O918" s="199"/>
      <c r="P918" s="199"/>
      <c r="Q918" s="199"/>
      <c r="R918" s="199"/>
      <c r="S918" s="199"/>
    </row>
    <row r="919" spans="4:19">
      <c r="D919" s="216"/>
      <c r="E919" s="199"/>
      <c r="F919" s="199"/>
      <c r="G919" s="199"/>
      <c r="H919" s="199"/>
      <c r="I919" s="199"/>
      <c r="J919" s="199"/>
      <c r="K919" s="199"/>
      <c r="L919" s="199"/>
      <c r="M919" s="199"/>
      <c r="N919" s="199"/>
      <c r="O919" s="199"/>
      <c r="P919" s="199"/>
      <c r="Q919" s="199"/>
      <c r="R919" s="199"/>
      <c r="S919" s="199"/>
    </row>
    <row r="920" spans="4:19">
      <c r="D920" s="216"/>
      <c r="E920" s="199"/>
      <c r="F920" s="199"/>
      <c r="G920" s="199"/>
      <c r="H920" s="199"/>
      <c r="I920" s="199"/>
      <c r="J920" s="199"/>
      <c r="K920" s="199"/>
      <c r="L920" s="199"/>
      <c r="M920" s="199"/>
      <c r="N920" s="199"/>
      <c r="O920" s="199"/>
      <c r="P920" s="199"/>
      <c r="Q920" s="199"/>
      <c r="R920" s="199"/>
      <c r="S920" s="199"/>
    </row>
    <row r="921" spans="4:19">
      <c r="D921" s="216"/>
      <c r="E921" s="199"/>
      <c r="F921" s="199"/>
      <c r="G921" s="199"/>
      <c r="H921" s="199"/>
      <c r="I921" s="199"/>
      <c r="J921" s="199"/>
      <c r="K921" s="199"/>
      <c r="L921" s="199"/>
      <c r="M921" s="199"/>
      <c r="N921" s="199"/>
      <c r="O921" s="199"/>
      <c r="P921" s="199"/>
      <c r="Q921" s="199"/>
      <c r="R921" s="199"/>
      <c r="S921" s="199"/>
    </row>
    <row r="922" spans="4:19">
      <c r="D922" s="216"/>
      <c r="E922" s="199"/>
      <c r="F922" s="199"/>
      <c r="G922" s="199"/>
      <c r="H922" s="199"/>
      <c r="I922" s="199"/>
      <c r="J922" s="199"/>
      <c r="K922" s="199"/>
      <c r="L922" s="199"/>
      <c r="M922" s="199"/>
      <c r="N922" s="199"/>
      <c r="O922" s="199"/>
      <c r="P922" s="199"/>
      <c r="Q922" s="199"/>
      <c r="R922" s="199"/>
      <c r="S922" s="199"/>
    </row>
    <row r="923" spans="4:19">
      <c r="D923" s="216"/>
      <c r="E923" s="199"/>
      <c r="F923" s="199"/>
      <c r="G923" s="199"/>
      <c r="H923" s="199"/>
      <c r="I923" s="199"/>
      <c r="J923" s="199"/>
      <c r="K923" s="199"/>
      <c r="L923" s="199"/>
      <c r="M923" s="199"/>
      <c r="N923" s="199"/>
      <c r="O923" s="199"/>
      <c r="P923" s="199"/>
      <c r="Q923" s="199"/>
      <c r="R923" s="199"/>
      <c r="S923" s="199"/>
    </row>
    <row r="924" spans="4:19">
      <c r="D924" s="216"/>
      <c r="E924" s="199"/>
      <c r="F924" s="199"/>
      <c r="G924" s="199"/>
      <c r="H924" s="199"/>
      <c r="I924" s="199"/>
      <c r="J924" s="199"/>
      <c r="K924" s="199"/>
      <c r="L924" s="199"/>
      <c r="M924" s="199"/>
      <c r="N924" s="199"/>
      <c r="O924" s="199"/>
      <c r="P924" s="199"/>
      <c r="Q924" s="199"/>
      <c r="R924" s="199"/>
      <c r="S924" s="199"/>
    </row>
    <row r="925" spans="4:19">
      <c r="D925" s="216"/>
      <c r="E925" s="199"/>
      <c r="F925" s="199"/>
      <c r="G925" s="199"/>
      <c r="H925" s="199"/>
      <c r="I925" s="199"/>
      <c r="J925" s="199"/>
      <c r="K925" s="199"/>
      <c r="L925" s="199"/>
      <c r="M925" s="199"/>
      <c r="N925" s="199"/>
      <c r="O925" s="199"/>
      <c r="P925" s="199"/>
      <c r="Q925" s="199"/>
      <c r="R925" s="199"/>
      <c r="S925" s="199"/>
    </row>
    <row r="926" spans="4:19">
      <c r="D926" s="216"/>
      <c r="E926" s="199"/>
      <c r="F926" s="199"/>
      <c r="G926" s="199"/>
      <c r="H926" s="199"/>
      <c r="I926" s="199"/>
      <c r="J926" s="199"/>
      <c r="K926" s="199"/>
      <c r="L926" s="199"/>
      <c r="M926" s="199"/>
      <c r="N926" s="199"/>
      <c r="O926" s="199"/>
      <c r="P926" s="199"/>
      <c r="Q926" s="199"/>
      <c r="R926" s="199"/>
      <c r="S926" s="199"/>
    </row>
    <row r="927" spans="4:19">
      <c r="D927" s="216"/>
      <c r="E927" s="199"/>
      <c r="F927" s="199"/>
      <c r="G927" s="199"/>
      <c r="H927" s="199"/>
      <c r="I927" s="199"/>
      <c r="J927" s="199"/>
      <c r="K927" s="199"/>
      <c r="L927" s="199"/>
      <c r="M927" s="199"/>
      <c r="N927" s="199"/>
      <c r="O927" s="199"/>
      <c r="P927" s="199"/>
      <c r="Q927" s="199"/>
      <c r="R927" s="199"/>
      <c r="S927" s="199"/>
    </row>
    <row r="928" spans="4:19">
      <c r="D928" s="216"/>
      <c r="E928" s="199"/>
      <c r="F928" s="199"/>
      <c r="G928" s="199"/>
      <c r="H928" s="199"/>
      <c r="I928" s="199"/>
      <c r="J928" s="199"/>
      <c r="K928" s="199"/>
      <c r="L928" s="199"/>
      <c r="M928" s="199"/>
      <c r="N928" s="199"/>
      <c r="O928" s="199"/>
      <c r="P928" s="199"/>
      <c r="Q928" s="199"/>
      <c r="R928" s="199"/>
      <c r="S928" s="199"/>
    </row>
    <row r="929" spans="4:19">
      <c r="D929" s="199"/>
      <c r="E929" s="199"/>
      <c r="F929" s="199"/>
      <c r="G929" s="199"/>
      <c r="H929" s="199"/>
      <c r="I929" s="199"/>
      <c r="J929" s="199"/>
      <c r="K929" s="199"/>
      <c r="L929" s="199"/>
      <c r="M929" s="199"/>
      <c r="N929" s="199"/>
      <c r="O929" s="199"/>
      <c r="P929" s="199"/>
      <c r="Q929" s="199"/>
      <c r="R929" s="199"/>
      <c r="S929" s="199"/>
    </row>
    <row r="930" spans="4:19">
      <c r="D930" s="199"/>
      <c r="E930" s="199"/>
      <c r="F930" s="199"/>
      <c r="G930" s="199"/>
      <c r="H930" s="199"/>
      <c r="I930" s="199"/>
      <c r="J930" s="199"/>
      <c r="K930" s="199"/>
      <c r="L930" s="199"/>
      <c r="M930" s="199"/>
      <c r="N930" s="199"/>
      <c r="O930" s="199"/>
      <c r="P930" s="199"/>
      <c r="Q930" s="199"/>
      <c r="R930" s="199"/>
      <c r="S930" s="199"/>
    </row>
    <row r="931" spans="4:19">
      <c r="D931" s="199"/>
      <c r="E931" s="199"/>
      <c r="F931" s="199"/>
      <c r="G931" s="199"/>
      <c r="H931" s="199"/>
      <c r="I931" s="199"/>
      <c r="J931" s="199"/>
      <c r="K931" s="199"/>
      <c r="L931" s="199"/>
      <c r="M931" s="199"/>
      <c r="N931" s="199"/>
      <c r="O931" s="199"/>
      <c r="P931" s="199"/>
      <c r="Q931" s="199"/>
      <c r="R931" s="199"/>
      <c r="S931" s="199"/>
    </row>
    <row r="932" spans="4:19">
      <c r="D932" s="199"/>
      <c r="E932" s="199"/>
      <c r="F932" s="199"/>
      <c r="G932" s="199"/>
      <c r="H932" s="199"/>
      <c r="I932" s="199"/>
      <c r="J932" s="199"/>
      <c r="K932" s="199"/>
      <c r="L932" s="199"/>
      <c r="M932" s="199"/>
      <c r="N932" s="199"/>
      <c r="O932" s="199"/>
      <c r="P932" s="199"/>
      <c r="Q932" s="199"/>
      <c r="R932" s="199"/>
      <c r="S932" s="199"/>
    </row>
    <row r="933" spans="4:19">
      <c r="D933" s="199"/>
      <c r="E933" s="199"/>
      <c r="F933" s="199"/>
      <c r="G933" s="199"/>
      <c r="H933" s="199"/>
      <c r="I933" s="199"/>
      <c r="J933" s="199"/>
      <c r="K933" s="199"/>
      <c r="L933" s="199"/>
      <c r="M933" s="199"/>
      <c r="N933" s="199"/>
      <c r="O933" s="199"/>
      <c r="P933" s="199"/>
      <c r="Q933" s="199"/>
      <c r="R933" s="199"/>
      <c r="S933" s="199"/>
    </row>
    <row r="934" spans="4:19">
      <c r="D934" s="199"/>
      <c r="E934" s="199"/>
      <c r="F934" s="199"/>
      <c r="G934" s="199"/>
      <c r="H934" s="199"/>
      <c r="I934" s="199"/>
      <c r="J934" s="199"/>
      <c r="K934" s="199"/>
      <c r="L934" s="199"/>
      <c r="M934" s="199"/>
      <c r="N934" s="199"/>
      <c r="O934" s="199"/>
      <c r="P934" s="199"/>
      <c r="Q934" s="199"/>
      <c r="R934" s="199"/>
      <c r="S934" s="199"/>
    </row>
    <row r="935" spans="4:19">
      <c r="D935" s="199"/>
      <c r="E935" s="199"/>
      <c r="F935" s="199"/>
      <c r="G935" s="199"/>
      <c r="H935" s="199"/>
      <c r="I935" s="199"/>
      <c r="J935" s="199"/>
      <c r="K935" s="199"/>
      <c r="L935" s="199"/>
      <c r="M935" s="199"/>
      <c r="N935" s="199"/>
      <c r="O935" s="199"/>
      <c r="P935" s="199"/>
      <c r="Q935" s="199"/>
      <c r="R935" s="199"/>
      <c r="S935" s="199"/>
    </row>
    <row r="936" spans="4:19">
      <c r="D936" s="199"/>
      <c r="E936" s="199"/>
      <c r="F936" s="199"/>
      <c r="G936" s="199"/>
      <c r="H936" s="199"/>
      <c r="I936" s="199"/>
      <c r="J936" s="199"/>
      <c r="K936" s="199"/>
      <c r="L936" s="199"/>
      <c r="M936" s="199"/>
      <c r="N936" s="199"/>
      <c r="O936" s="199"/>
      <c r="P936" s="199"/>
      <c r="Q936" s="199"/>
      <c r="R936" s="199"/>
      <c r="S936" s="199"/>
    </row>
    <row r="937" spans="4:19">
      <c r="D937" s="199"/>
      <c r="E937" s="199"/>
      <c r="F937" s="199"/>
      <c r="G937" s="199"/>
      <c r="H937" s="199"/>
      <c r="I937" s="199"/>
      <c r="J937" s="199"/>
      <c r="K937" s="199"/>
      <c r="L937" s="199"/>
      <c r="M937" s="199"/>
      <c r="N937" s="199"/>
      <c r="O937" s="199"/>
      <c r="P937" s="199"/>
      <c r="Q937" s="199"/>
      <c r="R937" s="199"/>
      <c r="S937" s="199"/>
    </row>
    <row r="938" spans="4:19">
      <c r="D938" s="199"/>
      <c r="E938" s="199"/>
      <c r="F938" s="199"/>
      <c r="G938" s="199"/>
      <c r="H938" s="199"/>
      <c r="I938" s="199"/>
      <c r="J938" s="199"/>
      <c r="K938" s="199"/>
      <c r="L938" s="199"/>
      <c r="M938" s="199"/>
      <c r="N938" s="199"/>
      <c r="O938" s="199"/>
      <c r="P938" s="199"/>
      <c r="Q938" s="199"/>
      <c r="R938" s="199"/>
      <c r="S938" s="199"/>
    </row>
    <row r="939" spans="4:19">
      <c r="D939" s="199"/>
      <c r="E939" s="199"/>
      <c r="F939" s="199"/>
      <c r="G939" s="199"/>
      <c r="H939" s="199"/>
      <c r="I939" s="199"/>
      <c r="J939" s="199"/>
      <c r="K939" s="199"/>
      <c r="L939" s="199"/>
      <c r="M939" s="199"/>
      <c r="N939" s="199"/>
      <c r="O939" s="199"/>
      <c r="P939" s="199"/>
      <c r="Q939" s="199"/>
      <c r="R939" s="199"/>
      <c r="S939" s="199"/>
    </row>
    <row r="940" spans="4:19">
      <c r="D940" s="199"/>
      <c r="E940" s="199"/>
      <c r="F940" s="199"/>
      <c r="G940" s="199"/>
      <c r="H940" s="199"/>
      <c r="I940" s="199"/>
      <c r="J940" s="199"/>
      <c r="K940" s="199"/>
      <c r="L940" s="199"/>
      <c r="M940" s="199"/>
      <c r="N940" s="199"/>
      <c r="O940" s="199"/>
      <c r="P940" s="199"/>
      <c r="Q940" s="199"/>
      <c r="R940" s="199"/>
      <c r="S940" s="199"/>
    </row>
    <row r="941" spans="4:19">
      <c r="D941" s="199"/>
      <c r="E941" s="199"/>
      <c r="F941" s="199"/>
      <c r="G941" s="199"/>
      <c r="H941" s="199"/>
      <c r="I941" s="199"/>
      <c r="J941" s="199"/>
      <c r="K941" s="199"/>
      <c r="L941" s="199"/>
      <c r="M941" s="199"/>
      <c r="N941" s="199"/>
      <c r="O941" s="199"/>
      <c r="P941" s="199"/>
      <c r="Q941" s="199"/>
      <c r="R941" s="199"/>
      <c r="S941" s="199"/>
    </row>
    <row r="942" spans="4:19">
      <c r="D942" s="199"/>
      <c r="E942" s="199"/>
      <c r="F942" s="199"/>
      <c r="G942" s="199"/>
      <c r="H942" s="199"/>
      <c r="I942" s="199"/>
      <c r="J942" s="199"/>
      <c r="K942" s="199"/>
      <c r="L942" s="199"/>
      <c r="M942" s="199"/>
      <c r="N942" s="199"/>
      <c r="O942" s="199"/>
      <c r="P942" s="199"/>
      <c r="Q942" s="199"/>
      <c r="R942" s="199"/>
      <c r="S942" s="199"/>
    </row>
    <row r="943" spans="4:19">
      <c r="D943" s="199"/>
      <c r="E943" s="199"/>
      <c r="F943" s="199"/>
      <c r="G943" s="199"/>
      <c r="H943" s="199"/>
      <c r="I943" s="199"/>
      <c r="J943" s="199"/>
      <c r="K943" s="199"/>
      <c r="L943" s="199"/>
      <c r="M943" s="199"/>
      <c r="N943" s="199"/>
      <c r="O943" s="199"/>
      <c r="P943" s="199"/>
      <c r="Q943" s="199"/>
      <c r="R943" s="199"/>
      <c r="S943" s="199"/>
    </row>
    <row r="944" spans="4:19">
      <c r="D944" s="199"/>
      <c r="E944" s="199"/>
      <c r="F944" s="199"/>
      <c r="G944" s="199"/>
      <c r="H944" s="199"/>
      <c r="I944" s="199"/>
      <c r="J944" s="199"/>
      <c r="K944" s="199"/>
      <c r="L944" s="199"/>
      <c r="M944" s="199"/>
      <c r="N944" s="199"/>
      <c r="O944" s="199"/>
      <c r="P944" s="199"/>
      <c r="Q944" s="199"/>
      <c r="R944" s="199"/>
      <c r="S944" s="199"/>
    </row>
    <row r="945" spans="4:19">
      <c r="D945" s="199"/>
      <c r="E945" s="199"/>
      <c r="F945" s="199"/>
      <c r="G945" s="199"/>
      <c r="H945" s="199"/>
      <c r="I945" s="199"/>
      <c r="J945" s="199"/>
      <c r="K945" s="199"/>
      <c r="L945" s="199"/>
      <c r="M945" s="199"/>
      <c r="N945" s="199"/>
      <c r="O945" s="199"/>
      <c r="P945" s="199"/>
      <c r="Q945" s="199"/>
      <c r="R945" s="199"/>
      <c r="S945" s="199"/>
    </row>
    <row r="946" spans="4:19">
      <c r="D946" s="199"/>
      <c r="E946" s="199"/>
      <c r="F946" s="199"/>
      <c r="G946" s="199"/>
      <c r="H946" s="199"/>
      <c r="I946" s="199"/>
      <c r="J946" s="199"/>
      <c r="K946" s="199"/>
      <c r="L946" s="199"/>
      <c r="M946" s="199"/>
      <c r="N946" s="199"/>
      <c r="O946" s="199"/>
      <c r="P946" s="199"/>
      <c r="Q946" s="199"/>
      <c r="R946" s="199"/>
      <c r="S946" s="199"/>
    </row>
    <row r="947" spans="4:19">
      <c r="D947" s="199"/>
      <c r="E947" s="199"/>
      <c r="F947" s="199"/>
      <c r="G947" s="199"/>
      <c r="H947" s="199"/>
      <c r="I947" s="199"/>
      <c r="J947" s="199"/>
      <c r="K947" s="199"/>
      <c r="L947" s="199"/>
      <c r="M947" s="199"/>
      <c r="N947" s="199"/>
      <c r="O947" s="199"/>
      <c r="P947" s="199"/>
      <c r="Q947" s="199"/>
      <c r="R947" s="199"/>
      <c r="S947" s="199"/>
    </row>
    <row r="948" spans="4:19">
      <c r="D948" s="199"/>
      <c r="E948" s="199"/>
      <c r="F948" s="199"/>
      <c r="G948" s="199"/>
      <c r="H948" s="199"/>
      <c r="I948" s="199"/>
      <c r="J948" s="199"/>
      <c r="K948" s="199"/>
      <c r="L948" s="199"/>
      <c r="M948" s="199"/>
      <c r="N948" s="199"/>
      <c r="O948" s="199"/>
      <c r="P948" s="199"/>
      <c r="Q948" s="199"/>
      <c r="R948" s="199"/>
      <c r="S948" s="199"/>
    </row>
    <row r="949" spans="4:19">
      <c r="D949" s="199"/>
      <c r="E949" s="199"/>
      <c r="F949" s="199"/>
      <c r="G949" s="199"/>
      <c r="H949" s="199"/>
      <c r="I949" s="199"/>
      <c r="J949" s="199"/>
      <c r="K949" s="199"/>
      <c r="L949" s="199"/>
      <c r="M949" s="199"/>
      <c r="N949" s="199"/>
      <c r="O949" s="199"/>
      <c r="P949" s="199"/>
      <c r="Q949" s="199"/>
      <c r="R949" s="199"/>
      <c r="S949" s="199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EE8A8-C79C-734A-8686-A45762902CAB}">
  <sheetPr codeName="Sheet13"/>
  <dimension ref="A1:E39"/>
  <sheetViews>
    <sheetView showGridLines="0" workbookViewId="0">
      <selection activeCell="E40" sqref="E40"/>
    </sheetView>
  </sheetViews>
  <sheetFormatPr defaultColWidth="11.19921875" defaultRowHeight="15.6"/>
  <cols>
    <col min="1" max="1" width="1.19921875" customWidth="1"/>
    <col min="2" max="2" width="46.296875" customWidth="1"/>
    <col min="3" max="3" width="14.796875" customWidth="1"/>
    <col min="4" max="5" width="27.796875" customWidth="1"/>
  </cols>
  <sheetData>
    <row r="1" spans="1:5">
      <c r="A1" s="329" t="e" vm="1">
        <v>#VALUE!</v>
      </c>
      <c r="B1" s="329"/>
      <c r="C1" s="329"/>
      <c r="D1" s="170"/>
    </row>
    <row r="2" spans="1:5">
      <c r="A2" s="329"/>
      <c r="B2" s="329"/>
      <c r="C2" s="329"/>
      <c r="D2" s="171"/>
    </row>
    <row r="3" spans="1:5">
      <c r="A3" s="329"/>
      <c r="B3" s="329"/>
      <c r="C3" s="329"/>
      <c r="D3" s="172"/>
    </row>
    <row r="4" spans="1:5">
      <c r="A4" s="329"/>
      <c r="B4" s="329"/>
      <c r="C4" s="329"/>
      <c r="D4" s="173"/>
    </row>
    <row r="5" spans="1:5">
      <c r="A5" s="329"/>
      <c r="B5" s="329"/>
      <c r="C5" s="329"/>
      <c r="D5" s="174"/>
    </row>
    <row r="6" spans="1:5">
      <c r="A6" s="329"/>
      <c r="B6" s="329"/>
      <c r="C6" s="329"/>
      <c r="D6" s="173"/>
    </row>
    <row r="7" spans="1:5">
      <c r="A7" s="329"/>
      <c r="B7" s="329"/>
      <c r="C7" s="329"/>
      <c r="D7" s="175"/>
    </row>
    <row r="8" spans="1:5">
      <c r="A8" s="329"/>
      <c r="B8" s="329"/>
      <c r="C8" s="329"/>
      <c r="D8" s="175"/>
    </row>
    <row r="9" spans="1:5">
      <c r="A9" s="329"/>
      <c r="B9" s="329"/>
      <c r="C9" s="329"/>
      <c r="D9" s="170"/>
    </row>
    <row r="10" spans="1:5">
      <c r="A10" s="170"/>
      <c r="B10" s="170"/>
      <c r="C10" s="176"/>
      <c r="D10" s="177"/>
      <c r="E10" s="170"/>
    </row>
    <row r="11" spans="1:5">
      <c r="A11" s="170"/>
      <c r="B11" s="170"/>
      <c r="C11" s="176"/>
      <c r="D11" s="177"/>
      <c r="E11" s="178" t="s">
        <v>276</v>
      </c>
    </row>
    <row r="12" spans="1:5">
      <c r="A12" s="170"/>
      <c r="B12" s="170"/>
      <c r="C12" s="176"/>
      <c r="D12" s="177"/>
      <c r="E12" s="179"/>
    </row>
    <row r="13" spans="1:5">
      <c r="A13" s="170"/>
      <c r="B13" s="170"/>
      <c r="C13" s="176"/>
      <c r="D13" s="180" t="s">
        <v>34</v>
      </c>
      <c r="E13" s="181" t="str">
        <f>LEFT('Client Summary'!G12,FIND(",",'Client Summary'!G12)-1)</f>
        <v>861 E 800 S</v>
      </c>
    </row>
    <row r="14" spans="1:5">
      <c r="A14" s="170"/>
      <c r="B14" s="170"/>
      <c r="C14" s="176"/>
      <c r="D14" s="180" t="s">
        <v>277</v>
      </c>
      <c r="E14" s="181" t="str">
        <f>'Client Summary'!G20</f>
        <v>Residential</v>
      </c>
    </row>
    <row r="15" spans="1:5">
      <c r="A15" s="170"/>
      <c r="B15" s="170"/>
      <c r="C15" s="176"/>
      <c r="D15" s="180" t="s">
        <v>37</v>
      </c>
      <c r="E15" s="181" t="str">
        <f>_xlfn.XLOOKUP('Client Summary'!$G$21,Definitions!$E$2:$E$35,Definitions!$F$2:$F$35,0,0,1)</f>
        <v>Single Family Residence</v>
      </c>
    </row>
    <row r="16" spans="1:5">
      <c r="A16" s="170"/>
      <c r="B16" s="170"/>
      <c r="C16" s="176"/>
      <c r="D16" s="180" t="s">
        <v>99</v>
      </c>
      <c r="E16" s="182">
        <f>'Client Summary'!G13</f>
        <v>45292</v>
      </c>
    </row>
    <row r="17" spans="1:5">
      <c r="A17" s="170"/>
      <c r="B17" s="170"/>
      <c r="C17" s="176"/>
      <c r="D17" s="180" t="s">
        <v>244</v>
      </c>
      <c r="E17" s="183">
        <f>'Client Summary'!G14</f>
        <v>0</v>
      </c>
    </row>
    <row r="18" spans="1:5">
      <c r="A18" s="170"/>
      <c r="B18" s="170"/>
      <c r="C18" s="176"/>
      <c r="D18" s="180" t="s">
        <v>98</v>
      </c>
      <c r="E18" s="183">
        <f>'Client Summary'!G15</f>
        <v>0</v>
      </c>
    </row>
    <row r="19" spans="1:5">
      <c r="A19" s="170"/>
      <c r="B19" s="170"/>
      <c r="C19" s="176"/>
      <c r="D19" s="180" t="s">
        <v>247</v>
      </c>
      <c r="E19" s="183">
        <f>'Client Summary'!G16</f>
        <v>0</v>
      </c>
    </row>
    <row r="20" spans="1:5">
      <c r="A20" s="170"/>
      <c r="B20" s="170"/>
      <c r="C20" s="176"/>
      <c r="D20" s="180" t="s">
        <v>239</v>
      </c>
      <c r="E20" s="183">
        <f>'Client Summary'!G17</f>
        <v>0</v>
      </c>
    </row>
    <row r="21" spans="1:5">
      <c r="A21" s="170"/>
      <c r="B21" s="170"/>
      <c r="C21" s="176"/>
      <c r="D21" s="180" t="s">
        <v>245</v>
      </c>
      <c r="E21" s="183">
        <f>'Client Summary'!G18</f>
        <v>0</v>
      </c>
    </row>
    <row r="22" spans="1:5">
      <c r="A22" s="170"/>
      <c r="B22" s="170"/>
      <c r="C22" s="176"/>
      <c r="D22" s="180" t="str">
        <f>"Accumulated Depreciation as of 12/31/"&amp;'Study Data'!$B$5-1&amp;":"</f>
        <v>Accumulated Depreciation as of 12/31/2024:</v>
      </c>
      <c r="E22" s="183">
        <f>'Client Summary'!G19</f>
        <v>0</v>
      </c>
    </row>
    <row r="23" spans="1:5">
      <c r="A23" s="184"/>
      <c r="B23" s="184"/>
      <c r="C23" s="185"/>
      <c r="D23" s="186"/>
      <c r="E23" s="187"/>
    </row>
    <row r="24" spans="1:5">
      <c r="A24" s="184"/>
      <c r="B24" s="184"/>
      <c r="C24" s="186"/>
      <c r="D24" s="188"/>
      <c r="E24" s="184"/>
    </row>
    <row r="25" spans="1:5">
      <c r="A25" s="189"/>
      <c r="B25" s="190" t="s">
        <v>278</v>
      </c>
      <c r="C25" s="191" t="s">
        <v>279</v>
      </c>
      <c r="D25" s="191" t="s">
        <v>266</v>
      </c>
      <c r="E25" s="191" t="s">
        <v>280</v>
      </c>
    </row>
    <row r="26" spans="1:5">
      <c r="A26" s="192"/>
      <c r="B26" s="192"/>
      <c r="C26" s="193"/>
      <c r="D26" s="194"/>
      <c r="E26" s="194"/>
    </row>
    <row r="27" spans="1:5">
      <c r="A27" s="189"/>
      <c r="B27" s="189" t="s">
        <v>281</v>
      </c>
      <c r="C27" s="192">
        <v>57</v>
      </c>
      <c r="D27" s="195">
        <f>_xlfn.IFNA(INDEX('5 Years'!A:I,MATCH("Grand Total",'5 Years'!A:A,0),6),0)</f>
        <v>0</v>
      </c>
      <c r="E27" s="192" t="s">
        <v>282</v>
      </c>
    </row>
    <row r="28" spans="1:5">
      <c r="A28" s="189"/>
      <c r="B28" s="189" t="s">
        <v>283</v>
      </c>
      <c r="C28" s="192">
        <v>0.3</v>
      </c>
      <c r="D28" s="195">
        <f>_xlfn.IFNA(INDEX('15 Years'!A:I,MATCH("Grand Total",'15 Years'!A:A,0),6),0)</f>
        <v>0</v>
      </c>
      <c r="E28" s="192" t="s">
        <v>284</v>
      </c>
    </row>
    <row r="29" spans="1:5">
      <c r="A29" s="189"/>
      <c r="B29" s="189" t="s">
        <v>285</v>
      </c>
      <c r="C29" s="192"/>
      <c r="D29" s="195">
        <f>_xlfn.IFNA(INDEX('Real Property Final'!A:I,MATCH("Grand Total",'Real Property Final'!A:A,0),6),0)</f>
        <v>0</v>
      </c>
      <c r="E29" s="192" t="s">
        <v>17</v>
      </c>
    </row>
    <row r="30" spans="1:5">
      <c r="A30" s="192"/>
      <c r="B30" s="192"/>
      <c r="C30" s="193"/>
      <c r="D30" s="194"/>
      <c r="E30" s="194"/>
    </row>
    <row r="31" spans="1:5" ht="16.2" thickBot="1">
      <c r="A31" s="189"/>
      <c r="B31" s="189" t="s">
        <v>286</v>
      </c>
      <c r="C31" s="192"/>
      <c r="D31" s="196">
        <f>SUM(D27:D29)</f>
        <v>0</v>
      </c>
      <c r="E31" s="197"/>
    </row>
    <row r="32" spans="1:5">
      <c r="A32" s="184"/>
      <c r="B32" s="184"/>
      <c r="C32" s="186"/>
      <c r="D32" s="188"/>
      <c r="E32" s="184"/>
    </row>
    <row r="33" spans="1:4">
      <c r="A33" s="170"/>
      <c r="B33" s="176"/>
      <c r="C33" s="177"/>
      <c r="D33" s="170"/>
    </row>
    <row r="34" spans="1:4">
      <c r="A34" s="170"/>
      <c r="B34" s="176"/>
      <c r="C34" s="177"/>
      <c r="D34" s="170"/>
    </row>
    <row r="35" spans="1:4">
      <c r="A35" s="170"/>
      <c r="B35" s="176"/>
      <c r="C35" s="177"/>
      <c r="D35" s="170"/>
    </row>
    <row r="36" spans="1:4">
      <c r="A36" s="170"/>
      <c r="B36" s="176"/>
      <c r="C36" s="177"/>
      <c r="D36" s="170"/>
    </row>
    <row r="38" spans="1:4">
      <c r="A38" s="330"/>
      <c r="B38" s="331"/>
      <c r="C38" s="331"/>
      <c r="D38" s="331"/>
    </row>
    <row r="39" spans="1:4">
      <c r="A39" s="331"/>
      <c r="B39" s="331"/>
      <c r="C39" s="331"/>
      <c r="D39" s="331"/>
    </row>
  </sheetData>
  <mergeCells count="2">
    <mergeCell ref="A1:C9"/>
    <mergeCell ref="A38:D39"/>
  </mergeCells>
  <dataValidations count="2">
    <dataValidation type="list" allowBlank="1" showInputMessage="1" showErrorMessage="1" sqref="E14" xr:uid="{30D2FBC8-76C1-8C4E-9E67-10DDF5B90BC4}">
      <formula1>"Residential,Commercial"</formula1>
    </dataValidation>
    <dataValidation type="list" allowBlank="1" showInputMessage="1" showErrorMessage="1" sqref="B29" xr:uid="{C6CD1A0C-F0F8-704F-9AB7-66D0F38096D6}">
      <formula1>"27.5 Years: 1250 Real Property,39 Years: 1250 Real Property"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C6802-A769-7C4C-978C-B5B1C0A040B2}">
  <sheetPr codeName="Sheet14"/>
  <dimension ref="A1:G500"/>
  <sheetViews>
    <sheetView showGridLines="0" workbookViewId="0"/>
  </sheetViews>
  <sheetFormatPr defaultColWidth="11.5" defaultRowHeight="13.8"/>
  <cols>
    <col min="1" max="1" width="11.796875" style="147" customWidth="1"/>
    <col min="2" max="2" width="20.19921875" style="147" customWidth="1"/>
    <col min="3" max="3" width="71.69921875" style="148" customWidth="1"/>
    <col min="4" max="4" width="13" style="149" customWidth="1"/>
    <col min="5" max="6" width="12.796875" style="150" customWidth="1"/>
    <col min="7" max="7" width="14" style="147" customWidth="1"/>
    <col min="8" max="16384" width="11.5" style="128"/>
  </cols>
  <sheetData>
    <row r="1" spans="1:7" ht="15.6">
      <c r="A1" s="146" t="str">
        <f>'Client Summary'!G26&amp;" Years Property Summary"</f>
        <v>27.5 Years Property Summary</v>
      </c>
    </row>
    <row r="2" spans="1:7" ht="15.6">
      <c r="A2" s="146" t="str">
        <f>LEFT('Client Summary'!G12,FIND(",",'Client Summary'!G12)-1)</f>
        <v>861 E 800 S</v>
      </c>
    </row>
    <row r="4" spans="1:7">
      <c r="A4" s="151" t="s">
        <v>275</v>
      </c>
    </row>
    <row r="5" spans="1:7" s="155" customFormat="1" ht="14.4" thickBot="1">
      <c r="A5" s="152" t="s">
        <v>270</v>
      </c>
      <c r="B5" s="152" t="s">
        <v>271</v>
      </c>
      <c r="C5" s="153" t="s">
        <v>272</v>
      </c>
      <c r="D5" s="152" t="s">
        <v>273</v>
      </c>
      <c r="E5" s="154" t="s">
        <v>268</v>
      </c>
      <c r="F5" s="154" t="s">
        <v>266</v>
      </c>
      <c r="G5" s="152" t="s">
        <v>274</v>
      </c>
    </row>
    <row r="6" spans="1:7">
      <c r="A6" s="149" t="str">
        <f>IF('Real Property'!A9=0,"",'Real Property'!A9)</f>
        <v/>
      </c>
      <c r="B6" s="147" t="str">
        <f>IF('Real Property'!B9=0,"",'Real Property'!B9)</f>
        <v/>
      </c>
      <c r="C6" s="148" t="str">
        <f>IF('Real Property'!E9=0,"",'Real Property'!E9)</f>
        <v/>
      </c>
      <c r="D6" s="149" t="str">
        <f>IF('Real Property'!I9=0,"",'Real Property'!I9)</f>
        <v/>
      </c>
      <c r="E6" s="150" t="str">
        <f>IFERROR(IF('Real Property'!AF9=0,"",'Real Property'!AF9),"")</f>
        <v/>
      </c>
      <c r="F6" s="150" t="str">
        <f>IFERROR(IF('Real Property'!AH9=0,"",'Real Property'!AH9),"")</f>
        <v/>
      </c>
      <c r="G6" s="156" t="str">
        <f>IF('Real Property'!AI9=0,"",'Real Property'!AI9)</f>
        <v/>
      </c>
    </row>
    <row r="7" spans="1:7">
      <c r="A7" s="149" t="str">
        <f>IF('Real Property'!A10=0,"",'Real Property'!A10)</f>
        <v/>
      </c>
      <c r="B7" s="147" t="str">
        <f>IF('Real Property'!B10=0,"",'Real Property'!B10)</f>
        <v/>
      </c>
      <c r="C7" s="148" t="str">
        <f>IF('Real Property'!E10=0,"",'Real Property'!E10)</f>
        <v/>
      </c>
      <c r="D7" s="149" t="str">
        <f>IF('Real Property'!I10=0,"",'Real Property'!I10)</f>
        <v/>
      </c>
      <c r="E7" s="150" t="str">
        <f>IFERROR(IF('Real Property'!AF10=0,"",'Real Property'!AF10),"")</f>
        <v/>
      </c>
      <c r="F7" s="150" t="str">
        <f>IFERROR(IF('Real Property'!AH10=0,"",'Real Property'!AH10),"")</f>
        <v/>
      </c>
      <c r="G7" s="156" t="str">
        <f>IF('Real Property'!AI10=0,"",'Real Property'!AI10)</f>
        <v/>
      </c>
    </row>
    <row r="8" spans="1:7">
      <c r="A8" s="149" t="str">
        <f>IF('Real Property'!A11=0,"",'Real Property'!A11)</f>
        <v/>
      </c>
      <c r="B8" s="147" t="str">
        <f>IF('Real Property'!B11=0,"",'Real Property'!B11)</f>
        <v/>
      </c>
      <c r="C8" s="148" t="str">
        <f>IF('Real Property'!E11=0,"",'Real Property'!E11)</f>
        <v/>
      </c>
      <c r="D8" s="149" t="str">
        <f>IF('Real Property'!I11=0,"",'Real Property'!I11)</f>
        <v/>
      </c>
      <c r="E8" s="150" t="str">
        <f>IFERROR(IF('Real Property'!AF11=0,"",'Real Property'!AF11),"")</f>
        <v/>
      </c>
      <c r="F8" s="150" t="str">
        <f>IFERROR(IF('Real Property'!AH11=0,"",'Real Property'!AH11),"")</f>
        <v/>
      </c>
      <c r="G8" s="156" t="str">
        <f>IF('Real Property'!AI11=0,"",'Real Property'!AI11)</f>
        <v/>
      </c>
    </row>
    <row r="9" spans="1:7">
      <c r="A9" s="149" t="str">
        <f>IF('Real Property'!A12=0,"",'Real Property'!A12)</f>
        <v/>
      </c>
      <c r="B9" s="147" t="str">
        <f>IF('Real Property'!B12=0,"",'Real Property'!B12)</f>
        <v/>
      </c>
      <c r="C9" s="148" t="str">
        <f>IF('Real Property'!E12=0,"",'Real Property'!E12)</f>
        <v/>
      </c>
      <c r="D9" s="149" t="str">
        <f>IF('Real Property'!I12=0,"",'Real Property'!I12)</f>
        <v/>
      </c>
      <c r="E9" s="150" t="str">
        <f>IFERROR(IF('Real Property'!AF12=0,"",'Real Property'!AF12),"")</f>
        <v/>
      </c>
      <c r="F9" s="150" t="str">
        <f>IFERROR(IF('Real Property'!AH12=0,"",'Real Property'!AH12),"")</f>
        <v/>
      </c>
      <c r="G9" s="156" t="str">
        <f>IF('Real Property'!AI12=0,"",'Real Property'!AI12)</f>
        <v/>
      </c>
    </row>
    <row r="10" spans="1:7">
      <c r="A10" s="149" t="str">
        <f>IF('Real Property'!A13=0,"",'Real Property'!A13)</f>
        <v/>
      </c>
      <c r="B10" s="147" t="str">
        <f>IF('Real Property'!B13=0,"",'Real Property'!B13)</f>
        <v/>
      </c>
      <c r="C10" s="148" t="str">
        <f>IF('Real Property'!E13=0,"",'Real Property'!E13)</f>
        <v/>
      </c>
      <c r="D10" s="149" t="str">
        <f>IF('Real Property'!I13=0,"",'Real Property'!I13)</f>
        <v/>
      </c>
      <c r="E10" s="150" t="str">
        <f>IFERROR(IF('Real Property'!AF13=0,"",'Real Property'!AF13),"")</f>
        <v/>
      </c>
      <c r="F10" s="150" t="str">
        <f>IFERROR(IF('Real Property'!AH13=0,"",'Real Property'!AH13),"")</f>
        <v/>
      </c>
      <c r="G10" s="156" t="str">
        <f>IF('Real Property'!AI13=0,"",'Real Property'!AI13)</f>
        <v/>
      </c>
    </row>
    <row r="11" spans="1:7">
      <c r="A11" s="149" t="str">
        <f>IF('Real Property'!A14=0,"",'Real Property'!A14)</f>
        <v/>
      </c>
      <c r="B11" s="147" t="str">
        <f>IF('Real Property'!B14=0,"",'Real Property'!B14)</f>
        <v/>
      </c>
      <c r="C11" s="148" t="str">
        <f>IF('Real Property'!E14=0,"",'Real Property'!E14)</f>
        <v/>
      </c>
      <c r="D11" s="149" t="str">
        <f>IF('Real Property'!I14=0,"",'Real Property'!I14)</f>
        <v/>
      </c>
      <c r="E11" s="150" t="str">
        <f>IFERROR(IF('Real Property'!AF14=0,"",'Real Property'!AF14),"")</f>
        <v/>
      </c>
      <c r="F11" s="150" t="str">
        <f>IFERROR(IF('Real Property'!AH14=0,"",'Real Property'!AH14),"")</f>
        <v/>
      </c>
      <c r="G11" s="156" t="str">
        <f>IF('Real Property'!AI14=0,"",'Real Property'!AI14)</f>
        <v/>
      </c>
    </row>
    <row r="12" spans="1:7">
      <c r="A12" s="149" t="str">
        <f>IF('Real Property'!A15=0,"",'Real Property'!A15)</f>
        <v/>
      </c>
      <c r="B12" s="147" t="str">
        <f>IF('Real Property'!B15=0,"",'Real Property'!B15)</f>
        <v/>
      </c>
      <c r="C12" s="148" t="str">
        <f>IF('Real Property'!E15=0,"",'Real Property'!E15)</f>
        <v/>
      </c>
      <c r="D12" s="149" t="str">
        <f>IF('Real Property'!I15=0,"",'Real Property'!I15)</f>
        <v/>
      </c>
      <c r="E12" s="150" t="str">
        <f>IFERROR(IF('Real Property'!AF15=0,"",'Real Property'!AF15),"")</f>
        <v/>
      </c>
      <c r="F12" s="150" t="str">
        <f>IFERROR(IF('Real Property'!AH15=0,"",'Real Property'!AH15),"")</f>
        <v/>
      </c>
      <c r="G12" s="156" t="str">
        <f>IF('Real Property'!AI15=0,"",'Real Property'!AI15)</f>
        <v/>
      </c>
    </row>
    <row r="13" spans="1:7">
      <c r="A13" s="149" t="str">
        <f>IF('Real Property'!A16=0,"",'Real Property'!A16)</f>
        <v/>
      </c>
      <c r="B13" s="147" t="str">
        <f>IF('Real Property'!B16=0,"",'Real Property'!B16)</f>
        <v/>
      </c>
      <c r="C13" s="148" t="str">
        <f>IF('Real Property'!E16=0,"",'Real Property'!E16)</f>
        <v/>
      </c>
      <c r="D13" s="149" t="str">
        <f>IF('Real Property'!I16=0,"",'Real Property'!I16)</f>
        <v/>
      </c>
      <c r="E13" s="150" t="str">
        <f>IFERROR(IF('Real Property'!AF16=0,"",'Real Property'!AF16),"")</f>
        <v/>
      </c>
      <c r="F13" s="150" t="str">
        <f>IFERROR(IF('Real Property'!AH16=0,"",'Real Property'!AH16),"")</f>
        <v/>
      </c>
      <c r="G13" s="156" t="str">
        <f>IF('Real Property'!AI16=0,"",'Real Property'!AI16)</f>
        <v/>
      </c>
    </row>
    <row r="14" spans="1:7">
      <c r="A14" s="149" t="str">
        <f>IF('Real Property'!A17=0,"",'Real Property'!A17)</f>
        <v/>
      </c>
      <c r="B14" s="147" t="str">
        <f>IF('Real Property'!B17=0,"",'Real Property'!B17)</f>
        <v/>
      </c>
      <c r="C14" s="148" t="str">
        <f>IF('Real Property'!E17=0,"",'Real Property'!E17)</f>
        <v/>
      </c>
      <c r="D14" s="149" t="str">
        <f>IF('Real Property'!I17=0,"",'Real Property'!I17)</f>
        <v/>
      </c>
      <c r="E14" s="150" t="str">
        <f>IFERROR(IF('Real Property'!AF17=0,"",'Real Property'!AF17),"")</f>
        <v/>
      </c>
      <c r="F14" s="150" t="str">
        <f>IFERROR(IF('Real Property'!AH17=0,"",'Real Property'!AH17),"")</f>
        <v/>
      </c>
      <c r="G14" s="156" t="str">
        <f>IF('Real Property'!AI17=0,"",'Real Property'!AI17)</f>
        <v/>
      </c>
    </row>
    <row r="15" spans="1:7">
      <c r="A15" s="149" t="str">
        <f>IF('Real Property'!A18=0,"",'Real Property'!A18)</f>
        <v/>
      </c>
      <c r="B15" s="147" t="str">
        <f>IF('Real Property'!B18=0,"",'Real Property'!B18)</f>
        <v/>
      </c>
      <c r="C15" s="148" t="str">
        <f>IF('Real Property'!E18=0,"",'Real Property'!E18)</f>
        <v/>
      </c>
      <c r="D15" s="149" t="str">
        <f>IF('Real Property'!I18=0,"",'Real Property'!I18)</f>
        <v/>
      </c>
      <c r="E15" s="150" t="str">
        <f>IFERROR(IF('Real Property'!AF18=0,"",'Real Property'!AF18),"")</f>
        <v/>
      </c>
      <c r="F15" s="150" t="str">
        <f>IFERROR(IF('Real Property'!AH18=0,"",'Real Property'!AH18),"")</f>
        <v/>
      </c>
      <c r="G15" s="156" t="str">
        <f>IF('Real Property'!AI18=0,"",'Real Property'!AI18)</f>
        <v/>
      </c>
    </row>
    <row r="16" spans="1:7">
      <c r="A16" s="149" t="str">
        <f>IF('Real Property'!A19=0,"",'Real Property'!A19)</f>
        <v/>
      </c>
      <c r="B16" s="147" t="str">
        <f>IF('Real Property'!B19=0,"",'Real Property'!B19)</f>
        <v/>
      </c>
      <c r="C16" s="148" t="str">
        <f>IF('Real Property'!E19=0,"",'Real Property'!E19)</f>
        <v/>
      </c>
      <c r="D16" s="149" t="str">
        <f>IF('Real Property'!I19=0,"",'Real Property'!I19)</f>
        <v/>
      </c>
      <c r="E16" s="150" t="str">
        <f>IFERROR(IF('Real Property'!AF19=0,"",'Real Property'!AF19),"")</f>
        <v/>
      </c>
      <c r="F16" s="150" t="str">
        <f>IFERROR(IF('Real Property'!AH19=0,"",'Real Property'!AH19),"")</f>
        <v/>
      </c>
      <c r="G16" s="156" t="str">
        <f>IF('Real Property'!AI19=0,"",'Real Property'!AI19)</f>
        <v/>
      </c>
    </row>
    <row r="17" spans="1:7">
      <c r="A17" s="149" t="str">
        <f>IF('Real Property'!A20=0,"",'Real Property'!A20)</f>
        <v/>
      </c>
      <c r="B17" s="147" t="str">
        <f>IF('Real Property'!B20=0,"",'Real Property'!B20)</f>
        <v/>
      </c>
      <c r="C17" s="148" t="str">
        <f>IF('Real Property'!E20=0,"",'Real Property'!E20)</f>
        <v/>
      </c>
      <c r="D17" s="149" t="str">
        <f>IF('Real Property'!I20=0,"",'Real Property'!I20)</f>
        <v/>
      </c>
      <c r="E17" s="150" t="str">
        <f>IFERROR(IF('Real Property'!AF20=0,"",'Real Property'!AF20),"")</f>
        <v/>
      </c>
      <c r="F17" s="150" t="str">
        <f>IFERROR(IF('Real Property'!AH20=0,"",'Real Property'!AH20),"")</f>
        <v/>
      </c>
      <c r="G17" s="156" t="str">
        <f>IF('Real Property'!AI20=0,"",'Real Property'!AI20)</f>
        <v/>
      </c>
    </row>
    <row r="18" spans="1:7">
      <c r="A18" s="149" t="str">
        <f>IF('Real Property'!A21=0,"",'Real Property'!A21)</f>
        <v/>
      </c>
      <c r="B18" s="147" t="str">
        <f>IF('Real Property'!B21=0,"",'Real Property'!B21)</f>
        <v/>
      </c>
      <c r="C18" s="148" t="str">
        <f>IF('Real Property'!E21=0,"",'Real Property'!E21)</f>
        <v/>
      </c>
      <c r="D18" s="149" t="str">
        <f>IF('Real Property'!I21=0,"",'Real Property'!I21)</f>
        <v/>
      </c>
      <c r="E18" s="150" t="str">
        <f>IFERROR(IF('Real Property'!AF21=0,"",'Real Property'!AF21),"")</f>
        <v/>
      </c>
      <c r="F18" s="150" t="str">
        <f>IFERROR(IF('Real Property'!AH21=0,"",'Real Property'!AH21),"")</f>
        <v/>
      </c>
      <c r="G18" s="156" t="str">
        <f>IF('Real Property'!AI21=0,"",'Real Property'!AI21)</f>
        <v/>
      </c>
    </row>
    <row r="19" spans="1:7">
      <c r="A19" s="149" t="str">
        <f>IF('Real Property'!A22=0,"",'Real Property'!A22)</f>
        <v/>
      </c>
      <c r="B19" s="147" t="str">
        <f>IF('Real Property'!B22=0,"",'Real Property'!B22)</f>
        <v/>
      </c>
      <c r="C19" s="148" t="str">
        <f>IF('Real Property'!E22=0,"",'Real Property'!E22)</f>
        <v/>
      </c>
      <c r="D19" s="149" t="str">
        <f>IF('Real Property'!I22=0,"",'Real Property'!I22)</f>
        <v/>
      </c>
      <c r="E19" s="150" t="str">
        <f>IFERROR(IF('Real Property'!AF22=0,"",'Real Property'!AF22),"")</f>
        <v/>
      </c>
      <c r="F19" s="150" t="str">
        <f>IFERROR(IF('Real Property'!AH22=0,"",'Real Property'!AH22),"")</f>
        <v/>
      </c>
      <c r="G19" s="156" t="str">
        <f>IF('Real Property'!AI22=0,"",'Real Property'!AI22)</f>
        <v/>
      </c>
    </row>
    <row r="20" spans="1:7">
      <c r="A20" s="149" t="str">
        <f>IF('Real Property'!A23=0,"",'Real Property'!A23)</f>
        <v/>
      </c>
      <c r="B20" s="147" t="str">
        <f>IF('Real Property'!B23=0,"",'Real Property'!B23)</f>
        <v/>
      </c>
      <c r="C20" s="148" t="str">
        <f>IF('Real Property'!E23=0,"",'Real Property'!E23)</f>
        <v/>
      </c>
      <c r="D20" s="149" t="str">
        <f>IF('Real Property'!I23=0,"",'Real Property'!I23)</f>
        <v/>
      </c>
      <c r="E20" s="150" t="str">
        <f>IFERROR(IF('Real Property'!AF23=0,"",'Real Property'!AF23),"")</f>
        <v/>
      </c>
      <c r="F20" s="150" t="str">
        <f>IFERROR(IF('Real Property'!AH23=0,"",'Real Property'!AH23),"")</f>
        <v/>
      </c>
      <c r="G20" s="156" t="str">
        <f>IF('Real Property'!AI23=0,"",'Real Property'!AI23)</f>
        <v/>
      </c>
    </row>
    <row r="21" spans="1:7">
      <c r="A21" s="149" t="str">
        <f>IF('Real Property'!A24=0,"",'Real Property'!A24)</f>
        <v/>
      </c>
      <c r="B21" s="147" t="str">
        <f>IF('Real Property'!B24=0,"",'Real Property'!B24)</f>
        <v/>
      </c>
      <c r="C21" s="148" t="str">
        <f>IF('Real Property'!E24=0,"",'Real Property'!E24)</f>
        <v/>
      </c>
      <c r="D21" s="149" t="str">
        <f>IF('Real Property'!I24=0,"",'Real Property'!I24)</f>
        <v/>
      </c>
      <c r="E21" s="150" t="str">
        <f>IFERROR(IF('Real Property'!AF24=0,"",'Real Property'!AF24),"")</f>
        <v/>
      </c>
      <c r="F21" s="150" t="str">
        <f>IFERROR(IF('Real Property'!AH24=0,"",'Real Property'!AH24),"")</f>
        <v/>
      </c>
      <c r="G21" s="156" t="str">
        <f>IF('Real Property'!AI24=0,"",'Real Property'!AI24)</f>
        <v/>
      </c>
    </row>
    <row r="22" spans="1:7">
      <c r="A22" s="149" t="str">
        <f>IF('Real Property'!A25=0,"",'Real Property'!A25)</f>
        <v/>
      </c>
      <c r="B22" s="147" t="str">
        <f>IF('Real Property'!B25=0,"",'Real Property'!B25)</f>
        <v/>
      </c>
      <c r="C22" s="148" t="str">
        <f>IF('Real Property'!E25=0,"",'Real Property'!E25)</f>
        <v/>
      </c>
      <c r="D22" s="149" t="str">
        <f>IF('Real Property'!I25=0,"",'Real Property'!I25)</f>
        <v/>
      </c>
      <c r="E22" s="150" t="str">
        <f>IFERROR(IF('Real Property'!AF25=0,"",'Real Property'!AF25),"")</f>
        <v/>
      </c>
      <c r="F22" s="150" t="str">
        <f>IFERROR(IF('Real Property'!AH25=0,"",'Real Property'!AH25),"")</f>
        <v/>
      </c>
      <c r="G22" s="156" t="str">
        <f>IF('Real Property'!AI25=0,"",'Real Property'!AI25)</f>
        <v/>
      </c>
    </row>
    <row r="23" spans="1:7">
      <c r="A23" s="149" t="str">
        <f>IF('Real Property'!A26=0,"",'Real Property'!A26)</f>
        <v/>
      </c>
      <c r="B23" s="147" t="str">
        <f>IF('Real Property'!B26=0,"",'Real Property'!B26)</f>
        <v/>
      </c>
      <c r="C23" s="148" t="str">
        <f>IF('Real Property'!E26=0,"",'Real Property'!E26)</f>
        <v/>
      </c>
      <c r="D23" s="149" t="str">
        <f>IF('Real Property'!I26=0,"",'Real Property'!I26)</f>
        <v/>
      </c>
      <c r="E23" s="150" t="str">
        <f>IFERROR(IF('Real Property'!AF26=0,"",'Real Property'!AF26),"")</f>
        <v/>
      </c>
      <c r="F23" s="150" t="str">
        <f>IFERROR(IF('Real Property'!AH26=0,"",'Real Property'!AH26),"")</f>
        <v/>
      </c>
      <c r="G23" s="156" t="str">
        <f>IF('Real Property'!AI26=0,"",'Real Property'!AI26)</f>
        <v/>
      </c>
    </row>
    <row r="24" spans="1:7">
      <c r="A24" s="149" t="str">
        <f>IF('Real Property'!A27=0,"",'Real Property'!A27)</f>
        <v/>
      </c>
      <c r="B24" s="147" t="str">
        <f>IF('Real Property'!B27=0,"",'Real Property'!B27)</f>
        <v/>
      </c>
      <c r="C24" s="148" t="str">
        <f>IF('Real Property'!E27=0,"",'Real Property'!E27)</f>
        <v/>
      </c>
      <c r="D24" s="149" t="str">
        <f>IF('Real Property'!I27=0,"",'Real Property'!I27)</f>
        <v/>
      </c>
      <c r="E24" s="150" t="str">
        <f>IFERROR(IF('Real Property'!AF27=0,"",'Real Property'!AF27),"")</f>
        <v/>
      </c>
      <c r="F24" s="150" t="str">
        <f>IFERROR(IF('Real Property'!AH27=0,"",'Real Property'!AH27),"")</f>
        <v/>
      </c>
      <c r="G24" s="156" t="str">
        <f>IF('Real Property'!AI27=0,"",'Real Property'!AI27)</f>
        <v/>
      </c>
    </row>
    <row r="25" spans="1:7">
      <c r="A25" s="149" t="str">
        <f>IF('Real Property'!A28=0,"",'Real Property'!A28)</f>
        <v/>
      </c>
      <c r="B25" s="147" t="str">
        <f>IF('Real Property'!B28=0,"",'Real Property'!B28)</f>
        <v/>
      </c>
      <c r="C25" s="148" t="str">
        <f>IF('Real Property'!E28=0,"",'Real Property'!E28)</f>
        <v/>
      </c>
      <c r="D25" s="149" t="str">
        <f>IF('Real Property'!I28=0,"",'Real Property'!I28)</f>
        <v/>
      </c>
      <c r="E25" s="150" t="str">
        <f>IFERROR(IF('Real Property'!AF28=0,"",'Real Property'!AF28),"")</f>
        <v/>
      </c>
      <c r="F25" s="150" t="str">
        <f>IFERROR(IF('Real Property'!AH28=0,"",'Real Property'!AH28),"")</f>
        <v/>
      </c>
      <c r="G25" s="156" t="str">
        <f>IF('Real Property'!AI28=0,"",'Real Property'!AI28)</f>
        <v/>
      </c>
    </row>
    <row r="26" spans="1:7">
      <c r="A26" s="149" t="str">
        <f>IF('Real Property'!A29=0,"",'Real Property'!A29)</f>
        <v/>
      </c>
      <c r="B26" s="147" t="str">
        <f>IF('Real Property'!B29=0,"",'Real Property'!B29)</f>
        <v/>
      </c>
      <c r="C26" s="148" t="str">
        <f>IF('Real Property'!E29=0,"",'Real Property'!E29)</f>
        <v/>
      </c>
      <c r="D26" s="149" t="str">
        <f>IF('Real Property'!I29=0,"",'Real Property'!I29)</f>
        <v/>
      </c>
      <c r="E26" s="150" t="str">
        <f>IFERROR(IF('Real Property'!AF29=0,"",'Real Property'!AF29),"")</f>
        <v/>
      </c>
      <c r="F26" s="150" t="str">
        <f>IFERROR(IF('Real Property'!AH29=0,"",'Real Property'!AH29),"")</f>
        <v/>
      </c>
      <c r="G26" s="156" t="str">
        <f>IF('Real Property'!AI29=0,"",'Real Property'!AI29)</f>
        <v/>
      </c>
    </row>
    <row r="27" spans="1:7">
      <c r="A27" s="149" t="str">
        <f>IF('Real Property'!A30=0,"",'Real Property'!A30)</f>
        <v/>
      </c>
      <c r="B27" s="147" t="str">
        <f>IF('Real Property'!B30=0,"",'Real Property'!B30)</f>
        <v/>
      </c>
      <c r="C27" s="148" t="str">
        <f>IF('Real Property'!E30=0,"",'Real Property'!E30)</f>
        <v/>
      </c>
      <c r="D27" s="149" t="str">
        <f>IF('Real Property'!I30=0,"",'Real Property'!I30)</f>
        <v/>
      </c>
      <c r="E27" s="150" t="str">
        <f>IFERROR(IF('Real Property'!AF30=0,"",'Real Property'!AF30),"")</f>
        <v/>
      </c>
      <c r="F27" s="150" t="str">
        <f>IFERROR(IF('Real Property'!AH30=0,"",'Real Property'!AH30),"")</f>
        <v/>
      </c>
      <c r="G27" s="156" t="str">
        <f>IF('Real Property'!AI30=0,"",'Real Property'!AI30)</f>
        <v/>
      </c>
    </row>
    <row r="28" spans="1:7">
      <c r="A28" s="149" t="str">
        <f>IF('Real Property'!A31=0,"",'Real Property'!A31)</f>
        <v/>
      </c>
      <c r="B28" s="147" t="str">
        <f>IF('Real Property'!B31=0,"",'Real Property'!B31)</f>
        <v/>
      </c>
      <c r="C28" s="148" t="str">
        <f>IF('Real Property'!E31=0,"",'Real Property'!E31)</f>
        <v/>
      </c>
      <c r="D28" s="149" t="str">
        <f>IF('Real Property'!I31=0,"",'Real Property'!I31)</f>
        <v/>
      </c>
      <c r="E28" s="150" t="str">
        <f>IFERROR(IF('Real Property'!AF31=0,"",'Real Property'!AF31),"")</f>
        <v/>
      </c>
      <c r="F28" s="150" t="str">
        <f>IFERROR(IF('Real Property'!AH31=0,"",'Real Property'!AH31),"")</f>
        <v/>
      </c>
      <c r="G28" s="156" t="str">
        <f>IF('Real Property'!AI31=0,"",'Real Property'!AI31)</f>
        <v/>
      </c>
    </row>
    <row r="29" spans="1:7">
      <c r="A29" s="149" t="str">
        <f>IF('Real Property'!A32=0,"",'Real Property'!A32)</f>
        <v/>
      </c>
      <c r="B29" s="147" t="str">
        <f>IF('Real Property'!B32=0,"",'Real Property'!B32)</f>
        <v/>
      </c>
      <c r="C29" s="148" t="str">
        <f>IF('Real Property'!E32=0,"",'Real Property'!E32)</f>
        <v/>
      </c>
      <c r="D29" s="149" t="str">
        <f>IF('Real Property'!I32=0,"",'Real Property'!I32)</f>
        <v/>
      </c>
      <c r="E29" s="150" t="str">
        <f>IFERROR(IF('Real Property'!AF32=0,"",'Real Property'!AF32),"")</f>
        <v/>
      </c>
      <c r="F29" s="150" t="str">
        <f>IFERROR(IF('Real Property'!AH32=0,"",'Real Property'!AH32),"")</f>
        <v/>
      </c>
      <c r="G29" s="156" t="str">
        <f>IF('Real Property'!AI32=0,"",'Real Property'!AI32)</f>
        <v/>
      </c>
    </row>
    <row r="30" spans="1:7">
      <c r="A30" s="149" t="str">
        <f>IF('Real Property'!A33=0,"",'Real Property'!A33)</f>
        <v/>
      </c>
      <c r="B30" s="147" t="str">
        <f>IF('Real Property'!B33=0,"",'Real Property'!B33)</f>
        <v/>
      </c>
      <c r="C30" s="148" t="str">
        <f>IF('Real Property'!E33=0,"",'Real Property'!E33)</f>
        <v/>
      </c>
      <c r="D30" s="149" t="str">
        <f>IF('Real Property'!I33=0,"",'Real Property'!I33)</f>
        <v/>
      </c>
      <c r="E30" s="150" t="str">
        <f>IFERROR(IF('Real Property'!AF33=0,"",'Real Property'!AF33),"")</f>
        <v/>
      </c>
      <c r="F30" s="150" t="str">
        <f>IFERROR(IF('Real Property'!AH33=0,"",'Real Property'!AH33),"")</f>
        <v/>
      </c>
      <c r="G30" s="156" t="str">
        <f>IF('Real Property'!AI33=0,"",'Real Property'!AI33)</f>
        <v/>
      </c>
    </row>
    <row r="31" spans="1:7">
      <c r="A31" s="149" t="str">
        <f>IF('Real Property'!A34=0,"",'Real Property'!A34)</f>
        <v/>
      </c>
      <c r="B31" s="147" t="str">
        <f>IF('Real Property'!B34=0,"",'Real Property'!B34)</f>
        <v/>
      </c>
      <c r="C31" s="148" t="str">
        <f>IF('Real Property'!E34=0,"",'Real Property'!E34)</f>
        <v/>
      </c>
      <c r="D31" s="149" t="str">
        <f>IF('Real Property'!I34=0,"",'Real Property'!I34)</f>
        <v/>
      </c>
      <c r="E31" s="150" t="str">
        <f>IFERROR(IF('Real Property'!AF34=0,"",'Real Property'!AF34),"")</f>
        <v/>
      </c>
      <c r="F31" s="150" t="str">
        <f>IFERROR(IF('Real Property'!AH34=0,"",'Real Property'!AH34),"")</f>
        <v/>
      </c>
      <c r="G31" s="156" t="str">
        <f>IF('Real Property'!AI34=0,"",'Real Property'!AI34)</f>
        <v/>
      </c>
    </row>
    <row r="32" spans="1:7">
      <c r="A32" s="149" t="str">
        <f>IF('Real Property'!A35=0,"",'Real Property'!A35)</f>
        <v/>
      </c>
      <c r="B32" s="147" t="str">
        <f>IF('Real Property'!B35=0,"",'Real Property'!B35)</f>
        <v/>
      </c>
      <c r="C32" s="148" t="str">
        <f>IF('Real Property'!E35=0,"",'Real Property'!E35)</f>
        <v/>
      </c>
      <c r="D32" s="149" t="str">
        <f>IF('Real Property'!I35=0,"",'Real Property'!I35)</f>
        <v/>
      </c>
      <c r="E32" s="150" t="str">
        <f>IFERROR(IF('Real Property'!AF35=0,"",'Real Property'!AF35),"")</f>
        <v/>
      </c>
      <c r="F32" s="150" t="str">
        <f>IFERROR(IF('Real Property'!AH35=0,"",'Real Property'!AH35),"")</f>
        <v/>
      </c>
      <c r="G32" s="156" t="str">
        <f>IF('Real Property'!AI35=0,"",'Real Property'!AI35)</f>
        <v/>
      </c>
    </row>
    <row r="33" spans="1:7">
      <c r="A33" s="149" t="str">
        <f>IF('Real Property'!A36=0,"",'Real Property'!A36)</f>
        <v/>
      </c>
      <c r="B33" s="147" t="str">
        <f>IF('Real Property'!B36=0,"",'Real Property'!B36)</f>
        <v/>
      </c>
      <c r="C33" s="148" t="str">
        <f>IF('Real Property'!E36=0,"",'Real Property'!E36)</f>
        <v/>
      </c>
      <c r="D33" s="149" t="str">
        <f>IF('Real Property'!I36=0,"",'Real Property'!I36)</f>
        <v/>
      </c>
      <c r="E33" s="150" t="str">
        <f>IFERROR(IF('Real Property'!AF36=0,"",'Real Property'!AF36),"")</f>
        <v/>
      </c>
      <c r="F33" s="150" t="str">
        <f>IFERROR(IF('Real Property'!AH36=0,"",'Real Property'!AH36),"")</f>
        <v/>
      </c>
      <c r="G33" s="156" t="str">
        <f>IF('Real Property'!AI36=0,"",'Real Property'!AI36)</f>
        <v/>
      </c>
    </row>
    <row r="34" spans="1:7">
      <c r="A34" s="149" t="str">
        <f>IF('Real Property'!A37=0,"",'Real Property'!A37)</f>
        <v/>
      </c>
      <c r="B34" s="147" t="str">
        <f>IF('Real Property'!B37=0,"",'Real Property'!B37)</f>
        <v/>
      </c>
      <c r="C34" s="148" t="str">
        <f>IF('Real Property'!E37=0,"",'Real Property'!E37)</f>
        <v/>
      </c>
      <c r="D34" s="149" t="str">
        <f>IF('Real Property'!I37=0,"",'Real Property'!I37)</f>
        <v/>
      </c>
      <c r="E34" s="150" t="str">
        <f>IFERROR(IF('Real Property'!AF37=0,"",'Real Property'!AF37),"")</f>
        <v/>
      </c>
      <c r="F34" s="150" t="str">
        <f>IFERROR(IF('Real Property'!AH37=0,"",'Real Property'!AH37),"")</f>
        <v/>
      </c>
      <c r="G34" s="156" t="str">
        <f>IF('Real Property'!AI37=0,"",'Real Property'!AI37)</f>
        <v/>
      </c>
    </row>
    <row r="35" spans="1:7">
      <c r="A35" s="149" t="str">
        <f>IF('Real Property'!A38=0,"",'Real Property'!A38)</f>
        <v/>
      </c>
      <c r="B35" s="147" t="str">
        <f>IF('Real Property'!B38=0,"",'Real Property'!B38)</f>
        <v/>
      </c>
      <c r="C35" s="148" t="str">
        <f>IF('Real Property'!E38=0,"",'Real Property'!E38)</f>
        <v/>
      </c>
      <c r="D35" s="149" t="str">
        <f>IF('Real Property'!I38=0,"",'Real Property'!I38)</f>
        <v/>
      </c>
      <c r="E35" s="150" t="str">
        <f>IFERROR(IF('Real Property'!AF38=0,"",'Real Property'!AF38),"")</f>
        <v/>
      </c>
      <c r="F35" s="150" t="str">
        <f>IFERROR(IF('Real Property'!AH38=0,"",'Real Property'!AH38),"")</f>
        <v/>
      </c>
      <c r="G35" s="156" t="str">
        <f>IF('Real Property'!AI38=0,"",'Real Property'!AI38)</f>
        <v/>
      </c>
    </row>
    <row r="36" spans="1:7">
      <c r="A36" s="149" t="str">
        <f>IF('Real Property'!A39=0,"",'Real Property'!A39)</f>
        <v/>
      </c>
      <c r="B36" s="147" t="str">
        <f>IF('Real Property'!B39=0,"",'Real Property'!B39)</f>
        <v/>
      </c>
      <c r="C36" s="148" t="str">
        <f>IF('Real Property'!E39=0,"",'Real Property'!E39)</f>
        <v/>
      </c>
      <c r="D36" s="149" t="str">
        <f>IF('Real Property'!I39=0,"",'Real Property'!I39)</f>
        <v/>
      </c>
      <c r="E36" s="150" t="str">
        <f>IFERROR(IF('Real Property'!AF39=0,"",'Real Property'!AF39),"")</f>
        <v/>
      </c>
      <c r="F36" s="150" t="str">
        <f>IFERROR(IF('Real Property'!AH39=0,"",'Real Property'!AH39),"")</f>
        <v/>
      </c>
      <c r="G36" s="156" t="str">
        <f>IF('Real Property'!AI39=0,"",'Real Property'!AI39)</f>
        <v/>
      </c>
    </row>
    <row r="37" spans="1:7">
      <c r="A37" s="149" t="str">
        <f>IF('Real Property'!A40=0,"",'Real Property'!A40)</f>
        <v/>
      </c>
      <c r="B37" s="147" t="str">
        <f>IF('Real Property'!B40=0,"",'Real Property'!B40)</f>
        <v/>
      </c>
      <c r="C37" s="148" t="str">
        <f>IF('Real Property'!E40=0,"",'Real Property'!E40)</f>
        <v/>
      </c>
      <c r="D37" s="149" t="str">
        <f>IF('Real Property'!I40=0,"",'Real Property'!I40)</f>
        <v/>
      </c>
      <c r="E37" s="150" t="str">
        <f>IFERROR(IF('Real Property'!AF40=0,"",'Real Property'!AF40),"")</f>
        <v/>
      </c>
      <c r="F37" s="150" t="str">
        <f>IFERROR(IF('Real Property'!AH40=0,"",'Real Property'!AH40),"")</f>
        <v/>
      </c>
      <c r="G37" s="156" t="str">
        <f>IF('Real Property'!AI40=0,"",'Real Property'!AI40)</f>
        <v/>
      </c>
    </row>
    <row r="38" spans="1:7">
      <c r="A38" s="149" t="str">
        <f>IF('Real Property'!A41=0,"",'Real Property'!A41)</f>
        <v/>
      </c>
      <c r="B38" s="147" t="str">
        <f>IF('Real Property'!B41=0,"",'Real Property'!B41)</f>
        <v/>
      </c>
      <c r="C38" s="148" t="str">
        <f>IF('Real Property'!E41=0,"",'Real Property'!E41)</f>
        <v/>
      </c>
      <c r="D38" s="149" t="str">
        <f>IF('Real Property'!I41=0,"",'Real Property'!I41)</f>
        <v/>
      </c>
      <c r="E38" s="150" t="str">
        <f>IFERROR(IF('Real Property'!AF41=0,"",'Real Property'!AF41),"")</f>
        <v/>
      </c>
      <c r="F38" s="150" t="str">
        <f>IFERROR(IF('Real Property'!AH41=0,"",'Real Property'!AH41),"")</f>
        <v/>
      </c>
      <c r="G38" s="156" t="str">
        <f>IF('Real Property'!AI41=0,"",'Real Property'!AI41)</f>
        <v/>
      </c>
    </row>
    <row r="39" spans="1:7">
      <c r="A39" s="149" t="str">
        <f>IF('Real Property'!A42=0,"",'Real Property'!A42)</f>
        <v/>
      </c>
      <c r="B39" s="147" t="str">
        <f>IF('Real Property'!B42=0,"",'Real Property'!B42)</f>
        <v/>
      </c>
      <c r="C39" s="148" t="str">
        <f>IF('Real Property'!E42=0,"",'Real Property'!E42)</f>
        <v/>
      </c>
      <c r="D39" s="149" t="str">
        <f>IF('Real Property'!I42=0,"",'Real Property'!I42)</f>
        <v/>
      </c>
      <c r="E39" s="150" t="str">
        <f>IFERROR(IF('Real Property'!AF42=0,"",'Real Property'!AF42),"")</f>
        <v/>
      </c>
      <c r="F39" s="150" t="str">
        <f>IFERROR(IF('Real Property'!AH42=0,"",'Real Property'!AH42),"")</f>
        <v/>
      </c>
      <c r="G39" s="156" t="str">
        <f>IF('Real Property'!AI42=0,"",'Real Property'!AI42)</f>
        <v/>
      </c>
    </row>
    <row r="40" spans="1:7">
      <c r="A40" s="149" t="str">
        <f>IF('Real Property'!A43=0,"",'Real Property'!A43)</f>
        <v/>
      </c>
      <c r="B40" s="147" t="str">
        <f>IF('Real Property'!B43=0,"",'Real Property'!B43)</f>
        <v/>
      </c>
      <c r="C40" s="148" t="str">
        <f>IF('Real Property'!E43=0,"",'Real Property'!E43)</f>
        <v/>
      </c>
      <c r="D40" s="149" t="str">
        <f>IF('Real Property'!I43=0,"",'Real Property'!I43)</f>
        <v/>
      </c>
      <c r="E40" s="150" t="str">
        <f>IFERROR(IF('Real Property'!AF43=0,"",'Real Property'!AF43),"")</f>
        <v/>
      </c>
      <c r="F40" s="150" t="str">
        <f>IFERROR(IF('Real Property'!AH43=0,"",'Real Property'!AH43),"")</f>
        <v/>
      </c>
      <c r="G40" s="156" t="str">
        <f>IF('Real Property'!AI43=0,"",'Real Property'!AI43)</f>
        <v/>
      </c>
    </row>
    <row r="41" spans="1:7">
      <c r="A41" s="149" t="str">
        <f>IF('Real Property'!A44=0,"",'Real Property'!A44)</f>
        <v/>
      </c>
      <c r="B41" s="147" t="str">
        <f>IF('Real Property'!B44=0,"",'Real Property'!B44)</f>
        <v/>
      </c>
      <c r="C41" s="148" t="str">
        <f>IF('Real Property'!E44=0,"",'Real Property'!E44)</f>
        <v/>
      </c>
      <c r="D41" s="149" t="str">
        <f>IF('Real Property'!I44=0,"",'Real Property'!I44)</f>
        <v/>
      </c>
      <c r="E41" s="150" t="str">
        <f>IFERROR(IF('Real Property'!AF44=0,"",'Real Property'!AF44),"")</f>
        <v/>
      </c>
      <c r="F41" s="150" t="str">
        <f>IFERROR(IF('Real Property'!AH44=0,"",'Real Property'!AH44),"")</f>
        <v/>
      </c>
      <c r="G41" s="156" t="str">
        <f>IF('Real Property'!AI44=0,"",'Real Property'!AI44)</f>
        <v/>
      </c>
    </row>
    <row r="42" spans="1:7">
      <c r="A42" s="149" t="str">
        <f>IF('Real Property'!A45=0,"",'Real Property'!A45)</f>
        <v/>
      </c>
      <c r="B42" s="147" t="str">
        <f>IF('Real Property'!B45=0,"",'Real Property'!B45)</f>
        <v/>
      </c>
      <c r="C42" s="148" t="str">
        <f>IF('Real Property'!E45=0,"",'Real Property'!E45)</f>
        <v/>
      </c>
      <c r="D42" s="149" t="str">
        <f>IF('Real Property'!I45=0,"",'Real Property'!I45)</f>
        <v/>
      </c>
      <c r="E42" s="150" t="str">
        <f>IFERROR(IF('Real Property'!AF45=0,"",'Real Property'!AF45),"")</f>
        <v/>
      </c>
      <c r="F42" s="150" t="str">
        <f>IFERROR(IF('Real Property'!AH45=0,"",'Real Property'!AH45),"")</f>
        <v/>
      </c>
      <c r="G42" s="156" t="str">
        <f>IF('Real Property'!AI45=0,"",'Real Property'!AI45)</f>
        <v/>
      </c>
    </row>
    <row r="43" spans="1:7">
      <c r="A43" s="149" t="str">
        <f>IF('Real Property'!A46=0,"",'Real Property'!A46)</f>
        <v/>
      </c>
      <c r="B43" s="147" t="str">
        <f>IF('Real Property'!B46=0,"",'Real Property'!B46)</f>
        <v/>
      </c>
      <c r="C43" s="148" t="str">
        <f>IF('Real Property'!E46=0,"",'Real Property'!E46)</f>
        <v/>
      </c>
      <c r="D43" s="149" t="str">
        <f>IF('Real Property'!I46=0,"",'Real Property'!I46)</f>
        <v/>
      </c>
      <c r="E43" s="150" t="str">
        <f>IFERROR(IF('Real Property'!AF46=0,"",'Real Property'!AF46),"")</f>
        <v/>
      </c>
      <c r="F43" s="150" t="str">
        <f>IFERROR(IF('Real Property'!AH46=0,"",'Real Property'!AH46),"")</f>
        <v/>
      </c>
      <c r="G43" s="156" t="str">
        <f>IF('Real Property'!AI46=0,"",'Real Property'!AI46)</f>
        <v/>
      </c>
    </row>
    <row r="44" spans="1:7">
      <c r="A44" s="149" t="str">
        <f>IF('Real Property'!A47=0,"",'Real Property'!A47)</f>
        <v/>
      </c>
      <c r="B44" s="147" t="str">
        <f>IF('Real Property'!B47=0,"",'Real Property'!B47)</f>
        <v/>
      </c>
      <c r="C44" s="148" t="str">
        <f>IF('Real Property'!E47=0,"",'Real Property'!E47)</f>
        <v/>
      </c>
      <c r="D44" s="149" t="str">
        <f>IF('Real Property'!I47=0,"",'Real Property'!I47)</f>
        <v/>
      </c>
      <c r="E44" s="150" t="str">
        <f>IFERROR(IF('Real Property'!AF47=0,"",'Real Property'!AF47),"")</f>
        <v/>
      </c>
      <c r="F44" s="150" t="str">
        <f>IFERROR(IF('Real Property'!AH47=0,"",'Real Property'!AH47),"")</f>
        <v/>
      </c>
      <c r="G44" s="156" t="str">
        <f>IF('Real Property'!AI47=0,"",'Real Property'!AI47)</f>
        <v/>
      </c>
    </row>
    <row r="45" spans="1:7">
      <c r="A45" s="149" t="str">
        <f>IF('Real Property'!A48=0,"",'Real Property'!A48)</f>
        <v/>
      </c>
      <c r="B45" s="147" t="str">
        <f>IF('Real Property'!B48=0,"",'Real Property'!B48)</f>
        <v/>
      </c>
      <c r="C45" s="148" t="str">
        <f>IF('Real Property'!E48=0,"",'Real Property'!E48)</f>
        <v/>
      </c>
      <c r="D45" s="149" t="str">
        <f>IF('Real Property'!I48=0,"",'Real Property'!I48)</f>
        <v/>
      </c>
      <c r="E45" s="150" t="str">
        <f>IFERROR(IF('Real Property'!AF48=0,"",'Real Property'!AF48),"")</f>
        <v/>
      </c>
      <c r="F45" s="150" t="str">
        <f>IFERROR(IF('Real Property'!AH48=0,"",'Real Property'!AH48),"")</f>
        <v/>
      </c>
      <c r="G45" s="156" t="str">
        <f>IF('Real Property'!AI48=0,"",'Real Property'!AI48)</f>
        <v/>
      </c>
    </row>
    <row r="46" spans="1:7">
      <c r="A46" s="149" t="str">
        <f>IF('Real Property'!A49=0,"",'Real Property'!A49)</f>
        <v/>
      </c>
      <c r="B46" s="147" t="str">
        <f>IF('Real Property'!B49=0,"",'Real Property'!B49)</f>
        <v/>
      </c>
      <c r="C46" s="148" t="str">
        <f>IF('Real Property'!E49=0,"",'Real Property'!E49)</f>
        <v/>
      </c>
      <c r="D46" s="149" t="str">
        <f>IF('Real Property'!I49=0,"",'Real Property'!I49)</f>
        <v/>
      </c>
      <c r="E46" s="150" t="str">
        <f>IFERROR(IF('Real Property'!AF49=0,"",'Real Property'!AF49),"")</f>
        <v/>
      </c>
      <c r="F46" s="150" t="str">
        <f>IFERROR(IF('Real Property'!AH49=0,"",'Real Property'!AH49),"")</f>
        <v/>
      </c>
      <c r="G46" s="156" t="str">
        <f>IF('Real Property'!AI49=0,"",'Real Property'!AI49)</f>
        <v/>
      </c>
    </row>
    <row r="47" spans="1:7">
      <c r="A47" s="149" t="str">
        <f>IF('Real Property'!A50=0,"",'Real Property'!A50)</f>
        <v/>
      </c>
      <c r="B47" s="147" t="str">
        <f>IF('Real Property'!B50=0,"",'Real Property'!B50)</f>
        <v/>
      </c>
      <c r="C47" s="148" t="str">
        <f>IF('Real Property'!E50=0,"",'Real Property'!E50)</f>
        <v/>
      </c>
      <c r="D47" s="149" t="str">
        <f>IF('Real Property'!I50=0,"",'Real Property'!I50)</f>
        <v/>
      </c>
      <c r="E47" s="150" t="str">
        <f>IFERROR(IF('Real Property'!AF50=0,"",'Real Property'!AF50),"")</f>
        <v/>
      </c>
      <c r="F47" s="150" t="str">
        <f>IFERROR(IF('Real Property'!AH50=0,"",'Real Property'!AH50),"")</f>
        <v/>
      </c>
      <c r="G47" s="156" t="str">
        <f>IF('Real Property'!AI50=0,"",'Real Property'!AI50)</f>
        <v/>
      </c>
    </row>
    <row r="48" spans="1:7">
      <c r="A48" s="149" t="str">
        <f>IF('Real Property'!A51=0,"",'Real Property'!A51)</f>
        <v/>
      </c>
      <c r="B48" s="147" t="str">
        <f>IF('Real Property'!B51=0,"",'Real Property'!B51)</f>
        <v/>
      </c>
      <c r="C48" s="148" t="str">
        <f>IF('Real Property'!E51=0,"",'Real Property'!E51)</f>
        <v/>
      </c>
      <c r="D48" s="149" t="str">
        <f>IF('Real Property'!I51=0,"",'Real Property'!I51)</f>
        <v/>
      </c>
      <c r="E48" s="150" t="str">
        <f>IFERROR(IF('Real Property'!AF51=0,"",'Real Property'!AF51),"")</f>
        <v/>
      </c>
      <c r="F48" s="150" t="str">
        <f>IFERROR(IF('Real Property'!AH51=0,"",'Real Property'!AH51),"")</f>
        <v/>
      </c>
      <c r="G48" s="156" t="str">
        <f>IF('Real Property'!AI51=0,"",'Real Property'!AI51)</f>
        <v/>
      </c>
    </row>
    <row r="49" spans="1:7">
      <c r="A49" s="149" t="str">
        <f>IF('Real Property'!A52=0,"",'Real Property'!A52)</f>
        <v/>
      </c>
      <c r="B49" s="147" t="str">
        <f>IF('Real Property'!B52=0,"",'Real Property'!B52)</f>
        <v/>
      </c>
      <c r="C49" s="148" t="str">
        <f>IF('Real Property'!E52=0,"",'Real Property'!E52)</f>
        <v/>
      </c>
      <c r="D49" s="149" t="str">
        <f>IF('Real Property'!I52=0,"",'Real Property'!I52)</f>
        <v/>
      </c>
      <c r="E49" s="150" t="str">
        <f>IFERROR(IF('Real Property'!AF52=0,"",'Real Property'!AF52),"")</f>
        <v/>
      </c>
      <c r="F49" s="150" t="str">
        <f>IFERROR(IF('Real Property'!AH52=0,"",'Real Property'!AH52),"")</f>
        <v/>
      </c>
      <c r="G49" s="156" t="str">
        <f>IF('Real Property'!AI52=0,"",'Real Property'!AI52)</f>
        <v/>
      </c>
    </row>
    <row r="50" spans="1:7">
      <c r="A50" s="149" t="str">
        <f>IF('Real Property'!A53=0,"",'Real Property'!A53)</f>
        <v/>
      </c>
      <c r="B50" s="147" t="str">
        <f>IF('Real Property'!B53=0,"",'Real Property'!B53)</f>
        <v/>
      </c>
      <c r="C50" s="148" t="str">
        <f>IF('Real Property'!E53=0,"",'Real Property'!E53)</f>
        <v/>
      </c>
      <c r="D50" s="149" t="str">
        <f>IF('Real Property'!I53=0,"",'Real Property'!I53)</f>
        <v/>
      </c>
      <c r="E50" s="150" t="str">
        <f>IFERROR(IF('Real Property'!AF53=0,"",'Real Property'!AF53),"")</f>
        <v/>
      </c>
      <c r="F50" s="150" t="str">
        <f>IFERROR(IF('Real Property'!AH53=0,"",'Real Property'!AH53),"")</f>
        <v/>
      </c>
      <c r="G50" s="156" t="str">
        <f>IF('Real Property'!AI53=0,"",'Real Property'!AI53)</f>
        <v/>
      </c>
    </row>
    <row r="51" spans="1:7">
      <c r="A51" s="149" t="str">
        <f>IF('Real Property'!A54=0,"",'Real Property'!A54)</f>
        <v/>
      </c>
      <c r="B51" s="147" t="str">
        <f>IF('Real Property'!B54=0,"",'Real Property'!B54)</f>
        <v/>
      </c>
      <c r="C51" s="148" t="str">
        <f>IF('Real Property'!E54=0,"",'Real Property'!E54)</f>
        <v/>
      </c>
      <c r="D51" s="149" t="str">
        <f>IF('Real Property'!I54=0,"",'Real Property'!I54)</f>
        <v/>
      </c>
      <c r="E51" s="150" t="str">
        <f>IFERROR(IF('Real Property'!AF54=0,"",'Real Property'!AF54),"")</f>
        <v/>
      </c>
      <c r="F51" s="150" t="str">
        <f>IFERROR(IF('Real Property'!AH54=0,"",'Real Property'!AH54),"")</f>
        <v/>
      </c>
      <c r="G51" s="156" t="str">
        <f>IF('Real Property'!AI54=0,"",'Real Property'!AI54)</f>
        <v/>
      </c>
    </row>
    <row r="52" spans="1:7">
      <c r="A52" s="149" t="str">
        <f>IF('Real Property'!A55=0,"",'Real Property'!A55)</f>
        <v/>
      </c>
      <c r="B52" s="147" t="str">
        <f>IF('Real Property'!B55=0,"",'Real Property'!B55)</f>
        <v/>
      </c>
      <c r="C52" s="148" t="str">
        <f>IF('Real Property'!E55=0,"",'Real Property'!E55)</f>
        <v/>
      </c>
      <c r="D52" s="149" t="str">
        <f>IF('Real Property'!I55=0,"",'Real Property'!I55)</f>
        <v/>
      </c>
      <c r="E52" s="150" t="str">
        <f>IFERROR(IF('Real Property'!AF55=0,"",'Real Property'!AF55),"")</f>
        <v/>
      </c>
      <c r="F52" s="150" t="str">
        <f>IFERROR(IF('Real Property'!AH55=0,"",'Real Property'!AH55),"")</f>
        <v/>
      </c>
      <c r="G52" s="156" t="str">
        <f>IF('Real Property'!AI55=0,"",'Real Property'!AI55)</f>
        <v/>
      </c>
    </row>
    <row r="53" spans="1:7">
      <c r="A53" s="149" t="str">
        <f>IF('Real Property'!A56=0,"",'Real Property'!A56)</f>
        <v/>
      </c>
      <c r="B53" s="147" t="str">
        <f>IF('Real Property'!B56=0,"",'Real Property'!B56)</f>
        <v/>
      </c>
      <c r="C53" s="148" t="str">
        <f>IF('Real Property'!E56=0,"",'Real Property'!E56)</f>
        <v/>
      </c>
      <c r="D53" s="149" t="str">
        <f>IF('Real Property'!I56=0,"",'Real Property'!I56)</f>
        <v/>
      </c>
      <c r="E53" s="150" t="str">
        <f>IFERROR(IF('Real Property'!AF56=0,"",'Real Property'!AF56),"")</f>
        <v/>
      </c>
      <c r="F53" s="150" t="str">
        <f>IFERROR(IF('Real Property'!AH56=0,"",'Real Property'!AH56),"")</f>
        <v/>
      </c>
      <c r="G53" s="156" t="str">
        <f>IF('Real Property'!AI56=0,"",'Real Property'!AI56)</f>
        <v/>
      </c>
    </row>
    <row r="54" spans="1:7">
      <c r="A54" s="149" t="str">
        <f>IF('Real Property'!A57=0,"",'Real Property'!A57)</f>
        <v/>
      </c>
      <c r="B54" s="147" t="str">
        <f>IF('Real Property'!B57=0,"",'Real Property'!B57)</f>
        <v/>
      </c>
      <c r="C54" s="148" t="str">
        <f>IF('Real Property'!E57=0,"",'Real Property'!E57)</f>
        <v/>
      </c>
      <c r="D54" s="149" t="str">
        <f>IF('Real Property'!I57=0,"",'Real Property'!I57)</f>
        <v/>
      </c>
      <c r="E54" s="150" t="str">
        <f>IFERROR(IF('Real Property'!AF57=0,"",'Real Property'!AF57),"")</f>
        <v/>
      </c>
      <c r="F54" s="150" t="str">
        <f>IFERROR(IF('Real Property'!AH57=0,"",'Real Property'!AH57),"")</f>
        <v/>
      </c>
      <c r="G54" s="156" t="str">
        <f>IF('Real Property'!AI57=0,"",'Real Property'!AI57)</f>
        <v/>
      </c>
    </row>
    <row r="55" spans="1:7">
      <c r="A55" s="149" t="str">
        <f>IF('Real Property'!A58=0,"",'Real Property'!A58)</f>
        <v/>
      </c>
      <c r="B55" s="147" t="str">
        <f>IF('Real Property'!B58=0,"",'Real Property'!B58)</f>
        <v/>
      </c>
      <c r="C55" s="148" t="str">
        <f>IF('Real Property'!E58=0,"",'Real Property'!E58)</f>
        <v/>
      </c>
      <c r="D55" s="149" t="str">
        <f>IF('Real Property'!I58=0,"",'Real Property'!I58)</f>
        <v/>
      </c>
      <c r="E55" s="150" t="str">
        <f>IFERROR(IF('Real Property'!AF58=0,"",'Real Property'!AF58),"")</f>
        <v/>
      </c>
      <c r="F55" s="150" t="str">
        <f>IFERROR(IF('Real Property'!AH58=0,"",'Real Property'!AH58),"")</f>
        <v/>
      </c>
      <c r="G55" s="156" t="str">
        <f>IF('Real Property'!AI58=0,"",'Real Property'!AI58)</f>
        <v/>
      </c>
    </row>
    <row r="56" spans="1:7">
      <c r="A56" s="149" t="str">
        <f>IF('Real Property'!A59=0,"",'Real Property'!A59)</f>
        <v/>
      </c>
      <c r="B56" s="147" t="str">
        <f>IF('Real Property'!B59=0,"",'Real Property'!B59)</f>
        <v/>
      </c>
      <c r="C56" s="148" t="str">
        <f>IF('Real Property'!E59=0,"",'Real Property'!E59)</f>
        <v/>
      </c>
      <c r="D56" s="149" t="str">
        <f>IF('Real Property'!I59=0,"",'Real Property'!I59)</f>
        <v/>
      </c>
      <c r="E56" s="150" t="str">
        <f>IFERROR(IF('Real Property'!AF59=0,"",'Real Property'!AF59),"")</f>
        <v/>
      </c>
      <c r="F56" s="150" t="str">
        <f>IFERROR(IF('Real Property'!AH59=0,"",'Real Property'!AH59),"")</f>
        <v/>
      </c>
      <c r="G56" s="156" t="str">
        <f>IF('Real Property'!AI59=0,"",'Real Property'!AI59)</f>
        <v/>
      </c>
    </row>
    <row r="57" spans="1:7">
      <c r="A57" s="149" t="str">
        <f>IF('Real Property'!A60=0,"",'Real Property'!A60)</f>
        <v/>
      </c>
      <c r="B57" s="147" t="str">
        <f>IF('Real Property'!B60=0,"",'Real Property'!B60)</f>
        <v/>
      </c>
      <c r="C57" s="148" t="str">
        <f>IF('Real Property'!E60=0,"",'Real Property'!E60)</f>
        <v/>
      </c>
      <c r="D57" s="149" t="str">
        <f>IF('Real Property'!I60=0,"",'Real Property'!I60)</f>
        <v/>
      </c>
      <c r="E57" s="150" t="str">
        <f>IFERROR(IF('Real Property'!AF60=0,"",'Real Property'!AF60),"")</f>
        <v/>
      </c>
      <c r="F57" s="150" t="str">
        <f>IFERROR(IF('Real Property'!AH60=0,"",'Real Property'!AH60),"")</f>
        <v/>
      </c>
      <c r="G57" s="156" t="str">
        <f>IF('Real Property'!AI60=0,"",'Real Property'!AI60)</f>
        <v/>
      </c>
    </row>
    <row r="58" spans="1:7">
      <c r="A58" s="149" t="str">
        <f>IF('Real Property'!A61=0,"",'Real Property'!A61)</f>
        <v/>
      </c>
      <c r="B58" s="147" t="str">
        <f>IF('Real Property'!B61=0,"",'Real Property'!B61)</f>
        <v/>
      </c>
      <c r="C58" s="148" t="str">
        <f>IF('Real Property'!E61=0,"",'Real Property'!E61)</f>
        <v/>
      </c>
      <c r="D58" s="149" t="str">
        <f>IF('Real Property'!I61=0,"",'Real Property'!I61)</f>
        <v/>
      </c>
      <c r="E58" s="150" t="str">
        <f>IFERROR(IF('Real Property'!AF61=0,"",'Real Property'!AF61),"")</f>
        <v/>
      </c>
      <c r="F58" s="150" t="str">
        <f>IFERROR(IF('Real Property'!AH61=0,"",'Real Property'!AH61),"")</f>
        <v/>
      </c>
      <c r="G58" s="156" t="str">
        <f>IF('Real Property'!AI61=0,"",'Real Property'!AI61)</f>
        <v/>
      </c>
    </row>
    <row r="59" spans="1:7">
      <c r="A59" s="149" t="str">
        <f>IF('Real Property'!A62=0,"",'Real Property'!A62)</f>
        <v/>
      </c>
      <c r="B59" s="147" t="str">
        <f>IF('Real Property'!B62=0,"",'Real Property'!B62)</f>
        <v/>
      </c>
      <c r="C59" s="148" t="str">
        <f>IF('Real Property'!E62=0,"",'Real Property'!E62)</f>
        <v/>
      </c>
      <c r="D59" s="149" t="str">
        <f>IF('Real Property'!I62=0,"",'Real Property'!I62)</f>
        <v/>
      </c>
      <c r="E59" s="150" t="str">
        <f>IFERROR(IF('Real Property'!AF62=0,"",'Real Property'!AF62),"")</f>
        <v/>
      </c>
      <c r="F59" s="150" t="str">
        <f>IFERROR(IF('Real Property'!AH62=0,"",'Real Property'!AH62),"")</f>
        <v/>
      </c>
      <c r="G59" s="156" t="str">
        <f>IF('Real Property'!AI62=0,"",'Real Property'!AI62)</f>
        <v/>
      </c>
    </row>
    <row r="60" spans="1:7">
      <c r="A60" s="149" t="str">
        <f>IF('Real Property'!A63=0,"",'Real Property'!A63)</f>
        <v/>
      </c>
      <c r="B60" s="147" t="str">
        <f>IF('Real Property'!B63=0,"",'Real Property'!B63)</f>
        <v/>
      </c>
      <c r="C60" s="148" t="str">
        <f>IF('Real Property'!E63=0,"",'Real Property'!E63)</f>
        <v/>
      </c>
      <c r="D60" s="149" t="str">
        <f>IF('Real Property'!I63=0,"",'Real Property'!I63)</f>
        <v/>
      </c>
      <c r="E60" s="150" t="str">
        <f>IFERROR(IF('Real Property'!AF63=0,"",'Real Property'!AF63),"")</f>
        <v/>
      </c>
      <c r="F60" s="150" t="str">
        <f>IFERROR(IF('Real Property'!AH63=0,"",'Real Property'!AH63),"")</f>
        <v/>
      </c>
      <c r="G60" s="156" t="str">
        <f>IF('Real Property'!AI63=0,"",'Real Property'!AI63)</f>
        <v/>
      </c>
    </row>
    <row r="61" spans="1:7">
      <c r="A61" s="149" t="str">
        <f>IF('Real Property'!A64=0,"",'Real Property'!A64)</f>
        <v/>
      </c>
      <c r="B61" s="147" t="str">
        <f>IF('Real Property'!B64=0,"",'Real Property'!B64)</f>
        <v/>
      </c>
      <c r="C61" s="148" t="str">
        <f>IF('Real Property'!E64=0,"",'Real Property'!E64)</f>
        <v/>
      </c>
      <c r="D61" s="149" t="str">
        <f>IF('Real Property'!I64=0,"",'Real Property'!I64)</f>
        <v/>
      </c>
      <c r="E61" s="150" t="str">
        <f>IFERROR(IF('Real Property'!AF64=0,"",'Real Property'!AF64),"")</f>
        <v/>
      </c>
      <c r="F61" s="150" t="str">
        <f>IFERROR(IF('Real Property'!AH64=0,"",'Real Property'!AH64),"")</f>
        <v/>
      </c>
      <c r="G61" s="156" t="str">
        <f>IF('Real Property'!AI64=0,"",'Real Property'!AI64)</f>
        <v/>
      </c>
    </row>
    <row r="62" spans="1:7">
      <c r="A62" s="149" t="str">
        <f>IF('Real Property'!A65=0,"",'Real Property'!A65)</f>
        <v/>
      </c>
      <c r="B62" s="147" t="str">
        <f>IF('Real Property'!B65=0,"",'Real Property'!B65)</f>
        <v/>
      </c>
      <c r="C62" s="148" t="str">
        <f>IF('Real Property'!E65=0,"",'Real Property'!E65)</f>
        <v/>
      </c>
      <c r="D62" s="149" t="str">
        <f>IF('Real Property'!I65=0,"",'Real Property'!I65)</f>
        <v/>
      </c>
      <c r="E62" s="150" t="str">
        <f>IFERROR(IF('Real Property'!AF65=0,"",'Real Property'!AF65),"")</f>
        <v/>
      </c>
      <c r="F62" s="150" t="str">
        <f>IFERROR(IF('Real Property'!AH65=0,"",'Real Property'!AH65),"")</f>
        <v/>
      </c>
      <c r="G62" s="156" t="str">
        <f>IF('Real Property'!AI65=0,"",'Real Property'!AI65)</f>
        <v/>
      </c>
    </row>
    <row r="63" spans="1:7">
      <c r="A63" s="149" t="str">
        <f>IF('Real Property'!A66=0,"",'Real Property'!A66)</f>
        <v/>
      </c>
      <c r="B63" s="147" t="str">
        <f>IF('Real Property'!B66=0,"",'Real Property'!B66)</f>
        <v/>
      </c>
      <c r="C63" s="148" t="str">
        <f>IF('Real Property'!E66=0,"",'Real Property'!E66)</f>
        <v/>
      </c>
      <c r="D63" s="149" t="str">
        <f>IF('Real Property'!I66=0,"",'Real Property'!I66)</f>
        <v/>
      </c>
      <c r="E63" s="150" t="str">
        <f>IFERROR(IF('Real Property'!AF66=0,"",'Real Property'!AF66),"")</f>
        <v/>
      </c>
      <c r="F63" s="150" t="str">
        <f>IFERROR(IF('Real Property'!AH66=0,"",'Real Property'!AH66),"")</f>
        <v/>
      </c>
      <c r="G63" s="156" t="str">
        <f>IF('Real Property'!AI66=0,"",'Real Property'!AI66)</f>
        <v/>
      </c>
    </row>
    <row r="64" spans="1:7">
      <c r="A64" s="149" t="str">
        <f>IF('Real Property'!A67=0,"",'Real Property'!A67)</f>
        <v/>
      </c>
      <c r="B64" s="147" t="str">
        <f>IF('Real Property'!B67=0,"",'Real Property'!B67)</f>
        <v/>
      </c>
      <c r="C64" s="148" t="str">
        <f>IF('Real Property'!E67=0,"",'Real Property'!E67)</f>
        <v/>
      </c>
      <c r="D64" s="149" t="str">
        <f>IF('Real Property'!I67=0,"",'Real Property'!I67)</f>
        <v/>
      </c>
      <c r="E64" s="150" t="str">
        <f>IFERROR(IF('Real Property'!AF67=0,"",'Real Property'!AF67),"")</f>
        <v/>
      </c>
      <c r="F64" s="150" t="str">
        <f>IFERROR(IF('Real Property'!AH67=0,"",'Real Property'!AH67),"")</f>
        <v/>
      </c>
      <c r="G64" s="156" t="str">
        <f>IF('Real Property'!AI67=0,"",'Real Property'!AI67)</f>
        <v/>
      </c>
    </row>
    <row r="65" spans="1:7">
      <c r="A65" s="149" t="str">
        <f>IF('Real Property'!A68=0,"",'Real Property'!A68)</f>
        <v/>
      </c>
      <c r="B65" s="147" t="str">
        <f>IF('Real Property'!B68=0,"",'Real Property'!B68)</f>
        <v/>
      </c>
      <c r="C65" s="148" t="str">
        <f>IF('Real Property'!E68=0,"",'Real Property'!E68)</f>
        <v/>
      </c>
      <c r="D65" s="149" t="str">
        <f>IF('Real Property'!I68=0,"",'Real Property'!I68)</f>
        <v/>
      </c>
      <c r="E65" s="150" t="str">
        <f>IFERROR(IF('Real Property'!AF68=0,"",'Real Property'!AF68),"")</f>
        <v/>
      </c>
      <c r="F65" s="150" t="str">
        <f>IFERROR(IF('Real Property'!AH68=0,"",'Real Property'!AH68),"")</f>
        <v/>
      </c>
      <c r="G65" s="156" t="str">
        <f>IF('Real Property'!AI68=0,"",'Real Property'!AI68)</f>
        <v/>
      </c>
    </row>
    <row r="66" spans="1:7">
      <c r="A66" s="149" t="str">
        <f>IF('Real Property'!A69=0,"",'Real Property'!A69)</f>
        <v/>
      </c>
      <c r="B66" s="147" t="str">
        <f>IF('Real Property'!B69=0,"",'Real Property'!B69)</f>
        <v/>
      </c>
      <c r="C66" s="148" t="str">
        <f>IF('Real Property'!E69=0,"",'Real Property'!E69)</f>
        <v/>
      </c>
      <c r="D66" s="149" t="str">
        <f>IF('Real Property'!I69=0,"",'Real Property'!I69)</f>
        <v/>
      </c>
      <c r="E66" s="150" t="str">
        <f>IFERROR(IF('Real Property'!AF69=0,"",'Real Property'!AF69),"")</f>
        <v/>
      </c>
      <c r="F66" s="150" t="str">
        <f>IFERROR(IF('Real Property'!AH69=0,"",'Real Property'!AH69),"")</f>
        <v/>
      </c>
      <c r="G66" s="156" t="str">
        <f>IF('Real Property'!AI69=0,"",'Real Property'!AI69)</f>
        <v/>
      </c>
    </row>
    <row r="67" spans="1:7">
      <c r="A67" s="149" t="str">
        <f>IF('Real Property'!A70=0,"",'Real Property'!A70)</f>
        <v/>
      </c>
      <c r="B67" s="147" t="str">
        <f>IF('Real Property'!B70=0,"",'Real Property'!B70)</f>
        <v/>
      </c>
      <c r="C67" s="148" t="str">
        <f>IF('Real Property'!E70=0,"",'Real Property'!E70)</f>
        <v/>
      </c>
      <c r="D67" s="149" t="str">
        <f>IF('Real Property'!I70=0,"",'Real Property'!I70)</f>
        <v/>
      </c>
      <c r="E67" s="150" t="str">
        <f>IFERROR(IF('Real Property'!AF70=0,"",'Real Property'!AF70),"")</f>
        <v/>
      </c>
      <c r="F67" s="150" t="str">
        <f>IFERROR(IF('Real Property'!AH70=0,"",'Real Property'!AH70),"")</f>
        <v/>
      </c>
      <c r="G67" s="156" t="str">
        <f>IF('Real Property'!AI70=0,"",'Real Property'!AI70)</f>
        <v/>
      </c>
    </row>
    <row r="68" spans="1:7">
      <c r="A68" s="149" t="str">
        <f>IF('Real Property'!A71=0,"",'Real Property'!A71)</f>
        <v/>
      </c>
      <c r="B68" s="147" t="str">
        <f>IF('Real Property'!B71=0,"",'Real Property'!B71)</f>
        <v/>
      </c>
      <c r="C68" s="148" t="str">
        <f>IF('Real Property'!E71=0,"",'Real Property'!E71)</f>
        <v/>
      </c>
      <c r="D68" s="149" t="str">
        <f>IF('Real Property'!I71=0,"",'Real Property'!I71)</f>
        <v/>
      </c>
      <c r="E68" s="150" t="str">
        <f>IFERROR(IF('Real Property'!AF71=0,"",'Real Property'!AF71),"")</f>
        <v/>
      </c>
      <c r="F68" s="150" t="str">
        <f>IFERROR(IF('Real Property'!AH71=0,"",'Real Property'!AH71),"")</f>
        <v/>
      </c>
      <c r="G68" s="156" t="str">
        <f>IF('Real Property'!AI71=0,"",'Real Property'!AI71)</f>
        <v/>
      </c>
    </row>
    <row r="69" spans="1:7">
      <c r="A69" s="149" t="str">
        <f>IF('Real Property'!A72=0,"",'Real Property'!A72)</f>
        <v/>
      </c>
      <c r="B69" s="147" t="str">
        <f>IF('Real Property'!B72=0,"",'Real Property'!B72)</f>
        <v/>
      </c>
      <c r="C69" s="148" t="str">
        <f>IF('Real Property'!E72=0,"",'Real Property'!E72)</f>
        <v/>
      </c>
      <c r="D69" s="149" t="str">
        <f>IF('Real Property'!I72=0,"",'Real Property'!I72)</f>
        <v/>
      </c>
      <c r="E69" s="150" t="str">
        <f>IFERROR(IF('Real Property'!AF72=0,"",'Real Property'!AF72),"")</f>
        <v/>
      </c>
      <c r="F69" s="150" t="str">
        <f>IFERROR(IF('Real Property'!AH72=0,"",'Real Property'!AH72),"")</f>
        <v/>
      </c>
      <c r="G69" s="156" t="str">
        <f>IF('Real Property'!AI72=0,"",'Real Property'!AI72)</f>
        <v/>
      </c>
    </row>
    <row r="70" spans="1:7">
      <c r="A70" s="149" t="str">
        <f>IF('Real Property'!A73=0,"",'Real Property'!A73)</f>
        <v/>
      </c>
      <c r="B70" s="147" t="str">
        <f>IF('Real Property'!B73=0,"",'Real Property'!B73)</f>
        <v/>
      </c>
      <c r="C70" s="148" t="str">
        <f>IF('Real Property'!E73=0,"",'Real Property'!E73)</f>
        <v/>
      </c>
      <c r="D70" s="149" t="str">
        <f>IF('Real Property'!I73=0,"",'Real Property'!I73)</f>
        <v/>
      </c>
      <c r="E70" s="150" t="str">
        <f>IFERROR(IF('Real Property'!AF73=0,"",'Real Property'!AF73),"")</f>
        <v/>
      </c>
      <c r="F70" s="150" t="str">
        <f>IFERROR(IF('Real Property'!AH73=0,"",'Real Property'!AH73),"")</f>
        <v/>
      </c>
      <c r="G70" s="156" t="str">
        <f>IF('Real Property'!AI73=0,"",'Real Property'!AI73)</f>
        <v/>
      </c>
    </row>
    <row r="71" spans="1:7">
      <c r="A71" s="149" t="str">
        <f>IF('Real Property'!A74=0,"",'Real Property'!A74)</f>
        <v/>
      </c>
      <c r="B71" s="147" t="str">
        <f>IF('Real Property'!B74=0,"",'Real Property'!B74)</f>
        <v/>
      </c>
      <c r="C71" s="148" t="str">
        <f>IF('Real Property'!E74=0,"",'Real Property'!E74)</f>
        <v/>
      </c>
      <c r="D71" s="149" t="str">
        <f>IF('Real Property'!I74=0,"",'Real Property'!I74)</f>
        <v/>
      </c>
      <c r="E71" s="150" t="str">
        <f>IFERROR(IF('Real Property'!AF74=0,"",'Real Property'!AF74),"")</f>
        <v/>
      </c>
      <c r="F71" s="150" t="str">
        <f>IFERROR(IF('Real Property'!AH74=0,"",'Real Property'!AH74),"")</f>
        <v/>
      </c>
      <c r="G71" s="156" t="str">
        <f>IF('Real Property'!AI74=0,"",'Real Property'!AI74)</f>
        <v/>
      </c>
    </row>
    <row r="72" spans="1:7">
      <c r="A72" s="149" t="str">
        <f>IF('Real Property'!A75=0,"",'Real Property'!A75)</f>
        <v/>
      </c>
      <c r="B72" s="147" t="str">
        <f>IF('Real Property'!B75=0,"",'Real Property'!B75)</f>
        <v/>
      </c>
      <c r="C72" s="148" t="str">
        <f>IF('Real Property'!E75=0,"",'Real Property'!E75)</f>
        <v/>
      </c>
      <c r="D72" s="149" t="str">
        <f>IF('Real Property'!I75=0,"",'Real Property'!I75)</f>
        <v/>
      </c>
      <c r="E72" s="150" t="str">
        <f>IFERROR(IF('Real Property'!AF75=0,"",'Real Property'!AF75),"")</f>
        <v/>
      </c>
      <c r="F72" s="150" t="str">
        <f>IFERROR(IF('Real Property'!AH75=0,"",'Real Property'!AH75),"")</f>
        <v/>
      </c>
      <c r="G72" s="156" t="str">
        <f>IF('Real Property'!AI75=0,"",'Real Property'!AI75)</f>
        <v/>
      </c>
    </row>
    <row r="73" spans="1:7">
      <c r="A73" s="149" t="str">
        <f>IF('Real Property'!A76=0,"",'Real Property'!A76)</f>
        <v/>
      </c>
      <c r="B73" s="147" t="str">
        <f>IF('Real Property'!B76=0,"",'Real Property'!B76)</f>
        <v/>
      </c>
      <c r="C73" s="148" t="str">
        <f>IF('Real Property'!E76=0,"",'Real Property'!E76)</f>
        <v/>
      </c>
      <c r="D73" s="149" t="str">
        <f>IF('Real Property'!I76=0,"",'Real Property'!I76)</f>
        <v/>
      </c>
      <c r="E73" s="150" t="str">
        <f>IFERROR(IF('Real Property'!AF76=0,"",'Real Property'!AF76),"")</f>
        <v/>
      </c>
      <c r="F73" s="150" t="str">
        <f>IFERROR(IF('Real Property'!AH76=0,"",'Real Property'!AH76),"")</f>
        <v/>
      </c>
      <c r="G73" s="156" t="str">
        <f>IF('Real Property'!AI76=0,"",'Real Property'!AI76)</f>
        <v/>
      </c>
    </row>
    <row r="74" spans="1:7">
      <c r="A74" s="149" t="str">
        <f>IF('Real Property'!A77=0,"",'Real Property'!A77)</f>
        <v/>
      </c>
      <c r="B74" s="147" t="str">
        <f>IF('Real Property'!B77=0,"",'Real Property'!B77)</f>
        <v/>
      </c>
      <c r="C74" s="148" t="str">
        <f>IF('Real Property'!E77=0,"",'Real Property'!E77)</f>
        <v/>
      </c>
      <c r="D74" s="149" t="str">
        <f>IF('Real Property'!I77=0,"",'Real Property'!I77)</f>
        <v/>
      </c>
      <c r="E74" s="150" t="str">
        <f>IFERROR(IF('Real Property'!AF77=0,"",'Real Property'!AF77),"")</f>
        <v/>
      </c>
      <c r="F74" s="150" t="str">
        <f>IFERROR(IF('Real Property'!AH77=0,"",'Real Property'!AH77),"")</f>
        <v/>
      </c>
      <c r="G74" s="156" t="str">
        <f>IF('Real Property'!AI77=0,"",'Real Property'!AI77)</f>
        <v/>
      </c>
    </row>
    <row r="75" spans="1:7">
      <c r="A75" s="149" t="str">
        <f>IF('Real Property'!A78=0,"",'Real Property'!A78)</f>
        <v/>
      </c>
      <c r="B75" s="147" t="str">
        <f>IF('Real Property'!B78=0,"",'Real Property'!B78)</f>
        <v/>
      </c>
      <c r="C75" s="148" t="str">
        <f>IF('Real Property'!E78=0,"",'Real Property'!E78)</f>
        <v/>
      </c>
      <c r="D75" s="149" t="str">
        <f>IF('Real Property'!I78=0,"",'Real Property'!I78)</f>
        <v/>
      </c>
      <c r="E75" s="150" t="str">
        <f>IFERROR(IF('Real Property'!AF78=0,"",'Real Property'!AF78),"")</f>
        <v/>
      </c>
      <c r="F75" s="150" t="str">
        <f>IFERROR(IF('Real Property'!AH78=0,"",'Real Property'!AH78),"")</f>
        <v/>
      </c>
      <c r="G75" s="156" t="str">
        <f>IF('Real Property'!AI78=0,"",'Real Property'!AI78)</f>
        <v/>
      </c>
    </row>
    <row r="76" spans="1:7">
      <c r="A76" s="149" t="str">
        <f>IF('Real Property'!A79=0,"",'Real Property'!A79)</f>
        <v/>
      </c>
      <c r="B76" s="147" t="str">
        <f>IF('Real Property'!B79=0,"",'Real Property'!B79)</f>
        <v/>
      </c>
      <c r="C76" s="148" t="str">
        <f>IF('Real Property'!E79=0,"",'Real Property'!E79)</f>
        <v/>
      </c>
      <c r="D76" s="149" t="str">
        <f>IF('Real Property'!I79=0,"",'Real Property'!I79)</f>
        <v/>
      </c>
      <c r="E76" s="150" t="str">
        <f>IFERROR(IF('Real Property'!AF79=0,"",'Real Property'!AF79),"")</f>
        <v/>
      </c>
      <c r="F76" s="150" t="str">
        <f>IFERROR(IF('Real Property'!AH79=0,"",'Real Property'!AH79),"")</f>
        <v/>
      </c>
      <c r="G76" s="156" t="str">
        <f>IF('Real Property'!AI79=0,"",'Real Property'!AI79)</f>
        <v/>
      </c>
    </row>
    <row r="77" spans="1:7">
      <c r="A77" s="149" t="str">
        <f>IF('Real Property'!A80=0,"",'Real Property'!A80)</f>
        <v/>
      </c>
      <c r="B77" s="147" t="str">
        <f>IF('Real Property'!B80=0,"",'Real Property'!B80)</f>
        <v/>
      </c>
      <c r="C77" s="148" t="str">
        <f>IF('Real Property'!E80=0,"",'Real Property'!E80)</f>
        <v/>
      </c>
      <c r="D77" s="149" t="str">
        <f>IF('Real Property'!I80=0,"",'Real Property'!I80)</f>
        <v/>
      </c>
      <c r="E77" s="150" t="str">
        <f>IFERROR(IF('Real Property'!AF80=0,"",'Real Property'!AF80),"")</f>
        <v/>
      </c>
      <c r="F77" s="150" t="str">
        <f>IFERROR(IF('Real Property'!AH80=0,"",'Real Property'!AH80),"")</f>
        <v/>
      </c>
      <c r="G77" s="156" t="str">
        <f>IF('Real Property'!AI80=0,"",'Real Property'!AI80)</f>
        <v/>
      </c>
    </row>
    <row r="78" spans="1:7">
      <c r="A78" s="149" t="str">
        <f>IF('Real Property'!A81=0,"",'Real Property'!A81)</f>
        <v/>
      </c>
      <c r="B78" s="147" t="str">
        <f>IF('Real Property'!B81=0,"",'Real Property'!B81)</f>
        <v/>
      </c>
      <c r="C78" s="148" t="str">
        <f>IF('Real Property'!E81=0,"",'Real Property'!E81)</f>
        <v/>
      </c>
      <c r="D78" s="149" t="str">
        <f>IF('Real Property'!I81=0,"",'Real Property'!I81)</f>
        <v/>
      </c>
      <c r="E78" s="150" t="str">
        <f>IFERROR(IF('Real Property'!AF81=0,"",'Real Property'!AF81),"")</f>
        <v/>
      </c>
      <c r="F78" s="150" t="str">
        <f>IFERROR(IF('Real Property'!AH81=0,"",'Real Property'!AH81),"")</f>
        <v/>
      </c>
      <c r="G78" s="156" t="str">
        <f>IF('Real Property'!AI81=0,"",'Real Property'!AI81)</f>
        <v/>
      </c>
    </row>
    <row r="79" spans="1:7">
      <c r="A79" s="149" t="str">
        <f>IF('Real Property'!A82=0,"",'Real Property'!A82)</f>
        <v/>
      </c>
      <c r="B79" s="147" t="str">
        <f>IF('Real Property'!B82=0,"",'Real Property'!B82)</f>
        <v/>
      </c>
      <c r="C79" s="148" t="str">
        <f>IF('Real Property'!E82=0,"",'Real Property'!E82)</f>
        <v/>
      </c>
      <c r="D79" s="149" t="str">
        <f>IF('Real Property'!I82=0,"",'Real Property'!I82)</f>
        <v/>
      </c>
      <c r="E79" s="150" t="str">
        <f>IFERROR(IF('Real Property'!AF82=0,"",'Real Property'!AF82),"")</f>
        <v/>
      </c>
      <c r="F79" s="150" t="str">
        <f>IFERROR(IF('Real Property'!AH82=0,"",'Real Property'!AH82),"")</f>
        <v/>
      </c>
      <c r="G79" s="156" t="str">
        <f>IF('Real Property'!AI82=0,"",'Real Property'!AI82)</f>
        <v/>
      </c>
    </row>
    <row r="80" spans="1:7">
      <c r="A80" s="149" t="str">
        <f>IF('Real Property'!A83=0,"",'Real Property'!A83)</f>
        <v/>
      </c>
      <c r="B80" s="147" t="str">
        <f>IF('Real Property'!B83=0,"",'Real Property'!B83)</f>
        <v/>
      </c>
      <c r="C80" s="148" t="str">
        <f>IF('Real Property'!E83=0,"",'Real Property'!E83)</f>
        <v/>
      </c>
      <c r="D80" s="149" t="str">
        <f>IF('Real Property'!I83=0,"",'Real Property'!I83)</f>
        <v/>
      </c>
      <c r="E80" s="150" t="str">
        <f>IFERROR(IF('Real Property'!AF83=0,"",'Real Property'!AF83),"")</f>
        <v/>
      </c>
      <c r="F80" s="150" t="str">
        <f>IFERROR(IF('Real Property'!AH83=0,"",'Real Property'!AH83),"")</f>
        <v/>
      </c>
      <c r="G80" s="156" t="str">
        <f>IF('Real Property'!AI83=0,"",'Real Property'!AI83)</f>
        <v/>
      </c>
    </row>
    <row r="81" spans="1:7">
      <c r="A81" s="149" t="str">
        <f>IF('Real Property'!A84=0,"",'Real Property'!A84)</f>
        <v/>
      </c>
      <c r="B81" s="147" t="str">
        <f>IF('Real Property'!B84=0,"",'Real Property'!B84)</f>
        <v/>
      </c>
      <c r="C81" s="148" t="str">
        <f>IF('Real Property'!E84=0,"",'Real Property'!E84)</f>
        <v/>
      </c>
      <c r="D81" s="149" t="str">
        <f>IF('Real Property'!I84=0,"",'Real Property'!I84)</f>
        <v/>
      </c>
      <c r="E81" s="150" t="str">
        <f>IFERROR(IF('Real Property'!AF84=0,"",'Real Property'!AF84),"")</f>
        <v/>
      </c>
      <c r="F81" s="150" t="str">
        <f>IFERROR(IF('Real Property'!AH84=0,"",'Real Property'!AH84),"")</f>
        <v/>
      </c>
      <c r="G81" s="156" t="str">
        <f>IF('Real Property'!AI84=0,"",'Real Property'!AI84)</f>
        <v/>
      </c>
    </row>
    <row r="82" spans="1:7">
      <c r="A82" s="149" t="str">
        <f>IF('Real Property'!A85=0,"",'Real Property'!A85)</f>
        <v/>
      </c>
      <c r="B82" s="147" t="str">
        <f>IF('Real Property'!B85=0,"",'Real Property'!B85)</f>
        <v/>
      </c>
      <c r="C82" s="148" t="str">
        <f>IF('Real Property'!E85=0,"",'Real Property'!E85)</f>
        <v/>
      </c>
      <c r="D82" s="149" t="str">
        <f>IF('Real Property'!I85=0,"",'Real Property'!I85)</f>
        <v/>
      </c>
      <c r="E82" s="150" t="str">
        <f>IFERROR(IF('Real Property'!AF85=0,"",'Real Property'!AF85),"")</f>
        <v/>
      </c>
      <c r="F82" s="150" t="str">
        <f>IFERROR(IF('Real Property'!AH85=0,"",'Real Property'!AH85),"")</f>
        <v/>
      </c>
      <c r="G82" s="156" t="str">
        <f>IF('Real Property'!AI85=0,"",'Real Property'!AI85)</f>
        <v/>
      </c>
    </row>
    <row r="83" spans="1:7">
      <c r="A83" s="149" t="str">
        <f>IF('Real Property'!A86=0,"",'Real Property'!A86)</f>
        <v/>
      </c>
      <c r="B83" s="147" t="str">
        <f>IF('Real Property'!B86=0,"",'Real Property'!B86)</f>
        <v/>
      </c>
      <c r="C83" s="148" t="str">
        <f>IF('Real Property'!E86=0,"",'Real Property'!E86)</f>
        <v/>
      </c>
      <c r="D83" s="149" t="str">
        <f>IF('Real Property'!I86=0,"",'Real Property'!I86)</f>
        <v/>
      </c>
      <c r="E83" s="150" t="str">
        <f>IFERROR(IF('Real Property'!AF86=0,"",'Real Property'!AF86),"")</f>
        <v/>
      </c>
      <c r="F83" s="150" t="str">
        <f>IFERROR(IF('Real Property'!AH86=0,"",'Real Property'!AH86),"")</f>
        <v/>
      </c>
      <c r="G83" s="156" t="str">
        <f>IF('Real Property'!AI86=0,"",'Real Property'!AI86)</f>
        <v/>
      </c>
    </row>
    <row r="84" spans="1:7">
      <c r="A84" s="149" t="str">
        <f>IF('Real Property'!A87=0,"",'Real Property'!A87)</f>
        <v/>
      </c>
      <c r="B84" s="147" t="str">
        <f>IF('Real Property'!B87=0,"",'Real Property'!B87)</f>
        <v/>
      </c>
      <c r="C84" s="148" t="str">
        <f>IF('Real Property'!E87=0,"",'Real Property'!E87)</f>
        <v/>
      </c>
      <c r="D84" s="149" t="str">
        <f>IF('Real Property'!I87=0,"",'Real Property'!I87)</f>
        <v/>
      </c>
      <c r="E84" s="150" t="str">
        <f>IFERROR(IF('Real Property'!AF87=0,"",'Real Property'!AF87),"")</f>
        <v/>
      </c>
      <c r="F84" s="150" t="str">
        <f>IFERROR(IF('Real Property'!AH87=0,"",'Real Property'!AH87),"")</f>
        <v/>
      </c>
      <c r="G84" s="156" t="str">
        <f>IF('Real Property'!AI87=0,"",'Real Property'!AI87)</f>
        <v/>
      </c>
    </row>
    <row r="85" spans="1:7">
      <c r="A85" s="149" t="str">
        <f>IF('Real Property'!A88=0,"",'Real Property'!A88)</f>
        <v/>
      </c>
      <c r="B85" s="147" t="str">
        <f>IF('Real Property'!B88=0,"",'Real Property'!B88)</f>
        <v/>
      </c>
      <c r="C85" s="148" t="str">
        <f>IF('Real Property'!E88=0,"",'Real Property'!E88)</f>
        <v/>
      </c>
      <c r="D85" s="149" t="str">
        <f>IF('Real Property'!I88=0,"",'Real Property'!I88)</f>
        <v/>
      </c>
      <c r="E85" s="150" t="str">
        <f>IFERROR(IF('Real Property'!AF88=0,"",'Real Property'!AF88),"")</f>
        <v/>
      </c>
      <c r="F85" s="150" t="str">
        <f>IFERROR(IF('Real Property'!AH88=0,"",'Real Property'!AH88),"")</f>
        <v/>
      </c>
      <c r="G85" s="156" t="str">
        <f>IF('Real Property'!AI88=0,"",'Real Property'!AI88)</f>
        <v/>
      </c>
    </row>
    <row r="86" spans="1:7">
      <c r="A86" s="149" t="str">
        <f>IF('Real Property'!A89=0,"",'Real Property'!A89)</f>
        <v/>
      </c>
      <c r="B86" s="147" t="str">
        <f>IF('Real Property'!B89=0,"",'Real Property'!B89)</f>
        <v/>
      </c>
      <c r="C86" s="148" t="str">
        <f>IF('Real Property'!E89=0,"",'Real Property'!E89)</f>
        <v/>
      </c>
      <c r="D86" s="149" t="str">
        <f>IF('Real Property'!I89=0,"",'Real Property'!I89)</f>
        <v/>
      </c>
      <c r="E86" s="150" t="str">
        <f>IFERROR(IF('Real Property'!AF89=0,"",'Real Property'!AF89),"")</f>
        <v/>
      </c>
      <c r="F86" s="150" t="str">
        <f>IFERROR(IF('Real Property'!AH89=0,"",'Real Property'!AH89),"")</f>
        <v/>
      </c>
      <c r="G86" s="156" t="str">
        <f>IF('Real Property'!AI89=0,"",'Real Property'!AI89)</f>
        <v/>
      </c>
    </row>
    <row r="87" spans="1:7">
      <c r="A87" s="149" t="str">
        <f>IF('Real Property'!A90=0,"",'Real Property'!A90)</f>
        <v/>
      </c>
      <c r="B87" s="147" t="str">
        <f>IF('Real Property'!B90=0,"",'Real Property'!B90)</f>
        <v/>
      </c>
      <c r="C87" s="148" t="str">
        <f>IF('Real Property'!E90=0,"",'Real Property'!E90)</f>
        <v/>
      </c>
      <c r="D87" s="149" t="str">
        <f>IF('Real Property'!I90=0,"",'Real Property'!I90)</f>
        <v/>
      </c>
      <c r="E87" s="150" t="str">
        <f>IFERROR(IF('Real Property'!AF90=0,"",'Real Property'!AF90),"")</f>
        <v/>
      </c>
      <c r="F87" s="150" t="str">
        <f>IFERROR(IF('Real Property'!AH90=0,"",'Real Property'!AH90),"")</f>
        <v/>
      </c>
      <c r="G87" s="156" t="str">
        <f>IF('Real Property'!AI90=0,"",'Real Property'!AI90)</f>
        <v/>
      </c>
    </row>
    <row r="88" spans="1:7">
      <c r="A88" s="149" t="str">
        <f>IF('Real Property'!A91=0,"",'Real Property'!A91)</f>
        <v/>
      </c>
      <c r="B88" s="147" t="str">
        <f>IF('Real Property'!B91=0,"",'Real Property'!B91)</f>
        <v/>
      </c>
      <c r="C88" s="148" t="str">
        <f>IF('Real Property'!E91=0,"",'Real Property'!E91)</f>
        <v/>
      </c>
      <c r="D88" s="149" t="str">
        <f>IF('Real Property'!I91=0,"",'Real Property'!I91)</f>
        <v/>
      </c>
      <c r="E88" s="150" t="str">
        <f>IFERROR(IF('Real Property'!AF91=0,"",'Real Property'!AF91),"")</f>
        <v/>
      </c>
      <c r="F88" s="150" t="str">
        <f>IFERROR(IF('Real Property'!AH91=0,"",'Real Property'!AH91),"")</f>
        <v/>
      </c>
      <c r="G88" s="156" t="str">
        <f>IF('Real Property'!AI91=0,"",'Real Property'!AI91)</f>
        <v/>
      </c>
    </row>
    <row r="89" spans="1:7">
      <c r="A89" s="149" t="str">
        <f>IF('Real Property'!A92=0,"",'Real Property'!A92)</f>
        <v/>
      </c>
      <c r="B89" s="147" t="str">
        <f>IF('Real Property'!B92=0,"",'Real Property'!B92)</f>
        <v/>
      </c>
      <c r="C89" s="148" t="str">
        <f>IF('Real Property'!E92=0,"",'Real Property'!E92)</f>
        <v/>
      </c>
      <c r="D89" s="149" t="str">
        <f>IF('Real Property'!I92=0,"",'Real Property'!I92)</f>
        <v/>
      </c>
      <c r="E89" s="150" t="str">
        <f>IFERROR(IF('Real Property'!AF92=0,"",'Real Property'!AF92),"")</f>
        <v/>
      </c>
      <c r="F89" s="150" t="str">
        <f>IFERROR(IF('Real Property'!AH92=0,"",'Real Property'!AH92),"")</f>
        <v/>
      </c>
      <c r="G89" s="156" t="str">
        <f>IF('Real Property'!AI92=0,"",'Real Property'!AI92)</f>
        <v/>
      </c>
    </row>
    <row r="90" spans="1:7">
      <c r="A90" s="149" t="str">
        <f>IF('Real Property'!A93=0,"",'Real Property'!A93)</f>
        <v/>
      </c>
      <c r="B90" s="147" t="str">
        <f>IF('Real Property'!B93=0,"",'Real Property'!B93)</f>
        <v/>
      </c>
      <c r="C90" s="148" t="str">
        <f>IF('Real Property'!E93=0,"",'Real Property'!E93)</f>
        <v/>
      </c>
      <c r="D90" s="149" t="str">
        <f>IF('Real Property'!I93=0,"",'Real Property'!I93)</f>
        <v/>
      </c>
      <c r="E90" s="150" t="str">
        <f>IFERROR(IF('Real Property'!AF93=0,"",'Real Property'!AF93),"")</f>
        <v/>
      </c>
      <c r="F90" s="150" t="str">
        <f>IFERROR(IF('Real Property'!AH93=0,"",'Real Property'!AH93),"")</f>
        <v/>
      </c>
      <c r="G90" s="156" t="str">
        <f>IF('Real Property'!AI93=0,"",'Real Property'!AI93)</f>
        <v/>
      </c>
    </row>
    <row r="91" spans="1:7">
      <c r="A91" s="149" t="str">
        <f>IF('Real Property'!A94=0,"",'Real Property'!A94)</f>
        <v/>
      </c>
      <c r="B91" s="147" t="str">
        <f>IF('Real Property'!B94=0,"",'Real Property'!B94)</f>
        <v/>
      </c>
      <c r="C91" s="148" t="str">
        <f>IF('Real Property'!E94=0,"",'Real Property'!E94)</f>
        <v/>
      </c>
      <c r="D91" s="149" t="str">
        <f>IF('Real Property'!I94=0,"",'Real Property'!I94)</f>
        <v/>
      </c>
      <c r="E91" s="150" t="str">
        <f>IFERROR(IF('Real Property'!AF94=0,"",'Real Property'!AF94),"")</f>
        <v/>
      </c>
      <c r="F91" s="150" t="str">
        <f>IFERROR(IF('Real Property'!AH94=0,"",'Real Property'!AH94),"")</f>
        <v/>
      </c>
      <c r="G91" s="156" t="str">
        <f>IF('Real Property'!AI94=0,"",'Real Property'!AI94)</f>
        <v/>
      </c>
    </row>
    <row r="92" spans="1:7">
      <c r="A92" s="149" t="str">
        <f>IF('Real Property'!A95=0,"",'Real Property'!A95)</f>
        <v/>
      </c>
      <c r="B92" s="147" t="str">
        <f>IF('Real Property'!B95=0,"",'Real Property'!B95)</f>
        <v/>
      </c>
      <c r="C92" s="148" t="str">
        <f>IF('Real Property'!E95=0,"",'Real Property'!E95)</f>
        <v/>
      </c>
      <c r="D92" s="149" t="str">
        <f>IF('Real Property'!I95=0,"",'Real Property'!I95)</f>
        <v/>
      </c>
      <c r="E92" s="150" t="str">
        <f>IFERROR(IF('Real Property'!AF95=0,"",'Real Property'!AF95),"")</f>
        <v/>
      </c>
      <c r="F92" s="150" t="str">
        <f>IFERROR(IF('Real Property'!AH95=0,"",'Real Property'!AH95),"")</f>
        <v/>
      </c>
      <c r="G92" s="156" t="str">
        <f>IF('Real Property'!AI95=0,"",'Real Property'!AI95)</f>
        <v/>
      </c>
    </row>
    <row r="93" spans="1:7">
      <c r="A93" s="149" t="str">
        <f>IF('Real Property'!A96=0,"",'Real Property'!A96)</f>
        <v/>
      </c>
      <c r="B93" s="147" t="str">
        <f>IF('Real Property'!B96=0,"",'Real Property'!B96)</f>
        <v/>
      </c>
      <c r="C93" s="148" t="str">
        <f>IF('Real Property'!E96=0,"",'Real Property'!E96)</f>
        <v/>
      </c>
      <c r="D93" s="149" t="str">
        <f>IF('Real Property'!I96=0,"",'Real Property'!I96)</f>
        <v/>
      </c>
      <c r="E93" s="150" t="str">
        <f>IFERROR(IF('Real Property'!AF96=0,"",'Real Property'!AF96),"")</f>
        <v/>
      </c>
      <c r="F93" s="150" t="str">
        <f>IFERROR(IF('Real Property'!AH96=0,"",'Real Property'!AH96),"")</f>
        <v/>
      </c>
      <c r="G93" s="156" t="str">
        <f>IF('Real Property'!AI96=0,"",'Real Property'!AI96)</f>
        <v/>
      </c>
    </row>
    <row r="94" spans="1:7">
      <c r="A94" s="149" t="str">
        <f>IF('Real Property'!A97=0,"",'Real Property'!A97)</f>
        <v/>
      </c>
      <c r="B94" s="147" t="str">
        <f>IF('Real Property'!B97=0,"",'Real Property'!B97)</f>
        <v/>
      </c>
      <c r="C94" s="148" t="str">
        <f>IF('Real Property'!E97=0,"",'Real Property'!E97)</f>
        <v/>
      </c>
      <c r="D94" s="149" t="str">
        <f>IF('Real Property'!I97=0,"",'Real Property'!I97)</f>
        <v/>
      </c>
      <c r="E94" s="150" t="str">
        <f>IFERROR(IF('Real Property'!AF97=0,"",'Real Property'!AF97),"")</f>
        <v/>
      </c>
      <c r="F94" s="150" t="str">
        <f>IFERROR(IF('Real Property'!AH97=0,"",'Real Property'!AH97),"")</f>
        <v/>
      </c>
      <c r="G94" s="156" t="str">
        <f>IF('Real Property'!AI97=0,"",'Real Property'!AI97)</f>
        <v/>
      </c>
    </row>
    <row r="95" spans="1:7">
      <c r="A95" s="149" t="str">
        <f>IF('Real Property'!A98=0,"",'Real Property'!A98)</f>
        <v/>
      </c>
      <c r="B95" s="147" t="str">
        <f>IF('Real Property'!B98=0,"",'Real Property'!B98)</f>
        <v/>
      </c>
      <c r="C95" s="148" t="str">
        <f>IF('Real Property'!E98=0,"",'Real Property'!E98)</f>
        <v/>
      </c>
      <c r="D95" s="149" t="str">
        <f>IF('Real Property'!I98=0,"",'Real Property'!I98)</f>
        <v/>
      </c>
      <c r="E95" s="150" t="str">
        <f>IFERROR(IF('Real Property'!AF98=0,"",'Real Property'!AF98),"")</f>
        <v/>
      </c>
      <c r="F95" s="150" t="str">
        <f>IFERROR(IF('Real Property'!AH98=0,"",'Real Property'!AH98),"")</f>
        <v/>
      </c>
      <c r="G95" s="156" t="str">
        <f>IF('Real Property'!AI98=0,"",'Real Property'!AI98)</f>
        <v/>
      </c>
    </row>
    <row r="96" spans="1:7">
      <c r="A96" s="149" t="str">
        <f>IF('Real Property'!A99=0,"",'Real Property'!A99)</f>
        <v/>
      </c>
      <c r="B96" s="147" t="str">
        <f>IF('Real Property'!B99=0,"",'Real Property'!B99)</f>
        <v/>
      </c>
      <c r="C96" s="148" t="str">
        <f>IF('Real Property'!E99=0,"",'Real Property'!E99)</f>
        <v/>
      </c>
      <c r="D96" s="149" t="str">
        <f>IF('Real Property'!I99=0,"",'Real Property'!I99)</f>
        <v/>
      </c>
      <c r="E96" s="150" t="str">
        <f>IFERROR(IF('Real Property'!AF99=0,"",'Real Property'!AF99),"")</f>
        <v/>
      </c>
      <c r="F96" s="150" t="str">
        <f>IFERROR(IF('Real Property'!AH99=0,"",'Real Property'!AH99),"")</f>
        <v/>
      </c>
      <c r="G96" s="156" t="str">
        <f>IF('Real Property'!AI99=0,"",'Real Property'!AI99)</f>
        <v/>
      </c>
    </row>
    <row r="97" spans="1:7">
      <c r="A97" s="149" t="str">
        <f>IF('Real Property'!A100=0,"",'Real Property'!A100)</f>
        <v/>
      </c>
      <c r="B97" s="147" t="str">
        <f>IF('Real Property'!B100=0,"",'Real Property'!B100)</f>
        <v/>
      </c>
      <c r="C97" s="148" t="str">
        <f>IF('Real Property'!E100=0,"",'Real Property'!E100)</f>
        <v/>
      </c>
      <c r="D97" s="149" t="str">
        <f>IF('Real Property'!I100=0,"",'Real Property'!I100)</f>
        <v/>
      </c>
      <c r="E97" s="150" t="str">
        <f>IFERROR(IF('Real Property'!AF100=0,"",'Real Property'!AF100),"")</f>
        <v/>
      </c>
      <c r="F97" s="150" t="str">
        <f>IFERROR(IF('Real Property'!AH100=0,"",'Real Property'!AH100),"")</f>
        <v/>
      </c>
      <c r="G97" s="156" t="str">
        <f>IF('Real Property'!AI100=0,"",'Real Property'!AI100)</f>
        <v/>
      </c>
    </row>
    <row r="98" spans="1:7">
      <c r="A98" s="149" t="str">
        <f>IF('Real Property'!A101=0,"",'Real Property'!A101)</f>
        <v/>
      </c>
      <c r="B98" s="147" t="str">
        <f>IF('Real Property'!B101=0,"",'Real Property'!B101)</f>
        <v/>
      </c>
      <c r="C98" s="148" t="str">
        <f>IF('Real Property'!E101=0,"",'Real Property'!E101)</f>
        <v/>
      </c>
      <c r="D98" s="149" t="str">
        <f>IF('Real Property'!I101=0,"",'Real Property'!I101)</f>
        <v/>
      </c>
      <c r="E98" s="150" t="str">
        <f>IFERROR(IF('Real Property'!AF101=0,"",'Real Property'!AF101),"")</f>
        <v/>
      </c>
      <c r="F98" s="150" t="str">
        <f>IFERROR(IF('Real Property'!AH101=0,"",'Real Property'!AH101),"")</f>
        <v/>
      </c>
      <c r="G98" s="156" t="str">
        <f>IF('Real Property'!AI101=0,"",'Real Property'!AI101)</f>
        <v/>
      </c>
    </row>
    <row r="99" spans="1:7">
      <c r="A99" s="149" t="str">
        <f>IF('Real Property'!A102=0,"",'Real Property'!A102)</f>
        <v/>
      </c>
      <c r="B99" s="147" t="str">
        <f>IF('Real Property'!B102=0,"",'Real Property'!B102)</f>
        <v/>
      </c>
      <c r="C99" s="148" t="str">
        <f>IF('Real Property'!E102=0,"",'Real Property'!E102)</f>
        <v/>
      </c>
      <c r="D99" s="149" t="str">
        <f>IF('Real Property'!I102=0,"",'Real Property'!I102)</f>
        <v/>
      </c>
      <c r="E99" s="150" t="str">
        <f>IFERROR(IF('Real Property'!AF102=0,"",'Real Property'!AF102),"")</f>
        <v/>
      </c>
      <c r="F99" s="150" t="str">
        <f>IFERROR(IF('Real Property'!AH102=0,"",'Real Property'!AH102),"")</f>
        <v/>
      </c>
      <c r="G99" s="156" t="str">
        <f>IF('Real Property'!AI102=0,"",'Real Property'!AI102)</f>
        <v/>
      </c>
    </row>
    <row r="100" spans="1:7">
      <c r="A100" s="149" t="str">
        <f>IF('Real Property'!A103=0,"",'Real Property'!A103)</f>
        <v/>
      </c>
      <c r="B100" s="147" t="str">
        <f>IF('Real Property'!B103=0,"",'Real Property'!B103)</f>
        <v/>
      </c>
      <c r="C100" s="148" t="str">
        <f>IF('Real Property'!E103=0,"",'Real Property'!E103)</f>
        <v/>
      </c>
      <c r="D100" s="149" t="str">
        <f>IF('Real Property'!I103=0,"",'Real Property'!I103)</f>
        <v/>
      </c>
      <c r="E100" s="150" t="str">
        <f>IFERROR(IF('Real Property'!AF103=0,"",'Real Property'!AF103),"")</f>
        <v/>
      </c>
      <c r="F100" s="150" t="str">
        <f>IFERROR(IF('Real Property'!AH103=0,"",'Real Property'!AH103),"")</f>
        <v/>
      </c>
      <c r="G100" s="156" t="str">
        <f>IF('Real Property'!AI103=0,"",'Real Property'!AI103)</f>
        <v/>
      </c>
    </row>
    <row r="101" spans="1:7">
      <c r="A101" s="149" t="str">
        <f>IF('Real Property'!A104=0,"",'Real Property'!A104)</f>
        <v/>
      </c>
      <c r="B101" s="147" t="str">
        <f>IF('Real Property'!B104=0,"",'Real Property'!B104)</f>
        <v/>
      </c>
      <c r="C101" s="148" t="str">
        <f>IF('Real Property'!E104=0,"",'Real Property'!E104)</f>
        <v/>
      </c>
      <c r="D101" s="149" t="str">
        <f>IF('Real Property'!I104=0,"",'Real Property'!I104)</f>
        <v/>
      </c>
      <c r="E101" s="150" t="str">
        <f>IFERROR(IF('Real Property'!AF104=0,"",'Real Property'!AF104),"")</f>
        <v/>
      </c>
      <c r="F101" s="150" t="str">
        <f>IFERROR(IF('Real Property'!AH104=0,"",'Real Property'!AH104),"")</f>
        <v/>
      </c>
      <c r="G101" s="156" t="str">
        <f>IF('Real Property'!AI104=0,"",'Real Property'!AI104)</f>
        <v/>
      </c>
    </row>
    <row r="102" spans="1:7">
      <c r="A102" s="149" t="str">
        <f>IF('Real Property'!A105=0,"",'Real Property'!A105)</f>
        <v/>
      </c>
      <c r="B102" s="147" t="str">
        <f>IF('Real Property'!B105=0,"",'Real Property'!B105)</f>
        <v/>
      </c>
      <c r="C102" s="148" t="str">
        <f>IF('Real Property'!E105=0,"",'Real Property'!E105)</f>
        <v/>
      </c>
      <c r="D102" s="149" t="str">
        <f>IF('Real Property'!I105=0,"",'Real Property'!I105)</f>
        <v/>
      </c>
      <c r="E102" s="150" t="str">
        <f>IFERROR(IF('Real Property'!AF105=0,"",'Real Property'!AF105),"")</f>
        <v/>
      </c>
      <c r="F102" s="150" t="str">
        <f>IFERROR(IF('Real Property'!AH105=0,"",'Real Property'!AH105),"")</f>
        <v/>
      </c>
      <c r="G102" s="156" t="str">
        <f>IF('Real Property'!AI105=0,"",'Real Property'!AI105)</f>
        <v/>
      </c>
    </row>
    <row r="103" spans="1:7">
      <c r="A103" s="149" t="str">
        <f>IF('Real Property'!A106=0,"",'Real Property'!A106)</f>
        <v/>
      </c>
      <c r="B103" s="147" t="str">
        <f>IF('Real Property'!B106=0,"",'Real Property'!B106)</f>
        <v/>
      </c>
      <c r="C103" s="148" t="str">
        <f>IF('Real Property'!E106=0,"",'Real Property'!E106)</f>
        <v/>
      </c>
      <c r="D103" s="149" t="str">
        <f>IF('Real Property'!I106=0,"",'Real Property'!I106)</f>
        <v/>
      </c>
      <c r="E103" s="150" t="str">
        <f>IFERROR(IF('Real Property'!AF106=0,"",'Real Property'!AF106),"")</f>
        <v/>
      </c>
      <c r="F103" s="150" t="str">
        <f>IFERROR(IF('Real Property'!AH106=0,"",'Real Property'!AH106),"")</f>
        <v/>
      </c>
      <c r="G103" s="156" t="str">
        <f>IF('Real Property'!AI106=0,"",'Real Property'!AI106)</f>
        <v/>
      </c>
    </row>
    <row r="104" spans="1:7">
      <c r="A104" s="149" t="str">
        <f>IF('Real Property'!A107=0,"",'Real Property'!A107)</f>
        <v/>
      </c>
      <c r="B104" s="147" t="str">
        <f>IF('Real Property'!B107=0,"",'Real Property'!B107)</f>
        <v/>
      </c>
      <c r="C104" s="148" t="str">
        <f>IF('Real Property'!E107=0,"",'Real Property'!E107)</f>
        <v/>
      </c>
      <c r="D104" s="149" t="str">
        <f>IF('Real Property'!I107=0,"",'Real Property'!I107)</f>
        <v/>
      </c>
      <c r="E104" s="150" t="str">
        <f>IFERROR(IF('Real Property'!AF107=0,"",'Real Property'!AF107),"")</f>
        <v/>
      </c>
      <c r="F104" s="150" t="str">
        <f>IFERROR(IF('Real Property'!AH107=0,"",'Real Property'!AH107),"")</f>
        <v/>
      </c>
      <c r="G104" s="156" t="str">
        <f>IF('Real Property'!AI107=0,"",'Real Property'!AI107)</f>
        <v/>
      </c>
    </row>
    <row r="105" spans="1:7">
      <c r="A105" s="149" t="str">
        <f>IF('Real Property'!A108=0,"",'Real Property'!A108)</f>
        <v/>
      </c>
      <c r="B105" s="147" t="str">
        <f>IF('Real Property'!B108=0,"",'Real Property'!B108)</f>
        <v/>
      </c>
      <c r="C105" s="148" t="str">
        <f>IF('Real Property'!E108=0,"",'Real Property'!E108)</f>
        <v/>
      </c>
      <c r="D105" s="149" t="str">
        <f>IF('Real Property'!I108=0,"",'Real Property'!I108)</f>
        <v/>
      </c>
      <c r="E105" s="150" t="str">
        <f>IFERROR(IF('Real Property'!AF108=0,"",'Real Property'!AF108),"")</f>
        <v/>
      </c>
      <c r="F105" s="150" t="str">
        <f>IFERROR(IF('Real Property'!AH108=0,"",'Real Property'!AH108),"")</f>
        <v/>
      </c>
      <c r="G105" s="156" t="str">
        <f>IF('Real Property'!AI108=0,"",'Real Property'!AI108)</f>
        <v/>
      </c>
    </row>
    <row r="106" spans="1:7">
      <c r="A106" s="149" t="str">
        <f>IF('Real Property'!A109=0,"",'Real Property'!A109)</f>
        <v/>
      </c>
      <c r="B106" s="147" t="str">
        <f>IF('Real Property'!B109=0,"",'Real Property'!B109)</f>
        <v/>
      </c>
      <c r="C106" s="148" t="str">
        <f>IF('Real Property'!E109=0,"",'Real Property'!E109)</f>
        <v/>
      </c>
      <c r="D106" s="149" t="str">
        <f>IF('Real Property'!I109=0,"",'Real Property'!I109)</f>
        <v/>
      </c>
      <c r="E106" s="150" t="str">
        <f>IFERROR(IF('Real Property'!AF109=0,"",'Real Property'!AF109),"")</f>
        <v/>
      </c>
      <c r="F106" s="150" t="str">
        <f>IFERROR(IF('Real Property'!AH109=0,"",'Real Property'!AH109),"")</f>
        <v/>
      </c>
      <c r="G106" s="156" t="str">
        <f>IF('Real Property'!AI109=0,"",'Real Property'!AI109)</f>
        <v/>
      </c>
    </row>
    <row r="107" spans="1:7">
      <c r="A107" s="149" t="str">
        <f>IF('Real Property'!A110=0,"",'Real Property'!A110)</f>
        <v/>
      </c>
      <c r="B107" s="147" t="str">
        <f>IF('Real Property'!B110=0,"",'Real Property'!B110)</f>
        <v/>
      </c>
      <c r="C107" s="148" t="str">
        <f>IF('Real Property'!E110=0,"",'Real Property'!E110)</f>
        <v/>
      </c>
      <c r="D107" s="149" t="str">
        <f>IF('Real Property'!I110=0,"",'Real Property'!I110)</f>
        <v/>
      </c>
      <c r="E107" s="150" t="str">
        <f>IFERROR(IF('Real Property'!AF110=0,"",'Real Property'!AF110),"")</f>
        <v/>
      </c>
      <c r="F107" s="150" t="str">
        <f>IFERROR(IF('Real Property'!AH110=0,"",'Real Property'!AH110),"")</f>
        <v/>
      </c>
      <c r="G107" s="156" t="str">
        <f>IF('Real Property'!AI110=0,"",'Real Property'!AI110)</f>
        <v/>
      </c>
    </row>
    <row r="108" spans="1:7">
      <c r="A108" s="149" t="str">
        <f>IF('Real Property'!A111=0,"",'Real Property'!A111)</f>
        <v/>
      </c>
      <c r="B108" s="147" t="str">
        <f>IF('Real Property'!B111=0,"",'Real Property'!B111)</f>
        <v/>
      </c>
      <c r="C108" s="148" t="str">
        <f>IF('Real Property'!E111=0,"",'Real Property'!E111)</f>
        <v/>
      </c>
      <c r="D108" s="149" t="str">
        <f>IF('Real Property'!I111=0,"",'Real Property'!I111)</f>
        <v/>
      </c>
      <c r="E108" s="150" t="str">
        <f>IFERROR(IF('Real Property'!AF111=0,"",'Real Property'!AF111),"")</f>
        <v/>
      </c>
      <c r="F108" s="150" t="str">
        <f>IFERROR(IF('Real Property'!AH111=0,"",'Real Property'!AH111),"")</f>
        <v/>
      </c>
      <c r="G108" s="156" t="str">
        <f>IF('Real Property'!AI111=0,"",'Real Property'!AI111)</f>
        <v/>
      </c>
    </row>
    <row r="109" spans="1:7">
      <c r="A109" s="149" t="str">
        <f>IF('Real Property'!A112=0,"",'Real Property'!A112)</f>
        <v/>
      </c>
      <c r="B109" s="147" t="str">
        <f>IF('Real Property'!B112=0,"",'Real Property'!B112)</f>
        <v/>
      </c>
      <c r="C109" s="148" t="str">
        <f>IF('Real Property'!E112=0,"",'Real Property'!E112)</f>
        <v/>
      </c>
      <c r="D109" s="149" t="str">
        <f>IF('Real Property'!I112=0,"",'Real Property'!I112)</f>
        <v/>
      </c>
      <c r="E109" s="150" t="str">
        <f>IFERROR(IF('Real Property'!AF112=0,"",'Real Property'!AF112),"")</f>
        <v/>
      </c>
      <c r="F109" s="150" t="str">
        <f>IFERROR(IF('Real Property'!AH112=0,"",'Real Property'!AH112),"")</f>
        <v/>
      </c>
      <c r="G109" s="156" t="str">
        <f>IF('Real Property'!AI112=0,"",'Real Property'!AI112)</f>
        <v/>
      </c>
    </row>
    <row r="110" spans="1:7">
      <c r="A110" s="149" t="str">
        <f>IF('Real Property'!A113=0,"",'Real Property'!A113)</f>
        <v/>
      </c>
      <c r="B110" s="147" t="str">
        <f>IF('Real Property'!B113=0,"",'Real Property'!B113)</f>
        <v/>
      </c>
      <c r="C110" s="148" t="str">
        <f>IF('Real Property'!E113=0,"",'Real Property'!E113)</f>
        <v/>
      </c>
      <c r="D110" s="149" t="str">
        <f>IF('Real Property'!I113=0,"",'Real Property'!I113)</f>
        <v/>
      </c>
      <c r="E110" s="150" t="str">
        <f>IFERROR(IF('Real Property'!AF113=0,"",'Real Property'!AF113),"")</f>
        <v/>
      </c>
      <c r="F110" s="150" t="str">
        <f>IFERROR(IF('Real Property'!AH113=0,"",'Real Property'!AH113),"")</f>
        <v/>
      </c>
      <c r="G110" s="156" t="str">
        <f>IF('Real Property'!AI113=0,"",'Real Property'!AI113)</f>
        <v/>
      </c>
    </row>
    <row r="111" spans="1:7">
      <c r="A111" s="149" t="str">
        <f>IF('Real Property'!A114=0,"",'Real Property'!A114)</f>
        <v/>
      </c>
      <c r="B111" s="147" t="str">
        <f>IF('Real Property'!B114=0,"",'Real Property'!B114)</f>
        <v/>
      </c>
      <c r="C111" s="148" t="str">
        <f>IF('Real Property'!E114=0,"",'Real Property'!E114)</f>
        <v/>
      </c>
      <c r="D111" s="149" t="str">
        <f>IF('Real Property'!I114=0,"",'Real Property'!I114)</f>
        <v/>
      </c>
      <c r="E111" s="150" t="str">
        <f>IFERROR(IF('Real Property'!AF114=0,"",'Real Property'!AF114),"")</f>
        <v/>
      </c>
      <c r="F111" s="150" t="str">
        <f>IFERROR(IF('Real Property'!AH114=0,"",'Real Property'!AH114),"")</f>
        <v/>
      </c>
      <c r="G111" s="156" t="str">
        <f>IF('Real Property'!AI114=0,"",'Real Property'!AI114)</f>
        <v/>
      </c>
    </row>
    <row r="112" spans="1:7">
      <c r="A112" s="149" t="str">
        <f>IF('Real Property'!A115=0,"",'Real Property'!A115)</f>
        <v/>
      </c>
      <c r="B112" s="147" t="str">
        <f>IF('Real Property'!B115=0,"",'Real Property'!B115)</f>
        <v/>
      </c>
      <c r="C112" s="148" t="str">
        <f>IF('Real Property'!E115=0,"",'Real Property'!E115)</f>
        <v/>
      </c>
      <c r="D112" s="149" t="str">
        <f>IF('Real Property'!I115=0,"",'Real Property'!I115)</f>
        <v/>
      </c>
      <c r="E112" s="150" t="str">
        <f>IFERROR(IF('Real Property'!AF115=0,"",'Real Property'!AF115),"")</f>
        <v/>
      </c>
      <c r="F112" s="150" t="str">
        <f>IFERROR(IF('Real Property'!AH115=0,"",'Real Property'!AH115),"")</f>
        <v/>
      </c>
      <c r="G112" s="156" t="str">
        <f>IF('Real Property'!AI115=0,"",'Real Property'!AI115)</f>
        <v/>
      </c>
    </row>
    <row r="113" spans="1:7">
      <c r="A113" s="149" t="str">
        <f>IF('Real Property'!A116=0,"",'Real Property'!A116)</f>
        <v/>
      </c>
      <c r="B113" s="147" t="str">
        <f>IF('Real Property'!B116=0,"",'Real Property'!B116)</f>
        <v/>
      </c>
      <c r="C113" s="148" t="str">
        <f>IF('Real Property'!E116=0,"",'Real Property'!E116)</f>
        <v/>
      </c>
      <c r="D113" s="149" t="str">
        <f>IF('Real Property'!I116=0,"",'Real Property'!I116)</f>
        <v/>
      </c>
      <c r="E113" s="150" t="str">
        <f>IFERROR(IF('Real Property'!AF116=0,"",'Real Property'!AF116),"")</f>
        <v/>
      </c>
      <c r="F113" s="150" t="str">
        <f>IFERROR(IF('Real Property'!AH116=0,"",'Real Property'!AH116),"")</f>
        <v/>
      </c>
      <c r="G113" s="156" t="str">
        <f>IF('Real Property'!AI116=0,"",'Real Property'!AI116)</f>
        <v/>
      </c>
    </row>
    <row r="114" spans="1:7">
      <c r="A114" s="149" t="str">
        <f>IF('Real Property'!A117=0,"",'Real Property'!A117)</f>
        <v/>
      </c>
      <c r="B114" s="147" t="str">
        <f>IF('Real Property'!B117=0,"",'Real Property'!B117)</f>
        <v/>
      </c>
      <c r="C114" s="148" t="str">
        <f>IF('Real Property'!E117=0,"",'Real Property'!E117)</f>
        <v/>
      </c>
      <c r="D114" s="149" t="str">
        <f>IF('Real Property'!I117=0,"",'Real Property'!I117)</f>
        <v/>
      </c>
      <c r="E114" s="150" t="str">
        <f>IFERROR(IF('Real Property'!AF117=0,"",'Real Property'!AF117),"")</f>
        <v/>
      </c>
      <c r="F114" s="150" t="str">
        <f>IFERROR(IF('Real Property'!AH117=0,"",'Real Property'!AH117),"")</f>
        <v/>
      </c>
      <c r="G114" s="156" t="str">
        <f>IF('Real Property'!AI117=0,"",'Real Property'!AI117)</f>
        <v/>
      </c>
    </row>
    <row r="115" spans="1:7">
      <c r="A115" s="149" t="str">
        <f>IF('Real Property'!A118=0,"",'Real Property'!A118)</f>
        <v/>
      </c>
      <c r="B115" s="147" t="str">
        <f>IF('Real Property'!B118=0,"",'Real Property'!B118)</f>
        <v/>
      </c>
      <c r="C115" s="148" t="str">
        <f>IF('Real Property'!E118=0,"",'Real Property'!E118)</f>
        <v/>
      </c>
      <c r="D115" s="149" t="str">
        <f>IF('Real Property'!I118=0,"",'Real Property'!I118)</f>
        <v/>
      </c>
      <c r="E115" s="150" t="str">
        <f>IFERROR(IF('Real Property'!AF118=0,"",'Real Property'!AF118),"")</f>
        <v/>
      </c>
      <c r="F115" s="150" t="str">
        <f>IFERROR(IF('Real Property'!AH118=0,"",'Real Property'!AH118),"")</f>
        <v/>
      </c>
      <c r="G115" s="156" t="str">
        <f>IF('Real Property'!AI118=0,"",'Real Property'!AI118)</f>
        <v/>
      </c>
    </row>
    <row r="116" spans="1:7">
      <c r="A116" s="149" t="str">
        <f>IF('Real Property'!A119=0,"",'Real Property'!A119)</f>
        <v/>
      </c>
      <c r="B116" s="147" t="str">
        <f>IF('Real Property'!B119=0,"",'Real Property'!B119)</f>
        <v/>
      </c>
      <c r="C116" s="148" t="str">
        <f>IF('Real Property'!E119=0,"",'Real Property'!E119)</f>
        <v/>
      </c>
      <c r="D116" s="149" t="str">
        <f>IF('Real Property'!I119=0,"",'Real Property'!I119)</f>
        <v/>
      </c>
      <c r="E116" s="150" t="str">
        <f>IFERROR(IF('Real Property'!AF119=0,"",'Real Property'!AF119),"")</f>
        <v/>
      </c>
      <c r="F116" s="150" t="str">
        <f>IFERROR(IF('Real Property'!AH119=0,"",'Real Property'!AH119),"")</f>
        <v/>
      </c>
      <c r="G116" s="156" t="str">
        <f>IF('Real Property'!AI119=0,"",'Real Property'!AI119)</f>
        <v/>
      </c>
    </row>
    <row r="117" spans="1:7">
      <c r="A117" s="149" t="str">
        <f>IF('Real Property'!A120=0,"",'Real Property'!A120)</f>
        <v/>
      </c>
      <c r="B117" s="147" t="str">
        <f>IF('Real Property'!B120=0,"",'Real Property'!B120)</f>
        <v/>
      </c>
      <c r="C117" s="148" t="str">
        <f>IF('Real Property'!E120=0,"",'Real Property'!E120)</f>
        <v/>
      </c>
      <c r="D117" s="149" t="str">
        <f>IF('Real Property'!I120=0,"",'Real Property'!I120)</f>
        <v/>
      </c>
      <c r="E117" s="150" t="str">
        <f>IFERROR(IF('Real Property'!AF120=0,"",'Real Property'!AF120),"")</f>
        <v/>
      </c>
      <c r="F117" s="150" t="str">
        <f>IFERROR(IF('Real Property'!AH120=0,"",'Real Property'!AH120),"")</f>
        <v/>
      </c>
      <c r="G117" s="156" t="str">
        <f>IF('Real Property'!AI120=0,"",'Real Property'!AI120)</f>
        <v/>
      </c>
    </row>
    <row r="118" spans="1:7">
      <c r="A118" s="149" t="str">
        <f>IF('Real Property'!A121=0,"",'Real Property'!A121)</f>
        <v/>
      </c>
      <c r="B118" s="147" t="str">
        <f>IF('Real Property'!B121=0,"",'Real Property'!B121)</f>
        <v/>
      </c>
      <c r="C118" s="148" t="str">
        <f>IF('Real Property'!E121=0,"",'Real Property'!E121)</f>
        <v/>
      </c>
      <c r="D118" s="149" t="str">
        <f>IF('Real Property'!I121=0,"",'Real Property'!I121)</f>
        <v/>
      </c>
      <c r="E118" s="150" t="str">
        <f>IFERROR(IF('Real Property'!AF121=0,"",'Real Property'!AF121),"")</f>
        <v/>
      </c>
      <c r="F118" s="150" t="str">
        <f>IFERROR(IF('Real Property'!AH121=0,"",'Real Property'!AH121),"")</f>
        <v/>
      </c>
      <c r="G118" s="156" t="str">
        <f>IF('Real Property'!AI121=0,"",'Real Property'!AI121)</f>
        <v/>
      </c>
    </row>
    <row r="119" spans="1:7">
      <c r="A119" s="149" t="str">
        <f>IF('Real Property'!A122=0,"",'Real Property'!A122)</f>
        <v/>
      </c>
      <c r="B119" s="147" t="str">
        <f>IF('Real Property'!B122=0,"",'Real Property'!B122)</f>
        <v/>
      </c>
      <c r="C119" s="148" t="str">
        <f>IF('Real Property'!E122=0,"",'Real Property'!E122)</f>
        <v/>
      </c>
      <c r="D119" s="149" t="str">
        <f>IF('Real Property'!I122=0,"",'Real Property'!I122)</f>
        <v/>
      </c>
      <c r="E119" s="150" t="str">
        <f>IFERROR(IF('Real Property'!AF122=0,"",'Real Property'!AF122),"")</f>
        <v/>
      </c>
      <c r="F119" s="150" t="str">
        <f>IFERROR(IF('Real Property'!AH122=0,"",'Real Property'!AH122),"")</f>
        <v/>
      </c>
      <c r="G119" s="156" t="str">
        <f>IF('Real Property'!AI122=0,"",'Real Property'!AI122)</f>
        <v/>
      </c>
    </row>
    <row r="120" spans="1:7">
      <c r="A120" s="149" t="str">
        <f>IF('Real Property'!A123=0,"",'Real Property'!A123)</f>
        <v/>
      </c>
      <c r="B120" s="147" t="str">
        <f>IF('Real Property'!B123=0,"",'Real Property'!B123)</f>
        <v/>
      </c>
      <c r="C120" s="148" t="str">
        <f>IF('Real Property'!E123=0,"",'Real Property'!E123)</f>
        <v/>
      </c>
      <c r="D120" s="149" t="str">
        <f>IF('Real Property'!I123=0,"",'Real Property'!I123)</f>
        <v/>
      </c>
      <c r="E120" s="150" t="str">
        <f>IFERROR(IF('Real Property'!AF123=0,"",'Real Property'!AF123),"")</f>
        <v/>
      </c>
      <c r="F120" s="150" t="str">
        <f>IFERROR(IF('Real Property'!AH123=0,"",'Real Property'!AH123),"")</f>
        <v/>
      </c>
      <c r="G120" s="156" t="str">
        <f>IF('Real Property'!AI123=0,"",'Real Property'!AI123)</f>
        <v/>
      </c>
    </row>
    <row r="121" spans="1:7">
      <c r="A121" s="149" t="str">
        <f>IF('Real Property'!A124=0,"",'Real Property'!A124)</f>
        <v/>
      </c>
      <c r="B121" s="147" t="str">
        <f>IF('Real Property'!B124=0,"",'Real Property'!B124)</f>
        <v/>
      </c>
      <c r="C121" s="148" t="str">
        <f>IF('Real Property'!E124=0,"",'Real Property'!E124)</f>
        <v/>
      </c>
      <c r="D121" s="149" t="str">
        <f>IF('Real Property'!I124=0,"",'Real Property'!I124)</f>
        <v/>
      </c>
      <c r="E121" s="150" t="str">
        <f>IFERROR(IF('Real Property'!AF124=0,"",'Real Property'!AF124),"")</f>
        <v/>
      </c>
      <c r="F121" s="150" t="str">
        <f>IFERROR(IF('Real Property'!AH124=0,"",'Real Property'!AH124),"")</f>
        <v/>
      </c>
      <c r="G121" s="156" t="str">
        <f>IF('Real Property'!AI124=0,"",'Real Property'!AI124)</f>
        <v/>
      </c>
    </row>
    <row r="122" spans="1:7">
      <c r="A122" s="149" t="str">
        <f>IF('Real Property'!A125=0,"",'Real Property'!A125)</f>
        <v/>
      </c>
      <c r="B122" s="147" t="str">
        <f>IF('Real Property'!B125=0,"",'Real Property'!B125)</f>
        <v/>
      </c>
      <c r="C122" s="148" t="str">
        <f>IF('Real Property'!E125=0,"",'Real Property'!E125)</f>
        <v/>
      </c>
      <c r="D122" s="149" t="str">
        <f>IF('Real Property'!I125=0,"",'Real Property'!I125)</f>
        <v/>
      </c>
      <c r="E122" s="150" t="str">
        <f>IFERROR(IF('Real Property'!AF125=0,"",'Real Property'!AF125),"")</f>
        <v/>
      </c>
      <c r="F122" s="150" t="str">
        <f>IFERROR(IF('Real Property'!AH125=0,"",'Real Property'!AH125),"")</f>
        <v/>
      </c>
      <c r="G122" s="156" t="str">
        <f>IF('Real Property'!AI125=0,"",'Real Property'!AI125)</f>
        <v/>
      </c>
    </row>
    <row r="123" spans="1:7">
      <c r="A123" s="149" t="str">
        <f>IF('Real Property'!A126=0,"",'Real Property'!A126)</f>
        <v/>
      </c>
      <c r="B123" s="147" t="str">
        <f>IF('Real Property'!B126=0,"",'Real Property'!B126)</f>
        <v/>
      </c>
      <c r="C123" s="148" t="str">
        <f>IF('Real Property'!E126=0,"",'Real Property'!E126)</f>
        <v/>
      </c>
      <c r="D123" s="149" t="str">
        <f>IF('Real Property'!I126=0,"",'Real Property'!I126)</f>
        <v/>
      </c>
      <c r="E123" s="150" t="str">
        <f>IFERROR(IF('Real Property'!AF126=0,"",'Real Property'!AF126),"")</f>
        <v/>
      </c>
      <c r="F123" s="150" t="str">
        <f>IFERROR(IF('Real Property'!AH126=0,"",'Real Property'!AH126),"")</f>
        <v/>
      </c>
      <c r="G123" s="156" t="str">
        <f>IF('Real Property'!AI126=0,"",'Real Property'!AI126)</f>
        <v/>
      </c>
    </row>
    <row r="124" spans="1:7">
      <c r="A124" s="149" t="str">
        <f>IF('Real Property'!A127=0,"",'Real Property'!A127)</f>
        <v/>
      </c>
      <c r="B124" s="147" t="str">
        <f>IF('Real Property'!B127=0,"",'Real Property'!B127)</f>
        <v/>
      </c>
      <c r="C124" s="148" t="str">
        <f>IF('Real Property'!E127=0,"",'Real Property'!E127)</f>
        <v/>
      </c>
      <c r="D124" s="149" t="str">
        <f>IF('Real Property'!I127=0,"",'Real Property'!I127)</f>
        <v/>
      </c>
      <c r="E124" s="150" t="str">
        <f>IFERROR(IF('Real Property'!AF127=0,"",'Real Property'!AF127),"")</f>
        <v/>
      </c>
      <c r="F124" s="150" t="str">
        <f>IFERROR(IF('Real Property'!AH127=0,"",'Real Property'!AH127),"")</f>
        <v/>
      </c>
      <c r="G124" s="156" t="str">
        <f>IF('Real Property'!AI127=0,"",'Real Property'!AI127)</f>
        <v/>
      </c>
    </row>
    <row r="125" spans="1:7">
      <c r="A125" s="149" t="str">
        <f>IF('Real Property'!A128=0,"",'Real Property'!A128)</f>
        <v/>
      </c>
      <c r="B125" s="147" t="str">
        <f>IF('Real Property'!B128=0,"",'Real Property'!B128)</f>
        <v/>
      </c>
      <c r="C125" s="148" t="str">
        <f>IF('Real Property'!E128=0,"",'Real Property'!E128)</f>
        <v/>
      </c>
      <c r="D125" s="149" t="str">
        <f>IF('Real Property'!I128=0,"",'Real Property'!I128)</f>
        <v/>
      </c>
      <c r="E125" s="150" t="str">
        <f>IFERROR(IF('Real Property'!AF128=0,"",'Real Property'!AF128),"")</f>
        <v/>
      </c>
      <c r="F125" s="150" t="str">
        <f>IFERROR(IF('Real Property'!AH128=0,"",'Real Property'!AH128),"")</f>
        <v/>
      </c>
      <c r="G125" s="156" t="str">
        <f>IF('Real Property'!AI128=0,"",'Real Property'!AI128)</f>
        <v/>
      </c>
    </row>
    <row r="126" spans="1:7">
      <c r="A126" s="149" t="str">
        <f>IF('Real Property'!A129=0,"",'Real Property'!A129)</f>
        <v/>
      </c>
      <c r="B126" s="147" t="str">
        <f>IF('Real Property'!B129=0,"",'Real Property'!B129)</f>
        <v/>
      </c>
      <c r="C126" s="148" t="str">
        <f>IF('Real Property'!E129=0,"",'Real Property'!E129)</f>
        <v/>
      </c>
      <c r="D126" s="149" t="str">
        <f>IF('Real Property'!I129=0,"",'Real Property'!I129)</f>
        <v/>
      </c>
      <c r="E126" s="150" t="str">
        <f>IFERROR(IF('Real Property'!AF129=0,"",'Real Property'!AF129),"")</f>
        <v/>
      </c>
      <c r="F126" s="150" t="str">
        <f>IFERROR(IF('Real Property'!AH129=0,"",'Real Property'!AH129),"")</f>
        <v/>
      </c>
      <c r="G126" s="156" t="str">
        <f>IF('Real Property'!AI129=0,"",'Real Property'!AI129)</f>
        <v/>
      </c>
    </row>
    <row r="127" spans="1:7">
      <c r="A127" s="149" t="str">
        <f>IF('Real Property'!A130=0,"",'Real Property'!A130)</f>
        <v/>
      </c>
      <c r="B127" s="147" t="str">
        <f>IF('Real Property'!B130=0,"",'Real Property'!B130)</f>
        <v/>
      </c>
      <c r="C127" s="148" t="str">
        <f>IF('Real Property'!E130=0,"",'Real Property'!E130)</f>
        <v/>
      </c>
      <c r="D127" s="149" t="str">
        <f>IF('Real Property'!I130=0,"",'Real Property'!I130)</f>
        <v/>
      </c>
      <c r="E127" s="150" t="str">
        <f>IFERROR(IF('Real Property'!AF130=0,"",'Real Property'!AF130),"")</f>
        <v/>
      </c>
      <c r="F127" s="150" t="str">
        <f>IFERROR(IF('Real Property'!AH130=0,"",'Real Property'!AH130),"")</f>
        <v/>
      </c>
      <c r="G127" s="156" t="str">
        <f>IF('Real Property'!AI130=0,"",'Real Property'!AI130)</f>
        <v/>
      </c>
    </row>
    <row r="128" spans="1:7">
      <c r="A128" s="149" t="str">
        <f>IF('Real Property'!A131=0,"",'Real Property'!A131)</f>
        <v/>
      </c>
      <c r="B128" s="147" t="str">
        <f>IF('Real Property'!B131=0,"",'Real Property'!B131)</f>
        <v/>
      </c>
      <c r="C128" s="148" t="str">
        <f>IF('Real Property'!E131=0,"",'Real Property'!E131)</f>
        <v/>
      </c>
      <c r="D128" s="149" t="str">
        <f>IF('Real Property'!I131=0,"",'Real Property'!I131)</f>
        <v/>
      </c>
      <c r="E128" s="150" t="str">
        <f>IFERROR(IF('Real Property'!AF131=0,"",'Real Property'!AF131),"")</f>
        <v/>
      </c>
      <c r="F128" s="150" t="str">
        <f>IFERROR(IF('Real Property'!AH131=0,"",'Real Property'!AH131),"")</f>
        <v/>
      </c>
      <c r="G128" s="156" t="str">
        <f>IF('Real Property'!AI131=0,"",'Real Property'!AI131)</f>
        <v/>
      </c>
    </row>
    <row r="129" spans="1:7">
      <c r="A129" s="149" t="str">
        <f>IF('Real Property'!A132=0,"",'Real Property'!A132)</f>
        <v/>
      </c>
      <c r="B129" s="147" t="str">
        <f>IF('Real Property'!B132=0,"",'Real Property'!B132)</f>
        <v/>
      </c>
      <c r="C129" s="148" t="str">
        <f>IF('Real Property'!E132=0,"",'Real Property'!E132)</f>
        <v/>
      </c>
      <c r="D129" s="149" t="str">
        <f>IF('Real Property'!I132=0,"",'Real Property'!I132)</f>
        <v/>
      </c>
      <c r="E129" s="150" t="str">
        <f>IFERROR(IF('Real Property'!AF132=0,"",'Real Property'!AF132),"")</f>
        <v/>
      </c>
      <c r="F129" s="150" t="str">
        <f>IFERROR(IF('Real Property'!AH132=0,"",'Real Property'!AH132),"")</f>
        <v/>
      </c>
      <c r="G129" s="156" t="str">
        <f>IF('Real Property'!AI132=0,"",'Real Property'!AI132)</f>
        <v/>
      </c>
    </row>
    <row r="130" spans="1:7">
      <c r="A130" s="149" t="str">
        <f>IF('Real Property'!A133=0,"",'Real Property'!A133)</f>
        <v/>
      </c>
      <c r="B130" s="147" t="str">
        <f>IF('Real Property'!B133=0,"",'Real Property'!B133)</f>
        <v/>
      </c>
      <c r="C130" s="148" t="str">
        <f>IF('Real Property'!E133=0,"",'Real Property'!E133)</f>
        <v/>
      </c>
      <c r="D130" s="149" t="str">
        <f>IF('Real Property'!I133=0,"",'Real Property'!I133)</f>
        <v/>
      </c>
      <c r="E130" s="150" t="str">
        <f>IFERROR(IF('Real Property'!AF133=0,"",'Real Property'!AF133),"")</f>
        <v/>
      </c>
      <c r="F130" s="150" t="str">
        <f>IFERROR(IF('Real Property'!AH133=0,"",'Real Property'!AH133),"")</f>
        <v/>
      </c>
      <c r="G130" s="156" t="str">
        <f>IF('Real Property'!AI133=0,"",'Real Property'!AI133)</f>
        <v/>
      </c>
    </row>
    <row r="131" spans="1:7">
      <c r="A131" s="149" t="str">
        <f>IF('Real Property'!A134=0,"",'Real Property'!A134)</f>
        <v/>
      </c>
      <c r="B131" s="147" t="str">
        <f>IF('Real Property'!B134=0,"",'Real Property'!B134)</f>
        <v/>
      </c>
      <c r="C131" s="148" t="str">
        <f>IF('Real Property'!E134=0,"",'Real Property'!E134)</f>
        <v/>
      </c>
      <c r="D131" s="149" t="str">
        <f>IF('Real Property'!I134=0,"",'Real Property'!I134)</f>
        <v/>
      </c>
      <c r="E131" s="150" t="str">
        <f>IFERROR(IF('Real Property'!AF134=0,"",'Real Property'!AF134),"")</f>
        <v/>
      </c>
      <c r="F131" s="150" t="str">
        <f>IFERROR(IF('Real Property'!AH134=0,"",'Real Property'!AH134),"")</f>
        <v/>
      </c>
      <c r="G131" s="156" t="str">
        <f>IF('Real Property'!AI134=0,"",'Real Property'!AI134)</f>
        <v/>
      </c>
    </row>
    <row r="132" spans="1:7">
      <c r="A132" s="149" t="str">
        <f>IF('Real Property'!A135=0,"",'Real Property'!A135)</f>
        <v/>
      </c>
      <c r="B132" s="147" t="str">
        <f>IF('Real Property'!B135=0,"",'Real Property'!B135)</f>
        <v/>
      </c>
      <c r="C132" s="148" t="str">
        <f>IF('Real Property'!E135=0,"",'Real Property'!E135)</f>
        <v/>
      </c>
      <c r="D132" s="149" t="str">
        <f>IF('Real Property'!I135=0,"",'Real Property'!I135)</f>
        <v/>
      </c>
      <c r="E132" s="150" t="str">
        <f>IFERROR(IF('Real Property'!AF135=0,"",'Real Property'!AF135),"")</f>
        <v/>
      </c>
      <c r="F132" s="150" t="str">
        <f>IFERROR(IF('Real Property'!AH135=0,"",'Real Property'!AH135),"")</f>
        <v/>
      </c>
      <c r="G132" s="156" t="str">
        <f>IF('Real Property'!AI135=0,"",'Real Property'!AI135)</f>
        <v/>
      </c>
    </row>
    <row r="133" spans="1:7">
      <c r="A133" s="149" t="str">
        <f>IF('Real Property'!A136=0,"",'Real Property'!A136)</f>
        <v/>
      </c>
      <c r="B133" s="147" t="str">
        <f>IF('Real Property'!B136=0,"",'Real Property'!B136)</f>
        <v/>
      </c>
      <c r="C133" s="148" t="str">
        <f>IF('Real Property'!E136=0,"",'Real Property'!E136)</f>
        <v/>
      </c>
      <c r="D133" s="149" t="str">
        <f>IF('Real Property'!I136=0,"",'Real Property'!I136)</f>
        <v/>
      </c>
      <c r="E133" s="150" t="str">
        <f>IFERROR(IF('Real Property'!AF136=0,"",'Real Property'!AF136),"")</f>
        <v/>
      </c>
      <c r="F133" s="150" t="str">
        <f>IFERROR(IF('Real Property'!AH136=0,"",'Real Property'!AH136),"")</f>
        <v/>
      </c>
      <c r="G133" s="156" t="str">
        <f>IF('Real Property'!AI136=0,"",'Real Property'!AI136)</f>
        <v/>
      </c>
    </row>
    <row r="134" spans="1:7">
      <c r="A134" s="149" t="str">
        <f>IF('Real Property'!A137=0,"",'Real Property'!A137)</f>
        <v/>
      </c>
      <c r="B134" s="147" t="str">
        <f>IF('Real Property'!B137=0,"",'Real Property'!B137)</f>
        <v/>
      </c>
      <c r="C134" s="148" t="str">
        <f>IF('Real Property'!E137=0,"",'Real Property'!E137)</f>
        <v/>
      </c>
      <c r="D134" s="149" t="str">
        <f>IF('Real Property'!I137=0,"",'Real Property'!I137)</f>
        <v/>
      </c>
      <c r="E134" s="150" t="str">
        <f>IFERROR(IF('Real Property'!AF137=0,"",'Real Property'!AF137),"")</f>
        <v/>
      </c>
      <c r="F134" s="150" t="str">
        <f>IFERROR(IF('Real Property'!AH137=0,"",'Real Property'!AH137),"")</f>
        <v/>
      </c>
      <c r="G134" s="156" t="str">
        <f>IF('Real Property'!AI137=0,"",'Real Property'!AI137)</f>
        <v/>
      </c>
    </row>
    <row r="135" spans="1:7">
      <c r="A135" s="149" t="str">
        <f>IF('Real Property'!A138=0,"",'Real Property'!A138)</f>
        <v/>
      </c>
      <c r="B135" s="147" t="str">
        <f>IF('Real Property'!B138=0,"",'Real Property'!B138)</f>
        <v/>
      </c>
      <c r="C135" s="148" t="str">
        <f>IF('Real Property'!E138=0,"",'Real Property'!E138)</f>
        <v/>
      </c>
      <c r="D135" s="149" t="str">
        <f>IF('Real Property'!I138=0,"",'Real Property'!I138)</f>
        <v/>
      </c>
      <c r="E135" s="150" t="str">
        <f>IFERROR(IF('Real Property'!AF138=0,"",'Real Property'!AF138),"")</f>
        <v/>
      </c>
      <c r="F135" s="150" t="str">
        <f>IFERROR(IF('Real Property'!AH138=0,"",'Real Property'!AH138),"")</f>
        <v/>
      </c>
      <c r="G135" s="156" t="str">
        <f>IF('Real Property'!AI138=0,"",'Real Property'!AI138)</f>
        <v/>
      </c>
    </row>
    <row r="136" spans="1:7">
      <c r="A136" s="149" t="str">
        <f>IF('Real Property'!A139=0,"",'Real Property'!A139)</f>
        <v/>
      </c>
      <c r="B136" s="147" t="str">
        <f>IF('Real Property'!B139=0,"",'Real Property'!B139)</f>
        <v/>
      </c>
      <c r="C136" s="148" t="str">
        <f>IF('Real Property'!E139=0,"",'Real Property'!E139)</f>
        <v/>
      </c>
      <c r="D136" s="149" t="str">
        <f>IF('Real Property'!I139=0,"",'Real Property'!I139)</f>
        <v/>
      </c>
      <c r="E136" s="150" t="str">
        <f>IFERROR(IF('Real Property'!AF139=0,"",'Real Property'!AF139),"")</f>
        <v/>
      </c>
      <c r="F136" s="150" t="str">
        <f>IFERROR(IF('Real Property'!AH139=0,"",'Real Property'!AH139),"")</f>
        <v/>
      </c>
      <c r="G136" s="156" t="str">
        <f>IF('Real Property'!AI139=0,"",'Real Property'!AI139)</f>
        <v/>
      </c>
    </row>
    <row r="137" spans="1:7">
      <c r="A137" s="149" t="str">
        <f>IF('Real Property'!A140=0,"",'Real Property'!A140)</f>
        <v/>
      </c>
      <c r="B137" s="147" t="str">
        <f>IF('Real Property'!B140=0,"",'Real Property'!B140)</f>
        <v/>
      </c>
      <c r="C137" s="148" t="str">
        <f>IF('Real Property'!E140=0,"",'Real Property'!E140)</f>
        <v/>
      </c>
      <c r="D137" s="149" t="str">
        <f>IF('Real Property'!I140=0,"",'Real Property'!I140)</f>
        <v/>
      </c>
      <c r="E137" s="150" t="str">
        <f>IFERROR(IF('Real Property'!AF140=0,"",'Real Property'!AF140),"")</f>
        <v/>
      </c>
      <c r="F137" s="150" t="str">
        <f>IFERROR(IF('Real Property'!AH140=0,"",'Real Property'!AH140),"")</f>
        <v/>
      </c>
      <c r="G137" s="156" t="str">
        <f>IF('Real Property'!AI140=0,"",'Real Property'!AI140)</f>
        <v/>
      </c>
    </row>
    <row r="138" spans="1:7">
      <c r="A138" s="149" t="str">
        <f>IF('Real Property'!A141=0,"",'Real Property'!A141)</f>
        <v/>
      </c>
      <c r="B138" s="147" t="str">
        <f>IF('Real Property'!B141=0,"",'Real Property'!B141)</f>
        <v/>
      </c>
      <c r="C138" s="148" t="str">
        <f>IF('Real Property'!E141=0,"",'Real Property'!E141)</f>
        <v/>
      </c>
      <c r="D138" s="149" t="str">
        <f>IF('Real Property'!I141=0,"",'Real Property'!I141)</f>
        <v/>
      </c>
      <c r="E138" s="150" t="str">
        <f>IFERROR(IF('Real Property'!AF141=0,"",'Real Property'!AF141),"")</f>
        <v/>
      </c>
      <c r="F138" s="150" t="str">
        <f>IFERROR(IF('Real Property'!AH141=0,"",'Real Property'!AH141),"")</f>
        <v/>
      </c>
      <c r="G138" s="156" t="str">
        <f>IF('Real Property'!AI141=0,"",'Real Property'!AI141)</f>
        <v/>
      </c>
    </row>
    <row r="139" spans="1:7">
      <c r="A139" s="149" t="str">
        <f>IF('Real Property'!A142=0,"",'Real Property'!A142)</f>
        <v/>
      </c>
      <c r="B139" s="147" t="str">
        <f>IF('Real Property'!B142=0,"",'Real Property'!B142)</f>
        <v/>
      </c>
      <c r="C139" s="148" t="str">
        <f>IF('Real Property'!E142=0,"",'Real Property'!E142)</f>
        <v/>
      </c>
      <c r="D139" s="149" t="str">
        <f>IF('Real Property'!I142=0,"",'Real Property'!I142)</f>
        <v/>
      </c>
      <c r="E139" s="150" t="str">
        <f>IFERROR(IF('Real Property'!AF142=0,"",'Real Property'!AF142),"")</f>
        <v/>
      </c>
      <c r="F139" s="150" t="str">
        <f>IFERROR(IF('Real Property'!AH142=0,"",'Real Property'!AH142),"")</f>
        <v/>
      </c>
      <c r="G139" s="156" t="str">
        <f>IF('Real Property'!AI142=0,"",'Real Property'!AI142)</f>
        <v/>
      </c>
    </row>
    <row r="140" spans="1:7">
      <c r="A140" s="149" t="str">
        <f>IF('Real Property'!A143=0,"",'Real Property'!A143)</f>
        <v/>
      </c>
      <c r="B140" s="147" t="str">
        <f>IF('Real Property'!B143=0,"",'Real Property'!B143)</f>
        <v/>
      </c>
      <c r="C140" s="148" t="str">
        <f>IF('Real Property'!E143=0,"",'Real Property'!E143)</f>
        <v/>
      </c>
      <c r="D140" s="149" t="str">
        <f>IF('Real Property'!I143=0,"",'Real Property'!I143)</f>
        <v/>
      </c>
      <c r="E140" s="150" t="str">
        <f>IFERROR(IF('Real Property'!AF143=0,"",'Real Property'!AF143),"")</f>
        <v/>
      </c>
      <c r="F140" s="150" t="str">
        <f>IFERROR(IF('Real Property'!AH143=0,"",'Real Property'!AH143),"")</f>
        <v/>
      </c>
      <c r="G140" s="156" t="str">
        <f>IF('Real Property'!AI143=0,"",'Real Property'!AI143)</f>
        <v/>
      </c>
    </row>
    <row r="141" spans="1:7">
      <c r="A141" s="149" t="str">
        <f>IF('Real Property'!A144=0,"",'Real Property'!A144)</f>
        <v/>
      </c>
      <c r="B141" s="147" t="str">
        <f>IF('Real Property'!B144=0,"",'Real Property'!B144)</f>
        <v/>
      </c>
      <c r="C141" s="148" t="str">
        <f>IF('Real Property'!E144=0,"",'Real Property'!E144)</f>
        <v/>
      </c>
      <c r="D141" s="149" t="str">
        <f>IF('Real Property'!I144=0,"",'Real Property'!I144)</f>
        <v/>
      </c>
      <c r="E141" s="150" t="str">
        <f>IFERROR(IF('Real Property'!AF144=0,"",'Real Property'!AF144),"")</f>
        <v/>
      </c>
      <c r="F141" s="150" t="str">
        <f>IFERROR(IF('Real Property'!AH144=0,"",'Real Property'!AH144),"")</f>
        <v/>
      </c>
      <c r="G141" s="156" t="str">
        <f>IF('Real Property'!AI144=0,"",'Real Property'!AI144)</f>
        <v/>
      </c>
    </row>
    <row r="142" spans="1:7">
      <c r="A142" s="149" t="str">
        <f>IF('Real Property'!A145=0,"",'Real Property'!A145)</f>
        <v/>
      </c>
      <c r="B142" s="147" t="str">
        <f>IF('Real Property'!B145=0,"",'Real Property'!B145)</f>
        <v/>
      </c>
      <c r="C142" s="148" t="str">
        <f>IF('Real Property'!E145=0,"",'Real Property'!E145)</f>
        <v/>
      </c>
      <c r="D142" s="149" t="str">
        <f>IF('Real Property'!I145=0,"",'Real Property'!I145)</f>
        <v/>
      </c>
      <c r="E142" s="150" t="str">
        <f>IFERROR(IF('Real Property'!AF145=0,"",'Real Property'!AF145),"")</f>
        <v/>
      </c>
      <c r="F142" s="150" t="str">
        <f>IFERROR(IF('Real Property'!AH145=0,"",'Real Property'!AH145),"")</f>
        <v/>
      </c>
      <c r="G142" s="156" t="str">
        <f>IF('Real Property'!AI145=0,"",'Real Property'!AI145)</f>
        <v/>
      </c>
    </row>
    <row r="143" spans="1:7">
      <c r="A143" s="149" t="str">
        <f>IF('Real Property'!A146=0,"",'Real Property'!A146)</f>
        <v/>
      </c>
      <c r="B143" s="147" t="str">
        <f>IF('Real Property'!B146=0,"",'Real Property'!B146)</f>
        <v/>
      </c>
      <c r="C143" s="148" t="str">
        <f>IF('Real Property'!E146=0,"",'Real Property'!E146)</f>
        <v/>
      </c>
      <c r="D143" s="149" t="str">
        <f>IF('Real Property'!I146=0,"",'Real Property'!I146)</f>
        <v/>
      </c>
      <c r="E143" s="150" t="str">
        <f>IFERROR(IF('Real Property'!AF146=0,"",'Real Property'!AF146),"")</f>
        <v/>
      </c>
      <c r="F143" s="150" t="str">
        <f>IFERROR(IF('Real Property'!AH146=0,"",'Real Property'!AH146),"")</f>
        <v/>
      </c>
      <c r="G143" s="156" t="str">
        <f>IF('Real Property'!AI146=0,"",'Real Property'!AI146)</f>
        <v/>
      </c>
    </row>
    <row r="144" spans="1:7">
      <c r="A144" s="149" t="str">
        <f>IF('Real Property'!A147=0,"",'Real Property'!A147)</f>
        <v/>
      </c>
      <c r="B144" s="147" t="str">
        <f>IF('Real Property'!B147=0,"",'Real Property'!B147)</f>
        <v/>
      </c>
      <c r="C144" s="148" t="str">
        <f>IF('Real Property'!E147=0,"",'Real Property'!E147)</f>
        <v/>
      </c>
      <c r="D144" s="149" t="str">
        <f>IF('Real Property'!I147=0,"",'Real Property'!I147)</f>
        <v/>
      </c>
      <c r="E144" s="150" t="str">
        <f>IFERROR(IF('Real Property'!AF147=0,"",'Real Property'!AF147),"")</f>
        <v/>
      </c>
      <c r="F144" s="150" t="str">
        <f>IFERROR(IF('Real Property'!AH147=0,"",'Real Property'!AH147),"")</f>
        <v/>
      </c>
      <c r="G144" s="156" t="str">
        <f>IF('Real Property'!AI147=0,"",'Real Property'!AI147)</f>
        <v/>
      </c>
    </row>
    <row r="145" spans="1:7">
      <c r="A145" s="149" t="str">
        <f>IF('Real Property'!A148=0,"",'Real Property'!A148)</f>
        <v/>
      </c>
      <c r="B145" s="147" t="str">
        <f>IF('Real Property'!B148=0,"",'Real Property'!B148)</f>
        <v/>
      </c>
      <c r="C145" s="148" t="str">
        <f>IF('Real Property'!E148=0,"",'Real Property'!E148)</f>
        <v/>
      </c>
      <c r="D145" s="149" t="str">
        <f>IF('Real Property'!I148=0,"",'Real Property'!I148)</f>
        <v/>
      </c>
      <c r="E145" s="150" t="str">
        <f>IFERROR(IF('Real Property'!AF148=0,"",'Real Property'!AF148),"")</f>
        <v/>
      </c>
      <c r="F145" s="150" t="str">
        <f>IFERROR(IF('Real Property'!AH148=0,"",'Real Property'!AH148),"")</f>
        <v/>
      </c>
      <c r="G145" s="156" t="str">
        <f>IF('Real Property'!AI148=0,"",'Real Property'!AI148)</f>
        <v/>
      </c>
    </row>
    <row r="146" spans="1:7">
      <c r="A146" s="149" t="str">
        <f>IF('Real Property'!A149=0,"",'Real Property'!A149)</f>
        <v/>
      </c>
      <c r="B146" s="147" t="str">
        <f>IF('Real Property'!B149=0,"",'Real Property'!B149)</f>
        <v/>
      </c>
      <c r="C146" s="148" t="str">
        <f>IF('Real Property'!E149=0,"",'Real Property'!E149)</f>
        <v/>
      </c>
      <c r="D146" s="149" t="str">
        <f>IF('Real Property'!I149=0,"",'Real Property'!I149)</f>
        <v/>
      </c>
      <c r="E146" s="150" t="str">
        <f>IFERROR(IF('Real Property'!AF149=0,"",'Real Property'!AF149),"")</f>
        <v/>
      </c>
      <c r="F146" s="150" t="str">
        <f>IFERROR(IF('Real Property'!AH149=0,"",'Real Property'!AH149),"")</f>
        <v/>
      </c>
      <c r="G146" s="156" t="str">
        <f>IF('Real Property'!AI149=0,"",'Real Property'!AI149)</f>
        <v/>
      </c>
    </row>
    <row r="147" spans="1:7">
      <c r="A147" s="149" t="str">
        <f>IF('Real Property'!A150=0,"",'Real Property'!A150)</f>
        <v/>
      </c>
      <c r="B147" s="147" t="str">
        <f>IF('Real Property'!B150=0,"",'Real Property'!B150)</f>
        <v/>
      </c>
      <c r="C147" s="148" t="str">
        <f>IF('Real Property'!E150=0,"",'Real Property'!E150)</f>
        <v/>
      </c>
      <c r="D147" s="149" t="str">
        <f>IF('Real Property'!I150=0,"",'Real Property'!I150)</f>
        <v/>
      </c>
      <c r="E147" s="150" t="str">
        <f>IFERROR(IF('Real Property'!AF150=0,"",'Real Property'!AF150),"")</f>
        <v/>
      </c>
      <c r="F147" s="150" t="str">
        <f>IFERROR(IF('Real Property'!AH150=0,"",'Real Property'!AH150),"")</f>
        <v/>
      </c>
      <c r="G147" s="156" t="str">
        <f>IF('Real Property'!AI150=0,"",'Real Property'!AI150)</f>
        <v/>
      </c>
    </row>
    <row r="148" spans="1:7">
      <c r="A148" s="149" t="str">
        <f>IF('Real Property'!A151=0,"",'Real Property'!A151)</f>
        <v/>
      </c>
      <c r="B148" s="147" t="str">
        <f>IF('Real Property'!B151=0,"",'Real Property'!B151)</f>
        <v/>
      </c>
      <c r="C148" s="148" t="str">
        <f>IF('Real Property'!E151=0,"",'Real Property'!E151)</f>
        <v/>
      </c>
      <c r="D148" s="149" t="str">
        <f>IF('Real Property'!I151=0,"",'Real Property'!I151)</f>
        <v/>
      </c>
      <c r="E148" s="150" t="str">
        <f>IFERROR(IF('Real Property'!AF151=0,"",'Real Property'!AF151),"")</f>
        <v/>
      </c>
      <c r="F148" s="150" t="str">
        <f>IFERROR(IF('Real Property'!AH151=0,"",'Real Property'!AH151),"")</f>
        <v/>
      </c>
      <c r="G148" s="156" t="str">
        <f>IF('Real Property'!AI151=0,"",'Real Property'!AI151)</f>
        <v/>
      </c>
    </row>
    <row r="149" spans="1:7">
      <c r="A149" s="149" t="str">
        <f>IF('Real Property'!A152=0,"",'Real Property'!A152)</f>
        <v/>
      </c>
      <c r="B149" s="147" t="str">
        <f>IF('Real Property'!B152=0,"",'Real Property'!B152)</f>
        <v/>
      </c>
      <c r="C149" s="148" t="str">
        <f>IF('Real Property'!E152=0,"",'Real Property'!E152)</f>
        <v/>
      </c>
      <c r="D149" s="149" t="str">
        <f>IF('Real Property'!I152=0,"",'Real Property'!I152)</f>
        <v/>
      </c>
      <c r="E149" s="150" t="str">
        <f>IFERROR(IF('Real Property'!AF152=0,"",'Real Property'!AF152),"")</f>
        <v/>
      </c>
      <c r="F149" s="150" t="str">
        <f>IFERROR(IF('Real Property'!AH152=0,"",'Real Property'!AH152),"")</f>
        <v/>
      </c>
      <c r="G149" s="156" t="str">
        <f>IF('Real Property'!AI152=0,"",'Real Property'!AI152)</f>
        <v/>
      </c>
    </row>
    <row r="150" spans="1:7">
      <c r="A150" s="149" t="str">
        <f>IF('Real Property'!A153=0,"",'Real Property'!A153)</f>
        <v/>
      </c>
      <c r="B150" s="147" t="str">
        <f>IF('Real Property'!B153=0,"",'Real Property'!B153)</f>
        <v/>
      </c>
      <c r="C150" s="148" t="str">
        <f>IF('Real Property'!E153=0,"",'Real Property'!E153)</f>
        <v/>
      </c>
      <c r="D150" s="149" t="str">
        <f>IF('Real Property'!I153=0,"",'Real Property'!I153)</f>
        <v/>
      </c>
      <c r="E150" s="150" t="str">
        <f>IFERROR(IF('Real Property'!AF153=0,"",'Real Property'!AF153),"")</f>
        <v/>
      </c>
      <c r="F150" s="150" t="str">
        <f>IFERROR(IF('Real Property'!AH153=0,"",'Real Property'!AH153),"")</f>
        <v/>
      </c>
      <c r="G150" s="156" t="str">
        <f>IF('Real Property'!AI153=0,"",'Real Property'!AI153)</f>
        <v/>
      </c>
    </row>
    <row r="151" spans="1:7">
      <c r="A151" s="149" t="str">
        <f>IF('Real Property'!A154=0,"",'Real Property'!A154)</f>
        <v/>
      </c>
      <c r="B151" s="147" t="str">
        <f>IF('Real Property'!B154=0,"",'Real Property'!B154)</f>
        <v/>
      </c>
      <c r="C151" s="148" t="str">
        <f>IF('Real Property'!E154=0,"",'Real Property'!E154)</f>
        <v/>
      </c>
      <c r="D151" s="149" t="str">
        <f>IF('Real Property'!I154=0,"",'Real Property'!I154)</f>
        <v/>
      </c>
      <c r="E151" s="150" t="str">
        <f>IFERROR(IF('Real Property'!AF154=0,"",'Real Property'!AF154),"")</f>
        <v/>
      </c>
      <c r="F151" s="150" t="str">
        <f>IFERROR(IF('Real Property'!AH154=0,"",'Real Property'!AH154),"")</f>
        <v/>
      </c>
      <c r="G151" s="156" t="str">
        <f>IF('Real Property'!AI154=0,"",'Real Property'!AI154)</f>
        <v/>
      </c>
    </row>
    <row r="152" spans="1:7">
      <c r="A152" s="149" t="str">
        <f>IF('Real Property'!A155=0,"",'Real Property'!A155)</f>
        <v/>
      </c>
      <c r="B152" s="147" t="str">
        <f>IF('Real Property'!B155=0,"",'Real Property'!B155)</f>
        <v/>
      </c>
      <c r="C152" s="148" t="str">
        <f>IF('Real Property'!E155=0,"",'Real Property'!E155)</f>
        <v/>
      </c>
      <c r="D152" s="149" t="str">
        <f>IF('Real Property'!I155=0,"",'Real Property'!I155)</f>
        <v/>
      </c>
      <c r="E152" s="150" t="str">
        <f>IFERROR(IF('Real Property'!AF155=0,"",'Real Property'!AF155),"")</f>
        <v/>
      </c>
      <c r="F152" s="150" t="str">
        <f>IFERROR(IF('Real Property'!AH155=0,"",'Real Property'!AH155),"")</f>
        <v/>
      </c>
      <c r="G152" s="156" t="str">
        <f>IF('Real Property'!AI155=0,"",'Real Property'!AI155)</f>
        <v/>
      </c>
    </row>
    <row r="153" spans="1:7">
      <c r="A153" s="149" t="str">
        <f>IF('Real Property'!A156=0,"",'Real Property'!A156)</f>
        <v/>
      </c>
      <c r="B153" s="147" t="str">
        <f>IF('Real Property'!B156=0,"",'Real Property'!B156)</f>
        <v/>
      </c>
      <c r="C153" s="148" t="str">
        <f>IF('Real Property'!E156=0,"",'Real Property'!E156)</f>
        <v/>
      </c>
      <c r="D153" s="149" t="str">
        <f>IF('Real Property'!I156=0,"",'Real Property'!I156)</f>
        <v/>
      </c>
      <c r="E153" s="150" t="str">
        <f>IFERROR(IF('Real Property'!AF156=0,"",'Real Property'!AF156),"")</f>
        <v/>
      </c>
      <c r="F153" s="150" t="str">
        <f>IFERROR(IF('Real Property'!AH156=0,"",'Real Property'!AH156),"")</f>
        <v/>
      </c>
      <c r="G153" s="156" t="str">
        <f>IF('Real Property'!AI156=0,"",'Real Property'!AI156)</f>
        <v/>
      </c>
    </row>
    <row r="154" spans="1:7">
      <c r="A154" s="149" t="str">
        <f>IF('Real Property'!A157=0,"",'Real Property'!A157)</f>
        <v/>
      </c>
      <c r="B154" s="147" t="str">
        <f>IF('Real Property'!B157=0,"",'Real Property'!B157)</f>
        <v/>
      </c>
      <c r="C154" s="148" t="str">
        <f>IF('Real Property'!E157=0,"",'Real Property'!E157)</f>
        <v/>
      </c>
      <c r="D154" s="149" t="str">
        <f>IF('Real Property'!I157=0,"",'Real Property'!I157)</f>
        <v/>
      </c>
      <c r="E154" s="150" t="str">
        <f>IFERROR(IF('Real Property'!AF157=0,"",'Real Property'!AF157),"")</f>
        <v/>
      </c>
      <c r="F154" s="150" t="str">
        <f>IFERROR(IF('Real Property'!AH157=0,"",'Real Property'!AH157),"")</f>
        <v/>
      </c>
      <c r="G154" s="156" t="str">
        <f>IF('Real Property'!AI157=0,"",'Real Property'!AI157)</f>
        <v/>
      </c>
    </row>
    <row r="155" spans="1:7">
      <c r="A155" s="149" t="str">
        <f>IF('Real Property'!A158=0,"",'Real Property'!A158)</f>
        <v/>
      </c>
      <c r="B155" s="147" t="str">
        <f>IF('Real Property'!B158=0,"",'Real Property'!B158)</f>
        <v/>
      </c>
      <c r="C155" s="148" t="str">
        <f>IF('Real Property'!E158=0,"",'Real Property'!E158)</f>
        <v/>
      </c>
      <c r="D155" s="149" t="str">
        <f>IF('Real Property'!I158=0,"",'Real Property'!I158)</f>
        <v/>
      </c>
      <c r="E155" s="150" t="str">
        <f>IFERROR(IF('Real Property'!AF158=0,"",'Real Property'!AF158),"")</f>
        <v/>
      </c>
      <c r="F155" s="150" t="str">
        <f>IFERROR(IF('Real Property'!AH158=0,"",'Real Property'!AH158),"")</f>
        <v/>
      </c>
      <c r="G155" s="156" t="str">
        <f>IF('Real Property'!AI158=0,"",'Real Property'!AI158)</f>
        <v/>
      </c>
    </row>
    <row r="156" spans="1:7">
      <c r="A156" s="149" t="str">
        <f>IF('Real Property'!A159=0,"",'Real Property'!A159)</f>
        <v/>
      </c>
      <c r="B156" s="147" t="str">
        <f>IF('Real Property'!B159=0,"",'Real Property'!B159)</f>
        <v/>
      </c>
      <c r="C156" s="148" t="str">
        <f>IF('Real Property'!E159=0,"",'Real Property'!E159)</f>
        <v/>
      </c>
      <c r="D156" s="149" t="str">
        <f>IF('Real Property'!I159=0,"",'Real Property'!I159)</f>
        <v/>
      </c>
      <c r="E156" s="150" t="str">
        <f>IFERROR(IF('Real Property'!AF159=0,"",'Real Property'!AF159),"")</f>
        <v/>
      </c>
      <c r="F156" s="150" t="str">
        <f>IFERROR(IF('Real Property'!AH159=0,"",'Real Property'!AH159),"")</f>
        <v/>
      </c>
      <c r="G156" s="156" t="str">
        <f>IF('Real Property'!AI159=0,"",'Real Property'!AI159)</f>
        <v/>
      </c>
    </row>
    <row r="157" spans="1:7">
      <c r="A157" s="149" t="str">
        <f>IF('Real Property'!A160=0,"",'Real Property'!A160)</f>
        <v/>
      </c>
      <c r="B157" s="147" t="str">
        <f>IF('Real Property'!B160=0,"",'Real Property'!B160)</f>
        <v/>
      </c>
      <c r="C157" s="148" t="str">
        <f>IF('Real Property'!E160=0,"",'Real Property'!E160)</f>
        <v/>
      </c>
      <c r="D157" s="149" t="str">
        <f>IF('Real Property'!I160=0,"",'Real Property'!I160)</f>
        <v/>
      </c>
      <c r="E157" s="150" t="str">
        <f>IFERROR(IF('Real Property'!AF160=0,"",'Real Property'!AF160),"")</f>
        <v/>
      </c>
      <c r="F157" s="150" t="str">
        <f>IFERROR(IF('Real Property'!AH160=0,"",'Real Property'!AH160),"")</f>
        <v/>
      </c>
      <c r="G157" s="156" t="str">
        <f>IF('Real Property'!AI160=0,"",'Real Property'!AI160)</f>
        <v/>
      </c>
    </row>
    <row r="158" spans="1:7">
      <c r="A158" s="149" t="str">
        <f>IF('Real Property'!A161=0,"",'Real Property'!A161)</f>
        <v/>
      </c>
      <c r="B158" s="147" t="str">
        <f>IF('Real Property'!B161=0,"",'Real Property'!B161)</f>
        <v/>
      </c>
      <c r="C158" s="148" t="str">
        <f>IF('Real Property'!E161=0,"",'Real Property'!E161)</f>
        <v/>
      </c>
      <c r="D158" s="149" t="str">
        <f>IF('Real Property'!I161=0,"",'Real Property'!I161)</f>
        <v/>
      </c>
      <c r="E158" s="150" t="str">
        <f>IFERROR(IF('Real Property'!AF161=0,"",'Real Property'!AF161),"")</f>
        <v/>
      </c>
      <c r="F158" s="150" t="str">
        <f>IFERROR(IF('Real Property'!AH161=0,"",'Real Property'!AH161),"")</f>
        <v/>
      </c>
      <c r="G158" s="156" t="str">
        <f>IF('Real Property'!AI161=0,"",'Real Property'!AI161)</f>
        <v/>
      </c>
    </row>
    <row r="159" spans="1:7">
      <c r="A159" s="149" t="str">
        <f>IF('Real Property'!A162=0,"",'Real Property'!A162)</f>
        <v/>
      </c>
      <c r="B159" s="147" t="str">
        <f>IF('Real Property'!B162=0,"",'Real Property'!B162)</f>
        <v/>
      </c>
      <c r="C159" s="148" t="str">
        <f>IF('Real Property'!E162=0,"",'Real Property'!E162)</f>
        <v/>
      </c>
      <c r="D159" s="149" t="str">
        <f>IF('Real Property'!I162=0,"",'Real Property'!I162)</f>
        <v/>
      </c>
      <c r="E159" s="150" t="str">
        <f>IFERROR(IF('Real Property'!AF162=0,"",'Real Property'!AF162),"")</f>
        <v/>
      </c>
      <c r="F159" s="150" t="str">
        <f>IFERROR(IF('Real Property'!AH162=0,"",'Real Property'!AH162),"")</f>
        <v/>
      </c>
      <c r="G159" s="156" t="str">
        <f>IF('Real Property'!AI162=0,"",'Real Property'!AI162)</f>
        <v/>
      </c>
    </row>
    <row r="160" spans="1:7">
      <c r="A160" s="149" t="str">
        <f>IF('Real Property'!A163=0,"",'Real Property'!A163)</f>
        <v/>
      </c>
      <c r="B160" s="147" t="str">
        <f>IF('Real Property'!B163=0,"",'Real Property'!B163)</f>
        <v/>
      </c>
      <c r="C160" s="148" t="str">
        <f>IF('Real Property'!E163=0,"",'Real Property'!E163)</f>
        <v/>
      </c>
      <c r="D160" s="149" t="str">
        <f>IF('Real Property'!I163=0,"",'Real Property'!I163)</f>
        <v/>
      </c>
      <c r="E160" s="150" t="str">
        <f>IFERROR(IF('Real Property'!AF163=0,"",'Real Property'!AF163),"")</f>
        <v/>
      </c>
      <c r="F160" s="150" t="str">
        <f>IFERROR(IF('Real Property'!AH163=0,"",'Real Property'!AH163),"")</f>
        <v/>
      </c>
      <c r="G160" s="156" t="str">
        <f>IF('Real Property'!AI163=0,"",'Real Property'!AI163)</f>
        <v/>
      </c>
    </row>
    <row r="161" spans="1:7">
      <c r="A161" s="149" t="str">
        <f>IF('Real Property'!A164=0,"",'Real Property'!A164)</f>
        <v/>
      </c>
      <c r="B161" s="147" t="str">
        <f>IF('Real Property'!B164=0,"",'Real Property'!B164)</f>
        <v/>
      </c>
      <c r="C161" s="148" t="str">
        <f>IF('Real Property'!E164=0,"",'Real Property'!E164)</f>
        <v/>
      </c>
      <c r="D161" s="149" t="str">
        <f>IF('Real Property'!I164=0,"",'Real Property'!I164)</f>
        <v/>
      </c>
      <c r="E161" s="150" t="str">
        <f>IFERROR(IF('Real Property'!AF164=0,"",'Real Property'!AF164),"")</f>
        <v/>
      </c>
      <c r="F161" s="150" t="str">
        <f>IFERROR(IF('Real Property'!AH164=0,"",'Real Property'!AH164),"")</f>
        <v/>
      </c>
      <c r="G161" s="156" t="str">
        <f>IF('Real Property'!AI164=0,"",'Real Property'!AI164)</f>
        <v/>
      </c>
    </row>
    <row r="162" spans="1:7">
      <c r="A162" s="149" t="str">
        <f>IF('Real Property'!A165=0,"",'Real Property'!A165)</f>
        <v/>
      </c>
      <c r="B162" s="147" t="str">
        <f>IF('Real Property'!B165=0,"",'Real Property'!B165)</f>
        <v/>
      </c>
      <c r="C162" s="148" t="str">
        <f>IF('Real Property'!E165=0,"",'Real Property'!E165)</f>
        <v/>
      </c>
      <c r="D162" s="149" t="str">
        <f>IF('Real Property'!I165=0,"",'Real Property'!I165)</f>
        <v/>
      </c>
      <c r="E162" s="150" t="str">
        <f>IFERROR(IF('Real Property'!AF165=0,"",'Real Property'!AF165),"")</f>
        <v/>
      </c>
      <c r="F162" s="150" t="str">
        <f>IFERROR(IF('Real Property'!AH165=0,"",'Real Property'!AH165),"")</f>
        <v/>
      </c>
      <c r="G162" s="156" t="str">
        <f>IF('Real Property'!AI165=0,"",'Real Property'!AI165)</f>
        <v/>
      </c>
    </row>
    <row r="163" spans="1:7">
      <c r="A163" s="149" t="str">
        <f>IF('Real Property'!A166=0,"",'Real Property'!A166)</f>
        <v/>
      </c>
      <c r="B163" s="147" t="str">
        <f>IF('Real Property'!B166=0,"",'Real Property'!B166)</f>
        <v/>
      </c>
      <c r="C163" s="148" t="str">
        <f>IF('Real Property'!E166=0,"",'Real Property'!E166)</f>
        <v/>
      </c>
      <c r="D163" s="149" t="str">
        <f>IF('Real Property'!I166=0,"",'Real Property'!I166)</f>
        <v/>
      </c>
      <c r="E163" s="150" t="str">
        <f>IFERROR(IF('Real Property'!AF166=0,"",'Real Property'!AF166),"")</f>
        <v/>
      </c>
      <c r="F163" s="150" t="str">
        <f>IFERROR(IF('Real Property'!AH166=0,"",'Real Property'!AH166),"")</f>
        <v/>
      </c>
      <c r="G163" s="156" t="str">
        <f>IF('Real Property'!AI166=0,"",'Real Property'!AI166)</f>
        <v/>
      </c>
    </row>
    <row r="164" spans="1:7">
      <c r="A164" s="149" t="str">
        <f>IF('Real Property'!A167=0,"",'Real Property'!A167)</f>
        <v/>
      </c>
      <c r="B164" s="147" t="str">
        <f>IF('Real Property'!B167=0,"",'Real Property'!B167)</f>
        <v/>
      </c>
      <c r="C164" s="148" t="str">
        <f>IF('Real Property'!E167=0,"",'Real Property'!E167)</f>
        <v/>
      </c>
      <c r="D164" s="149" t="str">
        <f>IF('Real Property'!I167=0,"",'Real Property'!I167)</f>
        <v/>
      </c>
      <c r="E164" s="150" t="str">
        <f>IFERROR(IF('Real Property'!AF167=0,"",'Real Property'!AF167),"")</f>
        <v/>
      </c>
      <c r="F164" s="150" t="str">
        <f>IFERROR(IF('Real Property'!AH167=0,"",'Real Property'!AH167),"")</f>
        <v/>
      </c>
      <c r="G164" s="156" t="str">
        <f>IF('Real Property'!AI167=0,"",'Real Property'!AI167)</f>
        <v/>
      </c>
    </row>
    <row r="165" spans="1:7">
      <c r="A165" s="149" t="str">
        <f>IF('Real Property'!A168=0,"",'Real Property'!A168)</f>
        <v/>
      </c>
      <c r="B165" s="147" t="str">
        <f>IF('Real Property'!B168=0,"",'Real Property'!B168)</f>
        <v/>
      </c>
      <c r="C165" s="148" t="str">
        <f>IF('Real Property'!E168=0,"",'Real Property'!E168)</f>
        <v/>
      </c>
      <c r="D165" s="149" t="str">
        <f>IF('Real Property'!I168=0,"",'Real Property'!I168)</f>
        <v/>
      </c>
      <c r="E165" s="150" t="str">
        <f>IFERROR(IF('Real Property'!AF168=0,"",'Real Property'!AF168),"")</f>
        <v/>
      </c>
      <c r="F165" s="150" t="str">
        <f>IFERROR(IF('Real Property'!AH168=0,"",'Real Property'!AH168),"")</f>
        <v/>
      </c>
      <c r="G165" s="156" t="str">
        <f>IF('Real Property'!AI168=0,"",'Real Property'!AI168)</f>
        <v/>
      </c>
    </row>
    <row r="166" spans="1:7">
      <c r="A166" s="149" t="str">
        <f>IF('Real Property'!A169=0,"",'Real Property'!A169)</f>
        <v/>
      </c>
      <c r="B166" s="147" t="str">
        <f>IF('Real Property'!B169=0,"",'Real Property'!B169)</f>
        <v/>
      </c>
      <c r="C166" s="148" t="str">
        <f>IF('Real Property'!E169=0,"",'Real Property'!E169)</f>
        <v/>
      </c>
      <c r="D166" s="149" t="str">
        <f>IF('Real Property'!I169=0,"",'Real Property'!I169)</f>
        <v/>
      </c>
      <c r="E166" s="150" t="str">
        <f>IFERROR(IF('Real Property'!AF169=0,"",'Real Property'!AF169),"")</f>
        <v/>
      </c>
      <c r="F166" s="150" t="str">
        <f>IFERROR(IF('Real Property'!AH169=0,"",'Real Property'!AH169),"")</f>
        <v/>
      </c>
      <c r="G166" s="156" t="str">
        <f>IF('Real Property'!AI169=0,"",'Real Property'!AI169)</f>
        <v/>
      </c>
    </row>
    <row r="167" spans="1:7">
      <c r="A167" s="149" t="str">
        <f>IF('Real Property'!A170=0,"",'Real Property'!A170)</f>
        <v/>
      </c>
      <c r="B167" s="147" t="str">
        <f>IF('Real Property'!B170=0,"",'Real Property'!B170)</f>
        <v/>
      </c>
      <c r="C167" s="148" t="str">
        <f>IF('Real Property'!E170=0,"",'Real Property'!E170)</f>
        <v/>
      </c>
      <c r="D167" s="149" t="str">
        <f>IF('Real Property'!I170=0,"",'Real Property'!I170)</f>
        <v/>
      </c>
      <c r="E167" s="150" t="str">
        <f>IFERROR(IF('Real Property'!AF170=0,"",'Real Property'!AF170),"")</f>
        <v/>
      </c>
      <c r="F167" s="150" t="str">
        <f>IFERROR(IF('Real Property'!AH170=0,"",'Real Property'!AH170),"")</f>
        <v/>
      </c>
      <c r="G167" s="156" t="str">
        <f>IF('Real Property'!AI170=0,"",'Real Property'!AI170)</f>
        <v/>
      </c>
    </row>
    <row r="168" spans="1:7">
      <c r="A168" s="149" t="str">
        <f>IF('Real Property'!A171=0,"",'Real Property'!A171)</f>
        <v/>
      </c>
      <c r="B168" s="147" t="str">
        <f>IF('Real Property'!B171=0,"",'Real Property'!B171)</f>
        <v/>
      </c>
      <c r="C168" s="148" t="str">
        <f>IF('Real Property'!E171=0,"",'Real Property'!E171)</f>
        <v/>
      </c>
      <c r="D168" s="149" t="str">
        <f>IF('Real Property'!I171=0,"",'Real Property'!I171)</f>
        <v/>
      </c>
      <c r="E168" s="150" t="str">
        <f>IFERROR(IF('Real Property'!AF171=0,"",'Real Property'!AF171),"")</f>
        <v/>
      </c>
      <c r="F168" s="150" t="str">
        <f>IFERROR(IF('Real Property'!AH171=0,"",'Real Property'!AH171),"")</f>
        <v/>
      </c>
      <c r="G168" s="156" t="str">
        <f>IF('Real Property'!AI171=0,"",'Real Property'!AI171)</f>
        <v/>
      </c>
    </row>
    <row r="169" spans="1:7">
      <c r="A169" s="149" t="str">
        <f>IF('Real Property'!A172=0,"",'Real Property'!A172)</f>
        <v/>
      </c>
      <c r="B169" s="147" t="str">
        <f>IF('Real Property'!B172=0,"",'Real Property'!B172)</f>
        <v/>
      </c>
      <c r="C169" s="148" t="str">
        <f>IF('Real Property'!E172=0,"",'Real Property'!E172)</f>
        <v/>
      </c>
      <c r="D169" s="149" t="str">
        <f>IF('Real Property'!I172=0,"",'Real Property'!I172)</f>
        <v/>
      </c>
      <c r="E169" s="150" t="str">
        <f>IFERROR(IF('Real Property'!AF172=0,"",'Real Property'!AF172),"")</f>
        <v/>
      </c>
      <c r="F169" s="150" t="str">
        <f>IFERROR(IF('Real Property'!AH172=0,"",'Real Property'!AH172),"")</f>
        <v/>
      </c>
      <c r="G169" s="156" t="str">
        <f>IF('Real Property'!AI172=0,"",'Real Property'!AI172)</f>
        <v/>
      </c>
    </row>
    <row r="170" spans="1:7">
      <c r="A170" s="149" t="str">
        <f>IF('Real Property'!A173=0,"",'Real Property'!A173)</f>
        <v/>
      </c>
      <c r="B170" s="147" t="str">
        <f>IF('Real Property'!B173=0,"",'Real Property'!B173)</f>
        <v/>
      </c>
      <c r="C170" s="148" t="str">
        <f>IF('Real Property'!E173=0,"",'Real Property'!E173)</f>
        <v/>
      </c>
      <c r="D170" s="149" t="str">
        <f>IF('Real Property'!I173=0,"",'Real Property'!I173)</f>
        <v/>
      </c>
      <c r="E170" s="150" t="str">
        <f>IFERROR(IF('Real Property'!AF173=0,"",'Real Property'!AF173),"")</f>
        <v/>
      </c>
      <c r="F170" s="150" t="str">
        <f>IFERROR(IF('Real Property'!AH173=0,"",'Real Property'!AH173),"")</f>
        <v/>
      </c>
      <c r="G170" s="156" t="str">
        <f>IF('Real Property'!AI173=0,"",'Real Property'!AI173)</f>
        <v/>
      </c>
    </row>
    <row r="171" spans="1:7">
      <c r="A171" s="149" t="str">
        <f>IF('Real Property'!A174=0,"",'Real Property'!A174)</f>
        <v/>
      </c>
      <c r="B171" s="147" t="str">
        <f>IF('Real Property'!B174=0,"",'Real Property'!B174)</f>
        <v/>
      </c>
      <c r="C171" s="148" t="str">
        <f>IF('Real Property'!E174=0,"",'Real Property'!E174)</f>
        <v/>
      </c>
      <c r="D171" s="149" t="str">
        <f>IF('Real Property'!I174=0,"",'Real Property'!I174)</f>
        <v/>
      </c>
      <c r="E171" s="150" t="str">
        <f>IFERROR(IF('Real Property'!AF174=0,"",'Real Property'!AF174),"")</f>
        <v/>
      </c>
      <c r="F171" s="150" t="str">
        <f>IFERROR(IF('Real Property'!AH174=0,"",'Real Property'!AH174),"")</f>
        <v/>
      </c>
      <c r="G171" s="156" t="str">
        <f>IF('Real Property'!AI174=0,"",'Real Property'!AI174)</f>
        <v/>
      </c>
    </row>
    <row r="172" spans="1:7">
      <c r="A172" s="149" t="str">
        <f>IF('Real Property'!A175=0,"",'Real Property'!A175)</f>
        <v/>
      </c>
      <c r="B172" s="147" t="str">
        <f>IF('Real Property'!B175=0,"",'Real Property'!B175)</f>
        <v/>
      </c>
      <c r="C172" s="148" t="str">
        <f>IF('Real Property'!E175=0,"",'Real Property'!E175)</f>
        <v/>
      </c>
      <c r="D172" s="149" t="str">
        <f>IF('Real Property'!I175=0,"",'Real Property'!I175)</f>
        <v/>
      </c>
      <c r="E172" s="150" t="str">
        <f>IFERROR(IF('Real Property'!AF175=0,"",'Real Property'!AF175),"")</f>
        <v/>
      </c>
      <c r="F172" s="150" t="str">
        <f>IFERROR(IF('Real Property'!AH175=0,"",'Real Property'!AH175),"")</f>
        <v/>
      </c>
      <c r="G172" s="156" t="str">
        <f>IF('Real Property'!AI175=0,"",'Real Property'!AI175)</f>
        <v/>
      </c>
    </row>
    <row r="173" spans="1:7">
      <c r="A173" s="149" t="str">
        <f>IF('Real Property'!A176=0,"",'Real Property'!A176)</f>
        <v/>
      </c>
      <c r="B173" s="147" t="str">
        <f>IF('Real Property'!B176=0,"",'Real Property'!B176)</f>
        <v/>
      </c>
      <c r="C173" s="148" t="str">
        <f>IF('Real Property'!E176=0,"",'Real Property'!E176)</f>
        <v/>
      </c>
      <c r="D173" s="149" t="str">
        <f>IF('Real Property'!I176=0,"",'Real Property'!I176)</f>
        <v/>
      </c>
      <c r="E173" s="150" t="str">
        <f>IFERROR(IF('Real Property'!AF176=0,"",'Real Property'!AF176),"")</f>
        <v/>
      </c>
      <c r="F173" s="150" t="str">
        <f>IFERROR(IF('Real Property'!AH176=0,"",'Real Property'!AH176),"")</f>
        <v/>
      </c>
      <c r="G173" s="156" t="str">
        <f>IF('Real Property'!AI176=0,"",'Real Property'!AI176)</f>
        <v/>
      </c>
    </row>
    <row r="174" spans="1:7">
      <c r="A174" s="149" t="str">
        <f>IF('Real Property'!A177=0,"",'Real Property'!A177)</f>
        <v/>
      </c>
      <c r="B174" s="147" t="str">
        <f>IF('Real Property'!B177=0,"",'Real Property'!B177)</f>
        <v/>
      </c>
      <c r="C174" s="148" t="str">
        <f>IF('Real Property'!E177=0,"",'Real Property'!E177)</f>
        <v/>
      </c>
      <c r="D174" s="149" t="str">
        <f>IF('Real Property'!I177=0,"",'Real Property'!I177)</f>
        <v/>
      </c>
      <c r="E174" s="150" t="str">
        <f>IFERROR(IF('Real Property'!AF177=0,"",'Real Property'!AF177),"")</f>
        <v/>
      </c>
      <c r="F174" s="150" t="str">
        <f>IFERROR(IF('Real Property'!AH177=0,"",'Real Property'!AH177),"")</f>
        <v/>
      </c>
      <c r="G174" s="156" t="str">
        <f>IF('Real Property'!AI177=0,"",'Real Property'!AI177)</f>
        <v/>
      </c>
    </row>
    <row r="175" spans="1:7">
      <c r="A175" s="149" t="str">
        <f>IF('Real Property'!A178=0,"",'Real Property'!A178)</f>
        <v/>
      </c>
      <c r="B175" s="147" t="str">
        <f>IF('Real Property'!B178=0,"",'Real Property'!B178)</f>
        <v/>
      </c>
      <c r="C175" s="148" t="str">
        <f>IF('Real Property'!E178=0,"",'Real Property'!E178)</f>
        <v/>
      </c>
      <c r="D175" s="149" t="str">
        <f>IF('Real Property'!I178=0,"",'Real Property'!I178)</f>
        <v/>
      </c>
      <c r="E175" s="150" t="str">
        <f>IFERROR(IF('Real Property'!AF178=0,"",'Real Property'!AF178),"")</f>
        <v/>
      </c>
      <c r="F175" s="150" t="str">
        <f>IFERROR(IF('Real Property'!AH178=0,"",'Real Property'!AH178),"")</f>
        <v/>
      </c>
      <c r="G175" s="156" t="str">
        <f>IF('Real Property'!AI178=0,"",'Real Property'!AI178)</f>
        <v/>
      </c>
    </row>
    <row r="176" spans="1:7">
      <c r="A176" s="149" t="str">
        <f>IF('Real Property'!A179=0,"",'Real Property'!A179)</f>
        <v/>
      </c>
      <c r="B176" s="147" t="str">
        <f>IF('Real Property'!B179=0,"",'Real Property'!B179)</f>
        <v/>
      </c>
      <c r="C176" s="148" t="str">
        <f>IF('Real Property'!E179=0,"",'Real Property'!E179)</f>
        <v/>
      </c>
      <c r="D176" s="149" t="str">
        <f>IF('Real Property'!I179=0,"",'Real Property'!I179)</f>
        <v/>
      </c>
      <c r="E176" s="150" t="str">
        <f>IFERROR(IF('Real Property'!AF179=0,"",'Real Property'!AF179),"")</f>
        <v/>
      </c>
      <c r="F176" s="150" t="str">
        <f>IFERROR(IF('Real Property'!AH179=0,"",'Real Property'!AH179),"")</f>
        <v/>
      </c>
      <c r="G176" s="156" t="str">
        <f>IF('Real Property'!AI179=0,"",'Real Property'!AI179)</f>
        <v/>
      </c>
    </row>
    <row r="177" spans="1:7">
      <c r="A177" s="149" t="str">
        <f>IF('Real Property'!A180=0,"",'Real Property'!A180)</f>
        <v/>
      </c>
      <c r="B177" s="147" t="str">
        <f>IF('Real Property'!B180=0,"",'Real Property'!B180)</f>
        <v/>
      </c>
      <c r="C177" s="148" t="str">
        <f>IF('Real Property'!E180=0,"",'Real Property'!E180)</f>
        <v/>
      </c>
      <c r="D177" s="149" t="str">
        <f>IF('Real Property'!I180=0,"",'Real Property'!I180)</f>
        <v/>
      </c>
      <c r="E177" s="150" t="str">
        <f>IFERROR(IF('Real Property'!AF180=0,"",'Real Property'!AF180),"")</f>
        <v/>
      </c>
      <c r="F177" s="150" t="str">
        <f>IFERROR(IF('Real Property'!AH180=0,"",'Real Property'!AH180),"")</f>
        <v/>
      </c>
      <c r="G177" s="156" t="str">
        <f>IF('Real Property'!AI180=0,"",'Real Property'!AI180)</f>
        <v/>
      </c>
    </row>
    <row r="178" spans="1:7">
      <c r="A178" s="149" t="str">
        <f>IF('Real Property'!A181=0,"",'Real Property'!A181)</f>
        <v/>
      </c>
      <c r="B178" s="147" t="str">
        <f>IF('Real Property'!B181=0,"",'Real Property'!B181)</f>
        <v/>
      </c>
      <c r="C178" s="148" t="str">
        <f>IF('Real Property'!E181=0,"",'Real Property'!E181)</f>
        <v/>
      </c>
      <c r="D178" s="149" t="str">
        <f>IF('Real Property'!I181=0,"",'Real Property'!I181)</f>
        <v/>
      </c>
      <c r="E178" s="150" t="str">
        <f>IFERROR(IF('Real Property'!AF181=0,"",'Real Property'!AF181),"")</f>
        <v/>
      </c>
      <c r="F178" s="150" t="str">
        <f>IFERROR(IF('Real Property'!AH181=0,"",'Real Property'!AH181),"")</f>
        <v/>
      </c>
      <c r="G178" s="156" t="str">
        <f>IF('Real Property'!AI181=0,"",'Real Property'!AI181)</f>
        <v/>
      </c>
    </row>
    <row r="179" spans="1:7">
      <c r="A179" s="149" t="str">
        <f>IF('Real Property'!A182=0,"",'Real Property'!A182)</f>
        <v/>
      </c>
      <c r="B179" s="147" t="str">
        <f>IF('Real Property'!B182=0,"",'Real Property'!B182)</f>
        <v/>
      </c>
      <c r="C179" s="148" t="str">
        <f>IF('Real Property'!E182=0,"",'Real Property'!E182)</f>
        <v/>
      </c>
      <c r="D179" s="149" t="str">
        <f>IF('Real Property'!I182=0,"",'Real Property'!I182)</f>
        <v/>
      </c>
      <c r="E179" s="150" t="str">
        <f>IFERROR(IF('Real Property'!AF182=0,"",'Real Property'!AF182),"")</f>
        <v/>
      </c>
      <c r="F179" s="150" t="str">
        <f>IFERROR(IF('Real Property'!AH182=0,"",'Real Property'!AH182),"")</f>
        <v/>
      </c>
      <c r="G179" s="156" t="str">
        <f>IF('Real Property'!AI182=0,"",'Real Property'!AI182)</f>
        <v/>
      </c>
    </row>
    <row r="180" spans="1:7">
      <c r="A180" s="149" t="str">
        <f>IF('Real Property'!A183=0,"",'Real Property'!A183)</f>
        <v/>
      </c>
      <c r="B180" s="147" t="str">
        <f>IF('Real Property'!B183=0,"",'Real Property'!B183)</f>
        <v/>
      </c>
      <c r="C180" s="148" t="str">
        <f>IF('Real Property'!E183=0,"",'Real Property'!E183)</f>
        <v/>
      </c>
      <c r="D180" s="149" t="str">
        <f>IF('Real Property'!I183=0,"",'Real Property'!I183)</f>
        <v/>
      </c>
      <c r="E180" s="150" t="str">
        <f>IFERROR(IF('Real Property'!AF183=0,"",'Real Property'!AF183),"")</f>
        <v/>
      </c>
      <c r="F180" s="150" t="str">
        <f>IFERROR(IF('Real Property'!AH183=0,"",'Real Property'!AH183),"")</f>
        <v/>
      </c>
      <c r="G180" s="156" t="str">
        <f>IF('Real Property'!AI183=0,"",'Real Property'!AI183)</f>
        <v/>
      </c>
    </row>
    <row r="181" spans="1:7">
      <c r="A181" s="149" t="str">
        <f>IF('Real Property'!A184=0,"",'Real Property'!A184)</f>
        <v/>
      </c>
      <c r="B181" s="147" t="str">
        <f>IF('Real Property'!B184=0,"",'Real Property'!B184)</f>
        <v/>
      </c>
      <c r="C181" s="148" t="str">
        <f>IF('Real Property'!E184=0,"",'Real Property'!E184)</f>
        <v/>
      </c>
      <c r="D181" s="149" t="str">
        <f>IF('Real Property'!I184=0,"",'Real Property'!I184)</f>
        <v/>
      </c>
      <c r="E181" s="150" t="str">
        <f>IFERROR(IF('Real Property'!AF184=0,"",'Real Property'!AF184),"")</f>
        <v/>
      </c>
      <c r="F181" s="150" t="str">
        <f>IFERROR(IF('Real Property'!AH184=0,"",'Real Property'!AH184),"")</f>
        <v/>
      </c>
      <c r="G181" s="156" t="str">
        <f>IF('Real Property'!AI184=0,"",'Real Property'!AI184)</f>
        <v/>
      </c>
    </row>
    <row r="182" spans="1:7">
      <c r="A182" s="149" t="str">
        <f>IF('Real Property'!A185=0,"",'Real Property'!A185)</f>
        <v/>
      </c>
      <c r="B182" s="147" t="str">
        <f>IF('Real Property'!B185=0,"",'Real Property'!B185)</f>
        <v/>
      </c>
      <c r="C182" s="148" t="str">
        <f>IF('Real Property'!E185=0,"",'Real Property'!E185)</f>
        <v/>
      </c>
      <c r="D182" s="149" t="str">
        <f>IF('Real Property'!I185=0,"",'Real Property'!I185)</f>
        <v/>
      </c>
      <c r="E182" s="150" t="str">
        <f>IFERROR(IF('Real Property'!AF185=0,"",'Real Property'!AF185),"")</f>
        <v/>
      </c>
      <c r="F182" s="150" t="str">
        <f>IFERROR(IF('Real Property'!AH185=0,"",'Real Property'!AH185),"")</f>
        <v/>
      </c>
      <c r="G182" s="156" t="str">
        <f>IF('Real Property'!AI185=0,"",'Real Property'!AI185)</f>
        <v/>
      </c>
    </row>
    <row r="183" spans="1:7">
      <c r="A183" s="149" t="str">
        <f>IF('Real Property'!A186=0,"",'Real Property'!A186)</f>
        <v/>
      </c>
      <c r="B183" s="147" t="str">
        <f>IF('Real Property'!B186=0,"",'Real Property'!B186)</f>
        <v/>
      </c>
      <c r="C183" s="148" t="str">
        <f>IF('Real Property'!E186=0,"",'Real Property'!E186)</f>
        <v/>
      </c>
      <c r="D183" s="149" t="str">
        <f>IF('Real Property'!I186=0,"",'Real Property'!I186)</f>
        <v/>
      </c>
      <c r="E183" s="150" t="str">
        <f>IFERROR(IF('Real Property'!AF186=0,"",'Real Property'!AF186),"")</f>
        <v/>
      </c>
      <c r="F183" s="150" t="str">
        <f>IFERROR(IF('Real Property'!AH186=0,"",'Real Property'!AH186),"")</f>
        <v/>
      </c>
      <c r="G183" s="156" t="str">
        <f>IF('Real Property'!AI186=0,"",'Real Property'!AI186)</f>
        <v/>
      </c>
    </row>
    <row r="184" spans="1:7">
      <c r="A184" s="149" t="str">
        <f>IF('Real Property'!A187=0,"",'Real Property'!A187)</f>
        <v/>
      </c>
      <c r="B184" s="147" t="str">
        <f>IF('Real Property'!B187=0,"",'Real Property'!B187)</f>
        <v/>
      </c>
      <c r="C184" s="148" t="str">
        <f>IF('Real Property'!E187=0,"",'Real Property'!E187)</f>
        <v/>
      </c>
      <c r="D184" s="149" t="str">
        <f>IF('Real Property'!I187=0,"",'Real Property'!I187)</f>
        <v/>
      </c>
      <c r="E184" s="150" t="str">
        <f>IFERROR(IF('Real Property'!AF187=0,"",'Real Property'!AF187),"")</f>
        <v/>
      </c>
      <c r="F184" s="150" t="str">
        <f>IFERROR(IF('Real Property'!AH187=0,"",'Real Property'!AH187),"")</f>
        <v/>
      </c>
      <c r="G184" s="156" t="str">
        <f>IF('Real Property'!AI187=0,"",'Real Property'!AI187)</f>
        <v/>
      </c>
    </row>
    <row r="185" spans="1:7">
      <c r="A185" s="149" t="str">
        <f>IF('Real Property'!A188=0,"",'Real Property'!A188)</f>
        <v/>
      </c>
      <c r="B185" s="147" t="str">
        <f>IF('Real Property'!B188=0,"",'Real Property'!B188)</f>
        <v/>
      </c>
      <c r="C185" s="148" t="str">
        <f>IF('Real Property'!E188=0,"",'Real Property'!E188)</f>
        <v/>
      </c>
      <c r="D185" s="149" t="str">
        <f>IF('Real Property'!I188=0,"",'Real Property'!I188)</f>
        <v/>
      </c>
      <c r="E185" s="150" t="str">
        <f>IFERROR(IF('Real Property'!AF188=0,"",'Real Property'!AF188),"")</f>
        <v/>
      </c>
      <c r="F185" s="150" t="str">
        <f>IFERROR(IF('Real Property'!AH188=0,"",'Real Property'!AH188),"")</f>
        <v/>
      </c>
      <c r="G185" s="156" t="str">
        <f>IF('Real Property'!AI188=0,"",'Real Property'!AI188)</f>
        <v/>
      </c>
    </row>
    <row r="186" spans="1:7">
      <c r="A186" s="149" t="str">
        <f>IF('Real Property'!A189=0,"",'Real Property'!A189)</f>
        <v/>
      </c>
      <c r="B186" s="147" t="str">
        <f>IF('Real Property'!B189=0,"",'Real Property'!B189)</f>
        <v/>
      </c>
      <c r="C186" s="148" t="str">
        <f>IF('Real Property'!E189=0,"",'Real Property'!E189)</f>
        <v/>
      </c>
      <c r="D186" s="149" t="str">
        <f>IF('Real Property'!I189=0,"",'Real Property'!I189)</f>
        <v/>
      </c>
      <c r="E186" s="150" t="str">
        <f>IFERROR(IF('Real Property'!AF189=0,"",'Real Property'!AF189),"")</f>
        <v/>
      </c>
      <c r="F186" s="150" t="str">
        <f>IFERROR(IF('Real Property'!AH189=0,"",'Real Property'!AH189),"")</f>
        <v/>
      </c>
      <c r="G186" s="156" t="str">
        <f>IF('Real Property'!AI189=0,"",'Real Property'!AI189)</f>
        <v/>
      </c>
    </row>
    <row r="187" spans="1:7">
      <c r="A187" s="149" t="str">
        <f>IF('Real Property'!A190=0,"",'Real Property'!A190)</f>
        <v/>
      </c>
      <c r="B187" s="147" t="str">
        <f>IF('Real Property'!B190=0,"",'Real Property'!B190)</f>
        <v/>
      </c>
      <c r="C187" s="148" t="str">
        <f>IF('Real Property'!E190=0,"",'Real Property'!E190)</f>
        <v/>
      </c>
      <c r="D187" s="149" t="str">
        <f>IF('Real Property'!I190=0,"",'Real Property'!I190)</f>
        <v/>
      </c>
      <c r="E187" s="150" t="str">
        <f>IFERROR(IF('Real Property'!AF190=0,"",'Real Property'!AF190),"")</f>
        <v/>
      </c>
      <c r="F187" s="150" t="str">
        <f>IFERROR(IF('Real Property'!AH190=0,"",'Real Property'!AH190),"")</f>
        <v/>
      </c>
      <c r="G187" s="156" t="str">
        <f>IF('Real Property'!AI190=0,"",'Real Property'!AI190)</f>
        <v/>
      </c>
    </row>
    <row r="188" spans="1:7">
      <c r="A188" s="149" t="str">
        <f>IF('Real Property'!A191=0,"",'Real Property'!A191)</f>
        <v/>
      </c>
      <c r="B188" s="147" t="str">
        <f>IF('Real Property'!B191=0,"",'Real Property'!B191)</f>
        <v/>
      </c>
      <c r="C188" s="148" t="str">
        <f>IF('Real Property'!E191=0,"",'Real Property'!E191)</f>
        <v/>
      </c>
      <c r="D188" s="149" t="str">
        <f>IF('Real Property'!I191=0,"",'Real Property'!I191)</f>
        <v/>
      </c>
      <c r="E188" s="150" t="str">
        <f>IFERROR(IF('Real Property'!AF191=0,"",'Real Property'!AF191),"")</f>
        <v/>
      </c>
      <c r="F188" s="150" t="str">
        <f>IFERROR(IF('Real Property'!AH191=0,"",'Real Property'!AH191),"")</f>
        <v/>
      </c>
      <c r="G188" s="156" t="str">
        <f>IF('Real Property'!AI191=0,"",'Real Property'!AI191)</f>
        <v/>
      </c>
    </row>
    <row r="189" spans="1:7">
      <c r="A189" s="149" t="str">
        <f>IF('Real Property'!A192=0,"",'Real Property'!A192)</f>
        <v/>
      </c>
      <c r="B189" s="147" t="str">
        <f>IF('Real Property'!B192=0,"",'Real Property'!B192)</f>
        <v/>
      </c>
      <c r="C189" s="148" t="str">
        <f>IF('Real Property'!E192=0,"",'Real Property'!E192)</f>
        <v/>
      </c>
      <c r="D189" s="149" t="str">
        <f>IF('Real Property'!I192=0,"",'Real Property'!I192)</f>
        <v/>
      </c>
      <c r="E189" s="150" t="str">
        <f>IFERROR(IF('Real Property'!AF192=0,"",'Real Property'!AF192),"")</f>
        <v/>
      </c>
      <c r="F189" s="150" t="str">
        <f>IFERROR(IF('Real Property'!AH192=0,"",'Real Property'!AH192),"")</f>
        <v/>
      </c>
      <c r="G189" s="156" t="str">
        <f>IF('Real Property'!AI192=0,"",'Real Property'!AI192)</f>
        <v/>
      </c>
    </row>
    <row r="190" spans="1:7">
      <c r="A190" s="149" t="str">
        <f>IF('Real Property'!A193=0,"",'Real Property'!A193)</f>
        <v/>
      </c>
      <c r="B190" s="147" t="str">
        <f>IF('Real Property'!B193=0,"",'Real Property'!B193)</f>
        <v/>
      </c>
      <c r="C190" s="148" t="str">
        <f>IF('Real Property'!E193=0,"",'Real Property'!E193)</f>
        <v/>
      </c>
      <c r="D190" s="149" t="str">
        <f>IF('Real Property'!I193=0,"",'Real Property'!I193)</f>
        <v/>
      </c>
      <c r="E190" s="150" t="str">
        <f>IFERROR(IF('Real Property'!AF193=0,"",'Real Property'!AF193),"")</f>
        <v/>
      </c>
      <c r="F190" s="150" t="str">
        <f>IFERROR(IF('Real Property'!AH193=0,"",'Real Property'!AH193),"")</f>
        <v/>
      </c>
      <c r="G190" s="156" t="str">
        <f>IF('Real Property'!AI193=0,"",'Real Property'!AI193)</f>
        <v/>
      </c>
    </row>
    <row r="191" spans="1:7">
      <c r="A191" s="149" t="str">
        <f>IF('Real Property'!A194=0,"",'Real Property'!A194)</f>
        <v/>
      </c>
      <c r="B191" s="147" t="str">
        <f>IF('Real Property'!B194=0,"",'Real Property'!B194)</f>
        <v/>
      </c>
      <c r="C191" s="148" t="str">
        <f>IF('Real Property'!E194=0,"",'Real Property'!E194)</f>
        <v/>
      </c>
      <c r="D191" s="149" t="str">
        <f>IF('Real Property'!I194=0,"",'Real Property'!I194)</f>
        <v/>
      </c>
      <c r="E191" s="150" t="str">
        <f>IFERROR(IF('Real Property'!AF194=0,"",'Real Property'!AF194),"")</f>
        <v/>
      </c>
      <c r="F191" s="150" t="str">
        <f>IFERROR(IF('Real Property'!AH194=0,"",'Real Property'!AH194),"")</f>
        <v/>
      </c>
      <c r="G191" s="156" t="str">
        <f>IF('Real Property'!AI194=0,"",'Real Property'!AI194)</f>
        <v/>
      </c>
    </row>
    <row r="192" spans="1:7">
      <c r="A192" s="149" t="str">
        <f>IF('Real Property'!A195=0,"",'Real Property'!A195)</f>
        <v/>
      </c>
      <c r="B192" s="147" t="str">
        <f>IF('Real Property'!B195=0,"",'Real Property'!B195)</f>
        <v/>
      </c>
      <c r="C192" s="148" t="str">
        <f>IF('Real Property'!E195=0,"",'Real Property'!E195)</f>
        <v/>
      </c>
      <c r="D192" s="149" t="str">
        <f>IF('Real Property'!I195=0,"",'Real Property'!I195)</f>
        <v/>
      </c>
      <c r="E192" s="150" t="str">
        <f>IFERROR(IF('Real Property'!AF195=0,"",'Real Property'!AF195),"")</f>
        <v/>
      </c>
      <c r="F192" s="150" t="str">
        <f>IFERROR(IF('Real Property'!AH195=0,"",'Real Property'!AH195),"")</f>
        <v/>
      </c>
      <c r="G192" s="156" t="str">
        <f>IF('Real Property'!AI195=0,"",'Real Property'!AI195)</f>
        <v/>
      </c>
    </row>
    <row r="193" spans="1:7">
      <c r="A193" s="149" t="str">
        <f>IF('Real Property'!A196=0,"",'Real Property'!A196)</f>
        <v/>
      </c>
      <c r="B193" s="147" t="str">
        <f>IF('Real Property'!B196=0,"",'Real Property'!B196)</f>
        <v/>
      </c>
      <c r="C193" s="148" t="str">
        <f>IF('Real Property'!E196=0,"",'Real Property'!E196)</f>
        <v/>
      </c>
      <c r="D193" s="149" t="str">
        <f>IF('Real Property'!I196=0,"",'Real Property'!I196)</f>
        <v/>
      </c>
      <c r="E193" s="150" t="str">
        <f>IFERROR(IF('Real Property'!AF196=0,"",'Real Property'!AF196),"")</f>
        <v/>
      </c>
      <c r="F193" s="150" t="str">
        <f>IFERROR(IF('Real Property'!AH196=0,"",'Real Property'!AH196),"")</f>
        <v/>
      </c>
      <c r="G193" s="156" t="str">
        <f>IF('Real Property'!AI196=0,"",'Real Property'!AI196)</f>
        <v/>
      </c>
    </row>
    <row r="194" spans="1:7">
      <c r="A194" s="149" t="str">
        <f>IF('Real Property'!A197=0,"",'Real Property'!A197)</f>
        <v/>
      </c>
      <c r="B194" s="147" t="str">
        <f>IF('Real Property'!B197=0,"",'Real Property'!B197)</f>
        <v/>
      </c>
      <c r="C194" s="148" t="str">
        <f>IF('Real Property'!E197=0,"",'Real Property'!E197)</f>
        <v/>
      </c>
      <c r="D194" s="149" t="str">
        <f>IF('Real Property'!I197=0,"",'Real Property'!I197)</f>
        <v/>
      </c>
      <c r="E194" s="150" t="str">
        <f>IFERROR(IF('Real Property'!AF197=0,"",'Real Property'!AF197),"")</f>
        <v/>
      </c>
      <c r="F194" s="150" t="str">
        <f>IFERROR(IF('Real Property'!AH197=0,"",'Real Property'!AH197),"")</f>
        <v/>
      </c>
      <c r="G194" s="156" t="str">
        <f>IF('Real Property'!AI197=0,"",'Real Property'!AI197)</f>
        <v/>
      </c>
    </row>
    <row r="195" spans="1:7">
      <c r="A195" s="149" t="str">
        <f>IF('Real Property'!A198=0,"",'Real Property'!A198)</f>
        <v/>
      </c>
      <c r="B195" s="147" t="str">
        <f>IF('Real Property'!B198=0,"",'Real Property'!B198)</f>
        <v/>
      </c>
      <c r="C195" s="148" t="str">
        <f>IF('Real Property'!E198=0,"",'Real Property'!E198)</f>
        <v/>
      </c>
      <c r="D195" s="149" t="str">
        <f>IF('Real Property'!I198=0,"",'Real Property'!I198)</f>
        <v/>
      </c>
      <c r="E195" s="150" t="str">
        <f>IFERROR(IF('Real Property'!AF198=0,"",'Real Property'!AF198),"")</f>
        <v/>
      </c>
      <c r="F195" s="150" t="str">
        <f>IFERROR(IF('Real Property'!AH198=0,"",'Real Property'!AH198),"")</f>
        <v/>
      </c>
      <c r="G195" s="156" t="str">
        <f>IF('Real Property'!AI198=0,"",'Real Property'!AI198)</f>
        <v/>
      </c>
    </row>
    <row r="196" spans="1:7">
      <c r="A196" s="149" t="str">
        <f>IF('Real Property'!A199=0,"",'Real Property'!A199)</f>
        <v/>
      </c>
      <c r="B196" s="147" t="str">
        <f>IF('Real Property'!B199=0,"",'Real Property'!B199)</f>
        <v/>
      </c>
      <c r="C196" s="148" t="str">
        <f>IF('Real Property'!E199=0,"",'Real Property'!E199)</f>
        <v/>
      </c>
      <c r="D196" s="149" t="str">
        <f>IF('Real Property'!I199=0,"",'Real Property'!I199)</f>
        <v/>
      </c>
      <c r="E196" s="150" t="str">
        <f>IFERROR(IF('Real Property'!AF199=0,"",'Real Property'!AF199),"")</f>
        <v/>
      </c>
      <c r="F196" s="150" t="str">
        <f>IFERROR(IF('Real Property'!AH199=0,"",'Real Property'!AH199),"")</f>
        <v/>
      </c>
      <c r="G196" s="156" t="str">
        <f>IF('Real Property'!AI199=0,"",'Real Property'!AI199)</f>
        <v/>
      </c>
    </row>
    <row r="197" spans="1:7">
      <c r="A197" s="149" t="str">
        <f>IF('Real Property'!A200=0,"",'Real Property'!A200)</f>
        <v/>
      </c>
      <c r="B197" s="147" t="str">
        <f>IF('Real Property'!B200=0,"",'Real Property'!B200)</f>
        <v/>
      </c>
      <c r="C197" s="148" t="str">
        <f>IF('Real Property'!E200=0,"",'Real Property'!E200)</f>
        <v/>
      </c>
      <c r="D197" s="149" t="str">
        <f>IF('Real Property'!I200=0,"",'Real Property'!I200)</f>
        <v/>
      </c>
      <c r="E197" s="150" t="str">
        <f>IFERROR(IF('Real Property'!AF200=0,"",'Real Property'!AF200),"")</f>
        <v/>
      </c>
      <c r="F197" s="150" t="str">
        <f>IFERROR(IF('Real Property'!AH200=0,"",'Real Property'!AH200),"")</f>
        <v/>
      </c>
      <c r="G197" s="156" t="str">
        <f>IF('Real Property'!AI200=0,"",'Real Property'!AI200)</f>
        <v/>
      </c>
    </row>
    <row r="198" spans="1:7">
      <c r="A198" s="149" t="str">
        <f>IF('Real Property'!A201=0,"",'Real Property'!A201)</f>
        <v/>
      </c>
      <c r="B198" s="147" t="str">
        <f>IF('Real Property'!B201=0,"",'Real Property'!B201)</f>
        <v/>
      </c>
      <c r="C198" s="148" t="str">
        <f>IF('Real Property'!E201=0,"",'Real Property'!E201)</f>
        <v/>
      </c>
      <c r="D198" s="149" t="str">
        <f>IF('Real Property'!I201=0,"",'Real Property'!I201)</f>
        <v/>
      </c>
      <c r="E198" s="150" t="str">
        <f>IFERROR(IF('Real Property'!AF201=0,"",'Real Property'!AF201),"")</f>
        <v/>
      </c>
      <c r="F198" s="150" t="str">
        <f>IFERROR(IF('Real Property'!AH201=0,"",'Real Property'!AH201),"")</f>
        <v/>
      </c>
      <c r="G198" s="156" t="str">
        <f>IF('Real Property'!AI201=0,"",'Real Property'!AI201)</f>
        <v/>
      </c>
    </row>
    <row r="199" spans="1:7">
      <c r="A199" s="149" t="str">
        <f>IF('Real Property'!A202=0,"",'Real Property'!A202)</f>
        <v/>
      </c>
      <c r="B199" s="147" t="str">
        <f>IF('Real Property'!B202=0,"",'Real Property'!B202)</f>
        <v/>
      </c>
      <c r="C199" s="148" t="str">
        <f>IF('Real Property'!E202=0,"",'Real Property'!E202)</f>
        <v/>
      </c>
      <c r="D199" s="149" t="str">
        <f>IF('Real Property'!I202=0,"",'Real Property'!I202)</f>
        <v/>
      </c>
      <c r="E199" s="150" t="str">
        <f>IFERROR(IF('Real Property'!AF202=0,"",'Real Property'!AF202),"")</f>
        <v/>
      </c>
      <c r="F199" s="150" t="str">
        <f>IFERROR(IF('Real Property'!AH202=0,"",'Real Property'!AH202),"")</f>
        <v/>
      </c>
      <c r="G199" s="156" t="str">
        <f>IF('Real Property'!AI202=0,"",'Real Property'!AI202)</f>
        <v/>
      </c>
    </row>
    <row r="200" spans="1:7">
      <c r="A200" s="149" t="str">
        <f>IF('Real Property'!A203=0,"",'Real Property'!A203)</f>
        <v/>
      </c>
      <c r="B200" s="147" t="str">
        <f>IF('Real Property'!B203=0,"",'Real Property'!B203)</f>
        <v/>
      </c>
      <c r="C200" s="148" t="str">
        <f>IF('Real Property'!E203=0,"",'Real Property'!E203)</f>
        <v/>
      </c>
      <c r="D200" s="149" t="str">
        <f>IF('Real Property'!I203=0,"",'Real Property'!I203)</f>
        <v/>
      </c>
      <c r="E200" s="150" t="str">
        <f>IFERROR(IF('Real Property'!AF203=0,"",'Real Property'!AF203),"")</f>
        <v/>
      </c>
      <c r="F200" s="150" t="str">
        <f>IFERROR(IF('Real Property'!AH203=0,"",'Real Property'!AH203),"")</f>
        <v/>
      </c>
      <c r="G200" s="156" t="str">
        <f>IF('Real Property'!AI203=0,"",'Real Property'!AI203)</f>
        <v/>
      </c>
    </row>
    <row r="201" spans="1:7">
      <c r="A201" s="149" t="str">
        <f>IF('Real Property'!A204=0,"",'Real Property'!A204)</f>
        <v/>
      </c>
      <c r="B201" s="147" t="str">
        <f>IF('Real Property'!B204=0,"",'Real Property'!B204)</f>
        <v/>
      </c>
      <c r="C201" s="148" t="str">
        <f>IF('Real Property'!E204=0,"",'Real Property'!E204)</f>
        <v/>
      </c>
      <c r="D201" s="149" t="str">
        <f>IF('Real Property'!I204=0,"",'Real Property'!I204)</f>
        <v/>
      </c>
      <c r="E201" s="150" t="str">
        <f>IFERROR(IF('Real Property'!AF204=0,"",'Real Property'!AF204),"")</f>
        <v/>
      </c>
      <c r="F201" s="150" t="str">
        <f>IFERROR(IF('Real Property'!AH204=0,"",'Real Property'!AH204),"")</f>
        <v/>
      </c>
      <c r="G201" s="156" t="str">
        <f>IF('Real Property'!AI204=0,"",'Real Property'!AI204)</f>
        <v/>
      </c>
    </row>
    <row r="202" spans="1:7">
      <c r="A202" s="149" t="str">
        <f>IF('Real Property'!A205=0,"",'Real Property'!A205)</f>
        <v/>
      </c>
      <c r="B202" s="147" t="str">
        <f>IF('Real Property'!B205=0,"",'Real Property'!B205)</f>
        <v/>
      </c>
      <c r="C202" s="148" t="str">
        <f>IF('Real Property'!E205=0,"",'Real Property'!E205)</f>
        <v/>
      </c>
      <c r="D202" s="149" t="str">
        <f>IF('Real Property'!I205=0,"",'Real Property'!I205)</f>
        <v/>
      </c>
      <c r="E202" s="150" t="str">
        <f>IFERROR(IF('Real Property'!AF205=0,"",'Real Property'!AF205),"")</f>
        <v/>
      </c>
      <c r="F202" s="150" t="str">
        <f>IFERROR(IF('Real Property'!AH205=0,"",'Real Property'!AH205),"")</f>
        <v/>
      </c>
      <c r="G202" s="156" t="str">
        <f>IF('Real Property'!AI205=0,"",'Real Property'!AI205)</f>
        <v/>
      </c>
    </row>
    <row r="203" spans="1:7">
      <c r="A203" s="149" t="str">
        <f>IF('Real Property'!A206=0,"",'Real Property'!A206)</f>
        <v/>
      </c>
      <c r="B203" s="147" t="str">
        <f>IF('Real Property'!B206=0,"",'Real Property'!B206)</f>
        <v/>
      </c>
      <c r="C203" s="148" t="str">
        <f>IF('Real Property'!E206=0,"",'Real Property'!E206)</f>
        <v/>
      </c>
      <c r="D203" s="149" t="str">
        <f>IF('Real Property'!I206=0,"",'Real Property'!I206)</f>
        <v/>
      </c>
      <c r="E203" s="150" t="str">
        <f>IFERROR(IF('Real Property'!AF206=0,"",'Real Property'!AF206),"")</f>
        <v/>
      </c>
      <c r="F203" s="150" t="str">
        <f>IFERROR(IF('Real Property'!AH206=0,"",'Real Property'!AH206),"")</f>
        <v/>
      </c>
      <c r="G203" s="156" t="str">
        <f>IF('Real Property'!AI206=0,"",'Real Property'!AI206)</f>
        <v/>
      </c>
    </row>
    <row r="204" spans="1:7">
      <c r="A204" s="149" t="str">
        <f>IF('Real Property'!A207=0,"",'Real Property'!A207)</f>
        <v/>
      </c>
      <c r="B204" s="147" t="str">
        <f>IF('Real Property'!B207=0,"",'Real Property'!B207)</f>
        <v/>
      </c>
      <c r="C204" s="148" t="str">
        <f>IF('Real Property'!E207=0,"",'Real Property'!E207)</f>
        <v/>
      </c>
      <c r="D204" s="149" t="str">
        <f>IF('Real Property'!I207=0,"",'Real Property'!I207)</f>
        <v/>
      </c>
      <c r="E204" s="150" t="str">
        <f>IFERROR(IF('Real Property'!AF207=0,"",'Real Property'!AF207),"")</f>
        <v/>
      </c>
      <c r="F204" s="150" t="str">
        <f>IFERROR(IF('Real Property'!AH207=0,"",'Real Property'!AH207),"")</f>
        <v/>
      </c>
      <c r="G204" s="156" t="str">
        <f>IF('Real Property'!AI207=0,"",'Real Property'!AI207)</f>
        <v/>
      </c>
    </row>
    <row r="205" spans="1:7">
      <c r="A205" s="149" t="str">
        <f>IF('Real Property'!A208=0,"",'Real Property'!A208)</f>
        <v/>
      </c>
      <c r="B205" s="147" t="str">
        <f>IF('Real Property'!B208=0,"",'Real Property'!B208)</f>
        <v/>
      </c>
      <c r="C205" s="148" t="str">
        <f>IF('Real Property'!E208=0,"",'Real Property'!E208)</f>
        <v/>
      </c>
      <c r="D205" s="149" t="str">
        <f>IF('Real Property'!I208=0,"",'Real Property'!I208)</f>
        <v/>
      </c>
      <c r="E205" s="150" t="str">
        <f>IFERROR(IF('Real Property'!AF208=0,"",'Real Property'!AF208),"")</f>
        <v/>
      </c>
      <c r="F205" s="150" t="str">
        <f>IFERROR(IF('Real Property'!AH208=0,"",'Real Property'!AH208),"")</f>
        <v/>
      </c>
      <c r="G205" s="156" t="str">
        <f>IF('Real Property'!AI208=0,"",'Real Property'!AI208)</f>
        <v/>
      </c>
    </row>
    <row r="206" spans="1:7">
      <c r="A206" s="149" t="str">
        <f>IF('Real Property'!A209=0,"",'Real Property'!A209)</f>
        <v/>
      </c>
      <c r="B206" s="147" t="str">
        <f>IF('Real Property'!B209=0,"",'Real Property'!B209)</f>
        <v/>
      </c>
      <c r="C206" s="148" t="str">
        <f>IF('Real Property'!E209=0,"",'Real Property'!E209)</f>
        <v/>
      </c>
      <c r="D206" s="149" t="str">
        <f>IF('Real Property'!I209=0,"",'Real Property'!I209)</f>
        <v/>
      </c>
      <c r="E206" s="150" t="str">
        <f>IFERROR(IF('Real Property'!AF209=0,"",'Real Property'!AF209),"")</f>
        <v/>
      </c>
      <c r="F206" s="150" t="str">
        <f>IFERROR(IF('Real Property'!AH209=0,"",'Real Property'!AH209),"")</f>
        <v/>
      </c>
      <c r="G206" s="156" t="str">
        <f>IF('Real Property'!AI209=0,"",'Real Property'!AI209)</f>
        <v/>
      </c>
    </row>
    <row r="207" spans="1:7">
      <c r="A207" s="149" t="str">
        <f>IF('Real Property'!A210=0,"",'Real Property'!A210)</f>
        <v/>
      </c>
      <c r="B207" s="147" t="str">
        <f>IF('Real Property'!B210=0,"",'Real Property'!B210)</f>
        <v/>
      </c>
      <c r="C207" s="148" t="str">
        <f>IF('Real Property'!E210=0,"",'Real Property'!E210)</f>
        <v/>
      </c>
      <c r="D207" s="149" t="str">
        <f>IF('Real Property'!I210=0,"",'Real Property'!I210)</f>
        <v/>
      </c>
      <c r="E207" s="150" t="str">
        <f>IFERROR(IF('Real Property'!AF210=0,"",'Real Property'!AF210),"")</f>
        <v/>
      </c>
      <c r="F207" s="150" t="str">
        <f>IFERROR(IF('Real Property'!AH210=0,"",'Real Property'!AH210),"")</f>
        <v/>
      </c>
      <c r="G207" s="156" t="str">
        <f>IF('Real Property'!AI210=0,"",'Real Property'!AI210)</f>
        <v/>
      </c>
    </row>
    <row r="208" spans="1:7">
      <c r="A208" s="149" t="str">
        <f>IF('Real Property'!A211=0,"",'Real Property'!A211)</f>
        <v/>
      </c>
      <c r="B208" s="147" t="str">
        <f>IF('Real Property'!B211=0,"",'Real Property'!B211)</f>
        <v/>
      </c>
      <c r="C208" s="148" t="str">
        <f>IF('Real Property'!E211=0,"",'Real Property'!E211)</f>
        <v/>
      </c>
      <c r="D208" s="149" t="str">
        <f>IF('Real Property'!I211=0,"",'Real Property'!I211)</f>
        <v/>
      </c>
      <c r="E208" s="150" t="str">
        <f>IFERROR(IF('Real Property'!AF211=0,"",'Real Property'!AF211),"")</f>
        <v/>
      </c>
      <c r="F208" s="150" t="str">
        <f>IFERROR(IF('Real Property'!AH211=0,"",'Real Property'!AH211),"")</f>
        <v/>
      </c>
      <c r="G208" s="156" t="str">
        <f>IF('Real Property'!AI211=0,"",'Real Property'!AI211)</f>
        <v/>
      </c>
    </row>
    <row r="209" spans="1:7">
      <c r="A209" s="149" t="str">
        <f>IF('Real Property'!A212=0,"",'Real Property'!A212)</f>
        <v/>
      </c>
      <c r="B209" s="147" t="str">
        <f>IF('Real Property'!B212=0,"",'Real Property'!B212)</f>
        <v/>
      </c>
      <c r="C209" s="148" t="str">
        <f>IF('Real Property'!E212=0,"",'Real Property'!E212)</f>
        <v/>
      </c>
      <c r="D209" s="149" t="str">
        <f>IF('Real Property'!I212=0,"",'Real Property'!I212)</f>
        <v/>
      </c>
      <c r="E209" s="150" t="str">
        <f>IFERROR(IF('Real Property'!AF212=0,"",'Real Property'!AF212),"")</f>
        <v/>
      </c>
      <c r="F209" s="150" t="str">
        <f>IFERROR(IF('Real Property'!AH212=0,"",'Real Property'!AH212),"")</f>
        <v/>
      </c>
      <c r="G209" s="156" t="str">
        <f>IF('Real Property'!AI212=0,"",'Real Property'!AI212)</f>
        <v/>
      </c>
    </row>
    <row r="210" spans="1:7">
      <c r="A210" s="149" t="str">
        <f>IF('Real Property'!A213=0,"",'Real Property'!A213)</f>
        <v/>
      </c>
      <c r="B210" s="147" t="str">
        <f>IF('Real Property'!B213=0,"",'Real Property'!B213)</f>
        <v/>
      </c>
      <c r="C210" s="148" t="str">
        <f>IF('Real Property'!E213=0,"",'Real Property'!E213)</f>
        <v/>
      </c>
      <c r="D210" s="149" t="str">
        <f>IF('Real Property'!I213=0,"",'Real Property'!I213)</f>
        <v/>
      </c>
      <c r="E210" s="150" t="str">
        <f>IFERROR(IF('Real Property'!AF213=0,"",'Real Property'!AF213),"")</f>
        <v/>
      </c>
      <c r="F210" s="150" t="str">
        <f>IFERROR(IF('Real Property'!AH213=0,"",'Real Property'!AH213),"")</f>
        <v/>
      </c>
      <c r="G210" s="156" t="str">
        <f>IF('Real Property'!AI213=0,"",'Real Property'!AI213)</f>
        <v/>
      </c>
    </row>
    <row r="211" spans="1:7">
      <c r="A211" s="149" t="str">
        <f>IF('Real Property'!A214=0,"",'Real Property'!A214)</f>
        <v/>
      </c>
      <c r="B211" s="147" t="str">
        <f>IF('Real Property'!B214=0,"",'Real Property'!B214)</f>
        <v/>
      </c>
      <c r="C211" s="148" t="str">
        <f>IF('Real Property'!E214=0,"",'Real Property'!E214)</f>
        <v/>
      </c>
      <c r="D211" s="149" t="str">
        <f>IF('Real Property'!I214=0,"",'Real Property'!I214)</f>
        <v/>
      </c>
      <c r="E211" s="150" t="str">
        <f>IFERROR(IF('Real Property'!AF214=0,"",'Real Property'!AF214),"")</f>
        <v/>
      </c>
      <c r="F211" s="150" t="str">
        <f>IFERROR(IF('Real Property'!AH214=0,"",'Real Property'!AH214),"")</f>
        <v/>
      </c>
      <c r="G211" s="156" t="str">
        <f>IF('Real Property'!AI214=0,"",'Real Property'!AI214)</f>
        <v/>
      </c>
    </row>
    <row r="212" spans="1:7">
      <c r="A212" s="149" t="str">
        <f>IF('Real Property'!A215=0,"",'Real Property'!A215)</f>
        <v/>
      </c>
      <c r="B212" s="147" t="str">
        <f>IF('Real Property'!B215=0,"",'Real Property'!B215)</f>
        <v/>
      </c>
      <c r="C212" s="148" t="str">
        <f>IF('Real Property'!E215=0,"",'Real Property'!E215)</f>
        <v/>
      </c>
      <c r="D212" s="149" t="str">
        <f>IF('Real Property'!I215=0,"",'Real Property'!I215)</f>
        <v/>
      </c>
      <c r="E212" s="150" t="str">
        <f>IFERROR(IF('Real Property'!AF215=0,"",'Real Property'!AF215),"")</f>
        <v/>
      </c>
      <c r="F212" s="150" t="str">
        <f>IFERROR(IF('Real Property'!AH215=0,"",'Real Property'!AH215),"")</f>
        <v/>
      </c>
      <c r="G212" s="156" t="str">
        <f>IF('Real Property'!AI215=0,"",'Real Property'!AI215)</f>
        <v/>
      </c>
    </row>
    <row r="213" spans="1:7">
      <c r="A213" s="149" t="str">
        <f>IF('Real Property'!A216=0,"",'Real Property'!A216)</f>
        <v/>
      </c>
      <c r="B213" s="147" t="str">
        <f>IF('Real Property'!B216=0,"",'Real Property'!B216)</f>
        <v/>
      </c>
      <c r="C213" s="148" t="str">
        <f>IF('Real Property'!E216=0,"",'Real Property'!E216)</f>
        <v/>
      </c>
      <c r="D213" s="149" t="str">
        <f>IF('Real Property'!I216=0,"",'Real Property'!I216)</f>
        <v/>
      </c>
      <c r="E213" s="150" t="str">
        <f>IFERROR(IF('Real Property'!AF216=0,"",'Real Property'!AF216),"")</f>
        <v/>
      </c>
      <c r="F213" s="150" t="str">
        <f>IFERROR(IF('Real Property'!AH216=0,"",'Real Property'!AH216),"")</f>
        <v/>
      </c>
      <c r="G213" s="156" t="str">
        <f>IF('Real Property'!AI216=0,"",'Real Property'!AI216)</f>
        <v/>
      </c>
    </row>
    <row r="214" spans="1:7">
      <c r="A214" s="149" t="str">
        <f>IF('Real Property'!A217=0,"",'Real Property'!A217)</f>
        <v/>
      </c>
      <c r="B214" s="147" t="str">
        <f>IF('Real Property'!B217=0,"",'Real Property'!B217)</f>
        <v/>
      </c>
      <c r="C214" s="148" t="str">
        <f>IF('Real Property'!E217=0,"",'Real Property'!E217)</f>
        <v/>
      </c>
      <c r="D214" s="149" t="str">
        <f>IF('Real Property'!I217=0,"",'Real Property'!I217)</f>
        <v/>
      </c>
      <c r="E214" s="150" t="str">
        <f>IFERROR(IF('Real Property'!AF217=0,"",'Real Property'!AF217),"")</f>
        <v/>
      </c>
      <c r="F214" s="150" t="str">
        <f>IFERROR(IF('Real Property'!AH217=0,"",'Real Property'!AH217),"")</f>
        <v/>
      </c>
      <c r="G214" s="156" t="str">
        <f>IF('Real Property'!AI217=0,"",'Real Property'!AI217)</f>
        <v/>
      </c>
    </row>
    <row r="215" spans="1:7">
      <c r="A215" s="149" t="str">
        <f>IF('Real Property'!A218=0,"",'Real Property'!A218)</f>
        <v/>
      </c>
      <c r="B215" s="147" t="str">
        <f>IF('Real Property'!B218=0,"",'Real Property'!B218)</f>
        <v/>
      </c>
      <c r="C215" s="148" t="str">
        <f>IF('Real Property'!E218=0,"",'Real Property'!E218)</f>
        <v/>
      </c>
      <c r="D215" s="149" t="str">
        <f>IF('Real Property'!I218=0,"",'Real Property'!I218)</f>
        <v/>
      </c>
      <c r="E215" s="150" t="str">
        <f>IFERROR(IF('Real Property'!AF218=0,"",'Real Property'!AF218),"")</f>
        <v/>
      </c>
      <c r="F215" s="150" t="str">
        <f>IFERROR(IF('Real Property'!AH218=0,"",'Real Property'!AH218),"")</f>
        <v/>
      </c>
      <c r="G215" s="156" t="str">
        <f>IF('Real Property'!AI218=0,"",'Real Property'!AI218)</f>
        <v/>
      </c>
    </row>
    <row r="216" spans="1:7">
      <c r="A216" s="149" t="str">
        <f>IF('Real Property'!A219=0,"",'Real Property'!A219)</f>
        <v/>
      </c>
      <c r="B216" s="147" t="str">
        <f>IF('Real Property'!B219=0,"",'Real Property'!B219)</f>
        <v/>
      </c>
      <c r="C216" s="148" t="str">
        <f>IF('Real Property'!E219=0,"",'Real Property'!E219)</f>
        <v/>
      </c>
      <c r="D216" s="149" t="str">
        <f>IF('Real Property'!I219=0,"",'Real Property'!I219)</f>
        <v/>
      </c>
      <c r="E216" s="150" t="str">
        <f>IFERROR(IF('Real Property'!AF219=0,"",'Real Property'!AF219),"")</f>
        <v/>
      </c>
      <c r="F216" s="150" t="str">
        <f>IFERROR(IF('Real Property'!AH219=0,"",'Real Property'!AH219),"")</f>
        <v/>
      </c>
      <c r="G216" s="156" t="str">
        <f>IF('Real Property'!AI219=0,"",'Real Property'!AI219)</f>
        <v/>
      </c>
    </row>
    <row r="217" spans="1:7">
      <c r="A217" s="149" t="str">
        <f>IF('Real Property'!A220=0,"",'Real Property'!A220)</f>
        <v/>
      </c>
      <c r="B217" s="147" t="str">
        <f>IF('Real Property'!B220=0,"",'Real Property'!B220)</f>
        <v/>
      </c>
      <c r="C217" s="148" t="str">
        <f>IF('Real Property'!E220=0,"",'Real Property'!E220)</f>
        <v/>
      </c>
      <c r="D217" s="149" t="str">
        <f>IF('Real Property'!I220=0,"",'Real Property'!I220)</f>
        <v/>
      </c>
      <c r="E217" s="150" t="str">
        <f>IFERROR(IF('Real Property'!AF220=0,"",'Real Property'!AF220),"")</f>
        <v/>
      </c>
      <c r="F217" s="150" t="str">
        <f>IFERROR(IF('Real Property'!AH220=0,"",'Real Property'!AH220),"")</f>
        <v/>
      </c>
      <c r="G217" s="156" t="str">
        <f>IF('Real Property'!AI220=0,"",'Real Property'!AI220)</f>
        <v/>
      </c>
    </row>
    <row r="218" spans="1:7">
      <c r="A218" s="149" t="str">
        <f>IF('Real Property'!A221=0,"",'Real Property'!A221)</f>
        <v/>
      </c>
      <c r="B218" s="147" t="str">
        <f>IF('Real Property'!B221=0,"",'Real Property'!B221)</f>
        <v/>
      </c>
      <c r="C218" s="148" t="str">
        <f>IF('Real Property'!E221=0,"",'Real Property'!E221)</f>
        <v/>
      </c>
      <c r="D218" s="149" t="str">
        <f>IF('Real Property'!I221=0,"",'Real Property'!I221)</f>
        <v/>
      </c>
      <c r="E218" s="150" t="str">
        <f>IFERROR(IF('Real Property'!AF221=0,"",'Real Property'!AF221),"")</f>
        <v/>
      </c>
      <c r="F218" s="150" t="str">
        <f>IFERROR(IF('Real Property'!AH221=0,"",'Real Property'!AH221),"")</f>
        <v/>
      </c>
      <c r="G218" s="156" t="str">
        <f>IF('Real Property'!AI221=0,"",'Real Property'!AI221)</f>
        <v/>
      </c>
    </row>
    <row r="219" spans="1:7">
      <c r="A219" s="149" t="str">
        <f>IF('Real Property'!A222=0,"",'Real Property'!A222)</f>
        <v/>
      </c>
      <c r="B219" s="147" t="str">
        <f>IF('Real Property'!B222=0,"",'Real Property'!B222)</f>
        <v/>
      </c>
      <c r="C219" s="148" t="str">
        <f>IF('Real Property'!E222=0,"",'Real Property'!E222)</f>
        <v/>
      </c>
      <c r="D219" s="149" t="str">
        <f>IF('Real Property'!I222=0,"",'Real Property'!I222)</f>
        <v/>
      </c>
      <c r="E219" s="150" t="str">
        <f>IFERROR(IF('Real Property'!AF222=0,"",'Real Property'!AF222),"")</f>
        <v/>
      </c>
      <c r="F219" s="150" t="str">
        <f>IFERROR(IF('Real Property'!AH222=0,"",'Real Property'!AH222),"")</f>
        <v/>
      </c>
      <c r="G219" s="156" t="str">
        <f>IF('Real Property'!AI222=0,"",'Real Property'!AI222)</f>
        <v/>
      </c>
    </row>
    <row r="220" spans="1:7">
      <c r="A220" s="149" t="str">
        <f>IF('Real Property'!A223=0,"",'Real Property'!A223)</f>
        <v/>
      </c>
      <c r="B220" s="147" t="str">
        <f>IF('Real Property'!B223=0,"",'Real Property'!B223)</f>
        <v/>
      </c>
      <c r="C220" s="148" t="str">
        <f>IF('Real Property'!E223=0,"",'Real Property'!E223)</f>
        <v/>
      </c>
      <c r="D220" s="149" t="str">
        <f>IF('Real Property'!I223=0,"",'Real Property'!I223)</f>
        <v/>
      </c>
      <c r="E220" s="150" t="str">
        <f>IFERROR(IF('Real Property'!AF223=0,"",'Real Property'!AF223),"")</f>
        <v/>
      </c>
      <c r="F220" s="150" t="str">
        <f>IFERROR(IF('Real Property'!AH223=0,"",'Real Property'!AH223),"")</f>
        <v/>
      </c>
      <c r="G220" s="156" t="str">
        <f>IF('Real Property'!AI223=0,"",'Real Property'!AI223)</f>
        <v/>
      </c>
    </row>
    <row r="221" spans="1:7">
      <c r="A221" s="149" t="str">
        <f>IF('Real Property'!A224=0,"",'Real Property'!A224)</f>
        <v/>
      </c>
      <c r="B221" s="147" t="str">
        <f>IF('Real Property'!B224=0,"",'Real Property'!B224)</f>
        <v/>
      </c>
      <c r="C221" s="148" t="str">
        <f>IF('Real Property'!E224=0,"",'Real Property'!E224)</f>
        <v/>
      </c>
      <c r="D221" s="149" t="str">
        <f>IF('Real Property'!I224=0,"",'Real Property'!I224)</f>
        <v/>
      </c>
      <c r="E221" s="150" t="str">
        <f>IFERROR(IF('Real Property'!AF224=0,"",'Real Property'!AF224),"")</f>
        <v/>
      </c>
      <c r="F221" s="150" t="str">
        <f>IFERROR(IF('Real Property'!AH224=0,"",'Real Property'!AH224),"")</f>
        <v/>
      </c>
      <c r="G221" s="156" t="str">
        <f>IF('Real Property'!AI224=0,"",'Real Property'!AI224)</f>
        <v/>
      </c>
    </row>
    <row r="222" spans="1:7">
      <c r="A222" s="149" t="str">
        <f>IF('Real Property'!A225=0,"",'Real Property'!A225)</f>
        <v/>
      </c>
      <c r="B222" s="147" t="str">
        <f>IF('Real Property'!B225=0,"",'Real Property'!B225)</f>
        <v/>
      </c>
      <c r="C222" s="148" t="str">
        <f>IF('Real Property'!E225=0,"",'Real Property'!E225)</f>
        <v/>
      </c>
      <c r="D222" s="149" t="str">
        <f>IF('Real Property'!I225=0,"",'Real Property'!I225)</f>
        <v/>
      </c>
      <c r="E222" s="150" t="str">
        <f>IFERROR(IF('Real Property'!AF225=0,"",'Real Property'!AF225),"")</f>
        <v/>
      </c>
      <c r="F222" s="150" t="str">
        <f>IFERROR(IF('Real Property'!AH225=0,"",'Real Property'!AH225),"")</f>
        <v/>
      </c>
      <c r="G222" s="156" t="str">
        <f>IF('Real Property'!AI225=0,"",'Real Property'!AI225)</f>
        <v/>
      </c>
    </row>
    <row r="223" spans="1:7">
      <c r="A223" s="149" t="str">
        <f>IF('Real Property'!A226=0,"",'Real Property'!A226)</f>
        <v/>
      </c>
      <c r="B223" s="147" t="str">
        <f>IF('Real Property'!B226=0,"",'Real Property'!B226)</f>
        <v/>
      </c>
      <c r="C223" s="148" t="str">
        <f>IF('Real Property'!E226=0,"",'Real Property'!E226)</f>
        <v/>
      </c>
      <c r="D223" s="149" t="str">
        <f>IF('Real Property'!I226=0,"",'Real Property'!I226)</f>
        <v/>
      </c>
      <c r="E223" s="150" t="str">
        <f>IFERROR(IF('Real Property'!AF226=0,"",'Real Property'!AF226),"")</f>
        <v/>
      </c>
      <c r="F223" s="150" t="str">
        <f>IFERROR(IF('Real Property'!AH226=0,"",'Real Property'!AH226),"")</f>
        <v/>
      </c>
      <c r="G223" s="156" t="str">
        <f>IF('Real Property'!AI226=0,"",'Real Property'!AI226)</f>
        <v/>
      </c>
    </row>
    <row r="224" spans="1:7">
      <c r="A224" s="149" t="str">
        <f>IF('Real Property'!A227=0,"",'Real Property'!A227)</f>
        <v/>
      </c>
      <c r="B224" s="147" t="str">
        <f>IF('Real Property'!B227=0,"",'Real Property'!B227)</f>
        <v/>
      </c>
      <c r="C224" s="148" t="str">
        <f>IF('Real Property'!E227=0,"",'Real Property'!E227)</f>
        <v/>
      </c>
      <c r="D224" s="149" t="str">
        <f>IF('Real Property'!I227=0,"",'Real Property'!I227)</f>
        <v/>
      </c>
      <c r="E224" s="150" t="str">
        <f>IFERROR(IF('Real Property'!AF227=0,"",'Real Property'!AF227),"")</f>
        <v/>
      </c>
      <c r="F224" s="150" t="str">
        <f>IFERROR(IF('Real Property'!AH227=0,"",'Real Property'!AH227),"")</f>
        <v/>
      </c>
      <c r="G224" s="156" t="str">
        <f>IF('Real Property'!AI227=0,"",'Real Property'!AI227)</f>
        <v/>
      </c>
    </row>
    <row r="225" spans="1:7">
      <c r="A225" s="149" t="str">
        <f>IF('Real Property'!A228=0,"",'Real Property'!A228)</f>
        <v/>
      </c>
      <c r="B225" s="147" t="str">
        <f>IF('Real Property'!B228=0,"",'Real Property'!B228)</f>
        <v/>
      </c>
      <c r="C225" s="148" t="str">
        <f>IF('Real Property'!E228=0,"",'Real Property'!E228)</f>
        <v/>
      </c>
      <c r="D225" s="149" t="str">
        <f>IF('Real Property'!I228=0,"",'Real Property'!I228)</f>
        <v/>
      </c>
      <c r="E225" s="150" t="str">
        <f>IFERROR(IF('Real Property'!AF228=0,"",'Real Property'!AF228),"")</f>
        <v/>
      </c>
      <c r="F225" s="150" t="str">
        <f>IFERROR(IF('Real Property'!AH228=0,"",'Real Property'!AH228),"")</f>
        <v/>
      </c>
      <c r="G225" s="156" t="str">
        <f>IF('Real Property'!AI228=0,"",'Real Property'!AI228)</f>
        <v/>
      </c>
    </row>
    <row r="226" spans="1:7">
      <c r="A226" s="149" t="str">
        <f>IF('Real Property'!A229=0,"",'Real Property'!A229)</f>
        <v/>
      </c>
      <c r="B226" s="147" t="str">
        <f>IF('Real Property'!B229=0,"",'Real Property'!B229)</f>
        <v/>
      </c>
      <c r="C226" s="148" t="str">
        <f>IF('Real Property'!E229=0,"",'Real Property'!E229)</f>
        <v/>
      </c>
      <c r="D226" s="149" t="str">
        <f>IF('Real Property'!I229=0,"",'Real Property'!I229)</f>
        <v/>
      </c>
      <c r="E226" s="150" t="str">
        <f>IFERROR(IF('Real Property'!AF229=0,"",'Real Property'!AF229),"")</f>
        <v/>
      </c>
      <c r="F226" s="150" t="str">
        <f>IFERROR(IF('Real Property'!AH229=0,"",'Real Property'!AH229),"")</f>
        <v/>
      </c>
      <c r="G226" s="156" t="str">
        <f>IF('Real Property'!AI229=0,"",'Real Property'!AI229)</f>
        <v/>
      </c>
    </row>
    <row r="227" spans="1:7">
      <c r="A227" s="149" t="str">
        <f>IF('Real Property'!A230=0,"",'Real Property'!A230)</f>
        <v/>
      </c>
      <c r="B227" s="147" t="str">
        <f>IF('Real Property'!B230=0,"",'Real Property'!B230)</f>
        <v/>
      </c>
      <c r="C227" s="148" t="str">
        <f>IF('Real Property'!E230=0,"",'Real Property'!E230)</f>
        <v/>
      </c>
      <c r="D227" s="149" t="str">
        <f>IF('Real Property'!I230=0,"",'Real Property'!I230)</f>
        <v/>
      </c>
      <c r="E227" s="150" t="str">
        <f>IFERROR(IF('Real Property'!AF230=0,"",'Real Property'!AF230),"")</f>
        <v/>
      </c>
      <c r="F227" s="150" t="str">
        <f>IFERROR(IF('Real Property'!AH230=0,"",'Real Property'!AH230),"")</f>
        <v/>
      </c>
      <c r="G227" s="156" t="str">
        <f>IF('Real Property'!AI230=0,"",'Real Property'!AI230)</f>
        <v/>
      </c>
    </row>
    <row r="228" spans="1:7">
      <c r="A228" s="149" t="str">
        <f>IF('Real Property'!A231=0,"",'Real Property'!A231)</f>
        <v/>
      </c>
      <c r="B228" s="147" t="str">
        <f>IF('Real Property'!B231=0,"",'Real Property'!B231)</f>
        <v/>
      </c>
      <c r="C228" s="148" t="str">
        <f>IF('Real Property'!E231=0,"",'Real Property'!E231)</f>
        <v/>
      </c>
      <c r="D228" s="149" t="str">
        <f>IF('Real Property'!I231=0,"",'Real Property'!I231)</f>
        <v/>
      </c>
      <c r="E228" s="150" t="str">
        <f>IFERROR(IF('Real Property'!AF231=0,"",'Real Property'!AF231),"")</f>
        <v/>
      </c>
      <c r="F228" s="150" t="str">
        <f>IFERROR(IF('Real Property'!AH231=0,"",'Real Property'!AH231),"")</f>
        <v/>
      </c>
      <c r="G228" s="156" t="str">
        <f>IF('Real Property'!AI231=0,"",'Real Property'!AI231)</f>
        <v/>
      </c>
    </row>
    <row r="229" spans="1:7">
      <c r="A229" s="149" t="str">
        <f>IF('Real Property'!A232=0,"",'Real Property'!A232)</f>
        <v/>
      </c>
      <c r="B229" s="147" t="str">
        <f>IF('Real Property'!B232=0,"",'Real Property'!B232)</f>
        <v/>
      </c>
      <c r="C229" s="148" t="str">
        <f>IF('Real Property'!E232=0,"",'Real Property'!E232)</f>
        <v/>
      </c>
      <c r="D229" s="149" t="str">
        <f>IF('Real Property'!I232=0,"",'Real Property'!I232)</f>
        <v/>
      </c>
      <c r="E229" s="150" t="str">
        <f>IFERROR(IF('Real Property'!AF232=0,"",'Real Property'!AF232),"")</f>
        <v/>
      </c>
      <c r="F229" s="150" t="str">
        <f>IFERROR(IF('Real Property'!AH232=0,"",'Real Property'!AH232),"")</f>
        <v/>
      </c>
      <c r="G229" s="156" t="str">
        <f>IF('Real Property'!AI232=0,"",'Real Property'!AI232)</f>
        <v/>
      </c>
    </row>
    <row r="230" spans="1:7">
      <c r="A230" s="149" t="str">
        <f>IF('Real Property'!A233=0,"",'Real Property'!A233)</f>
        <v/>
      </c>
      <c r="B230" s="147" t="str">
        <f>IF('Real Property'!B233=0,"",'Real Property'!B233)</f>
        <v/>
      </c>
      <c r="C230" s="148" t="str">
        <f>IF('Real Property'!E233=0,"",'Real Property'!E233)</f>
        <v/>
      </c>
      <c r="D230" s="149" t="str">
        <f>IF('Real Property'!I233=0,"",'Real Property'!I233)</f>
        <v/>
      </c>
      <c r="E230" s="150" t="str">
        <f>IFERROR(IF('Real Property'!AF233=0,"",'Real Property'!AF233),"")</f>
        <v/>
      </c>
      <c r="F230" s="150" t="str">
        <f>IFERROR(IF('Real Property'!AH233=0,"",'Real Property'!AH233),"")</f>
        <v/>
      </c>
      <c r="G230" s="156" t="str">
        <f>IF('Real Property'!AI233=0,"",'Real Property'!AI233)</f>
        <v/>
      </c>
    </row>
    <row r="231" spans="1:7">
      <c r="A231" s="149" t="str">
        <f>IF('Real Property'!A234=0,"",'Real Property'!A234)</f>
        <v/>
      </c>
      <c r="B231" s="147" t="str">
        <f>IF('Real Property'!B234=0,"",'Real Property'!B234)</f>
        <v/>
      </c>
      <c r="C231" s="148" t="str">
        <f>IF('Real Property'!E234=0,"",'Real Property'!E234)</f>
        <v/>
      </c>
      <c r="D231" s="149" t="str">
        <f>IF('Real Property'!I234=0,"",'Real Property'!I234)</f>
        <v/>
      </c>
      <c r="E231" s="150" t="str">
        <f>IFERROR(IF('Real Property'!AF234=0,"",'Real Property'!AF234),"")</f>
        <v/>
      </c>
      <c r="F231" s="150" t="str">
        <f>IFERROR(IF('Real Property'!AH234=0,"",'Real Property'!AH234),"")</f>
        <v/>
      </c>
      <c r="G231" s="156" t="str">
        <f>IF('Real Property'!AI234=0,"",'Real Property'!AI234)</f>
        <v/>
      </c>
    </row>
    <row r="232" spans="1:7">
      <c r="A232" s="149" t="str">
        <f>IF('Real Property'!A235=0,"",'Real Property'!A235)</f>
        <v/>
      </c>
      <c r="B232" s="147" t="str">
        <f>IF('Real Property'!B235=0,"",'Real Property'!B235)</f>
        <v/>
      </c>
      <c r="C232" s="148" t="str">
        <f>IF('Real Property'!E235=0,"",'Real Property'!E235)</f>
        <v/>
      </c>
      <c r="D232" s="149" t="str">
        <f>IF('Real Property'!I235=0,"",'Real Property'!I235)</f>
        <v/>
      </c>
      <c r="E232" s="150" t="str">
        <f>IFERROR(IF('Real Property'!AF235=0,"",'Real Property'!AF235),"")</f>
        <v/>
      </c>
      <c r="F232" s="150" t="str">
        <f>IFERROR(IF('Real Property'!AH235=0,"",'Real Property'!AH235),"")</f>
        <v/>
      </c>
      <c r="G232" s="156" t="str">
        <f>IF('Real Property'!AI235=0,"",'Real Property'!AI235)</f>
        <v/>
      </c>
    </row>
    <row r="233" spans="1:7">
      <c r="A233" s="149" t="str">
        <f>IF('Real Property'!A236=0,"",'Real Property'!A236)</f>
        <v/>
      </c>
      <c r="B233" s="147" t="str">
        <f>IF('Real Property'!B236=0,"",'Real Property'!B236)</f>
        <v/>
      </c>
      <c r="C233" s="148" t="str">
        <f>IF('Real Property'!E236=0,"",'Real Property'!E236)</f>
        <v/>
      </c>
      <c r="D233" s="149" t="str">
        <f>IF('Real Property'!I236=0,"",'Real Property'!I236)</f>
        <v/>
      </c>
      <c r="E233" s="150" t="str">
        <f>IFERROR(IF('Real Property'!AF236=0,"",'Real Property'!AF236),"")</f>
        <v/>
      </c>
      <c r="F233" s="150" t="str">
        <f>IFERROR(IF('Real Property'!AH236=0,"",'Real Property'!AH236),"")</f>
        <v/>
      </c>
      <c r="G233" s="156" t="str">
        <f>IF('Real Property'!AI236=0,"",'Real Property'!AI236)</f>
        <v/>
      </c>
    </row>
    <row r="234" spans="1:7">
      <c r="A234" s="149" t="str">
        <f>IF('Real Property'!A237=0,"",'Real Property'!A237)</f>
        <v/>
      </c>
      <c r="B234" s="147" t="str">
        <f>IF('Real Property'!B237=0,"",'Real Property'!B237)</f>
        <v/>
      </c>
      <c r="C234" s="148" t="str">
        <f>IF('Real Property'!E237=0,"",'Real Property'!E237)</f>
        <v/>
      </c>
      <c r="D234" s="149" t="str">
        <f>IF('Real Property'!I237=0,"",'Real Property'!I237)</f>
        <v/>
      </c>
      <c r="E234" s="150" t="str">
        <f>IFERROR(IF('Real Property'!AF237=0,"",'Real Property'!AF237),"")</f>
        <v/>
      </c>
      <c r="F234" s="150" t="str">
        <f>IFERROR(IF('Real Property'!AH237=0,"",'Real Property'!AH237),"")</f>
        <v/>
      </c>
      <c r="G234" s="156" t="str">
        <f>IF('Real Property'!AI237=0,"",'Real Property'!AI237)</f>
        <v/>
      </c>
    </row>
    <row r="235" spans="1:7">
      <c r="A235" s="149" t="str">
        <f>IF('Real Property'!A238=0,"",'Real Property'!A238)</f>
        <v/>
      </c>
      <c r="B235" s="147" t="str">
        <f>IF('Real Property'!B238=0,"",'Real Property'!B238)</f>
        <v/>
      </c>
      <c r="C235" s="148" t="str">
        <f>IF('Real Property'!E238=0,"",'Real Property'!E238)</f>
        <v/>
      </c>
      <c r="D235" s="149" t="str">
        <f>IF('Real Property'!I238=0,"",'Real Property'!I238)</f>
        <v/>
      </c>
      <c r="E235" s="150" t="str">
        <f>IFERROR(IF('Real Property'!AF238=0,"",'Real Property'!AF238),"")</f>
        <v/>
      </c>
      <c r="F235" s="150" t="str">
        <f>IFERROR(IF('Real Property'!AH238=0,"",'Real Property'!AH238),"")</f>
        <v/>
      </c>
      <c r="G235" s="156" t="str">
        <f>IF('Real Property'!AI238=0,"",'Real Property'!AI238)</f>
        <v/>
      </c>
    </row>
    <row r="236" spans="1:7">
      <c r="A236" s="149" t="str">
        <f>IF('Real Property'!A239=0,"",'Real Property'!A239)</f>
        <v/>
      </c>
      <c r="B236" s="147" t="str">
        <f>IF('Real Property'!B239=0,"",'Real Property'!B239)</f>
        <v/>
      </c>
      <c r="C236" s="148" t="str">
        <f>IF('Real Property'!E239=0,"",'Real Property'!E239)</f>
        <v/>
      </c>
      <c r="D236" s="149" t="str">
        <f>IF('Real Property'!I239=0,"",'Real Property'!I239)</f>
        <v/>
      </c>
      <c r="E236" s="150" t="str">
        <f>IFERROR(IF('Real Property'!AF239=0,"",'Real Property'!AF239),"")</f>
        <v/>
      </c>
      <c r="F236" s="150" t="str">
        <f>IFERROR(IF('Real Property'!AH239=0,"",'Real Property'!AH239),"")</f>
        <v/>
      </c>
      <c r="G236" s="156" t="str">
        <f>IF('Real Property'!AI239=0,"",'Real Property'!AI239)</f>
        <v/>
      </c>
    </row>
    <row r="237" spans="1:7">
      <c r="A237" s="149" t="str">
        <f>IF('Real Property'!A240=0,"",'Real Property'!A240)</f>
        <v/>
      </c>
      <c r="B237" s="147" t="str">
        <f>IF('Real Property'!B240=0,"",'Real Property'!B240)</f>
        <v/>
      </c>
      <c r="C237" s="148" t="str">
        <f>IF('Real Property'!E240=0,"",'Real Property'!E240)</f>
        <v/>
      </c>
      <c r="D237" s="149" t="str">
        <f>IF('Real Property'!I240=0,"",'Real Property'!I240)</f>
        <v/>
      </c>
      <c r="E237" s="150" t="str">
        <f>IFERROR(IF('Real Property'!AF240=0,"",'Real Property'!AF240),"")</f>
        <v/>
      </c>
      <c r="F237" s="150" t="str">
        <f>IFERROR(IF('Real Property'!AH240=0,"",'Real Property'!AH240),"")</f>
        <v/>
      </c>
      <c r="G237" s="156" t="str">
        <f>IF('Real Property'!AI240=0,"",'Real Property'!AI240)</f>
        <v/>
      </c>
    </row>
    <row r="238" spans="1:7">
      <c r="A238" s="149" t="str">
        <f>IF('Real Property'!A241=0,"",'Real Property'!A241)</f>
        <v/>
      </c>
      <c r="B238" s="147" t="str">
        <f>IF('Real Property'!B241=0,"",'Real Property'!B241)</f>
        <v/>
      </c>
      <c r="C238" s="148" t="str">
        <f>IF('Real Property'!E241=0,"",'Real Property'!E241)</f>
        <v/>
      </c>
      <c r="D238" s="149" t="str">
        <f>IF('Real Property'!I241=0,"",'Real Property'!I241)</f>
        <v/>
      </c>
      <c r="E238" s="150" t="str">
        <f>IFERROR(IF('Real Property'!AF241=0,"",'Real Property'!AF241),"")</f>
        <v/>
      </c>
      <c r="F238" s="150" t="str">
        <f>IFERROR(IF('Real Property'!AH241=0,"",'Real Property'!AH241),"")</f>
        <v/>
      </c>
      <c r="G238" s="156" t="str">
        <f>IF('Real Property'!AI241=0,"",'Real Property'!AI241)</f>
        <v/>
      </c>
    </row>
    <row r="239" spans="1:7">
      <c r="A239" s="149" t="str">
        <f>IF('Real Property'!A242=0,"",'Real Property'!A242)</f>
        <v/>
      </c>
      <c r="B239" s="147" t="str">
        <f>IF('Real Property'!B242=0,"",'Real Property'!B242)</f>
        <v/>
      </c>
      <c r="C239" s="148" t="str">
        <f>IF('Real Property'!E242=0,"",'Real Property'!E242)</f>
        <v/>
      </c>
      <c r="D239" s="149" t="str">
        <f>IF('Real Property'!I242=0,"",'Real Property'!I242)</f>
        <v/>
      </c>
      <c r="E239" s="150" t="str">
        <f>IFERROR(IF('Real Property'!AF242=0,"",'Real Property'!AF242),"")</f>
        <v/>
      </c>
      <c r="F239" s="150" t="str">
        <f>IFERROR(IF('Real Property'!AH242=0,"",'Real Property'!AH242),"")</f>
        <v/>
      </c>
      <c r="G239" s="156" t="str">
        <f>IF('Real Property'!AI242=0,"",'Real Property'!AI242)</f>
        <v/>
      </c>
    </row>
    <row r="240" spans="1:7">
      <c r="A240" s="149" t="str">
        <f>IF('Real Property'!A243=0,"",'Real Property'!A243)</f>
        <v/>
      </c>
      <c r="B240" s="147" t="str">
        <f>IF('Real Property'!B243=0,"",'Real Property'!B243)</f>
        <v/>
      </c>
      <c r="C240" s="148" t="str">
        <f>IF('Real Property'!E243=0,"",'Real Property'!E243)</f>
        <v/>
      </c>
      <c r="D240" s="149" t="str">
        <f>IF('Real Property'!I243=0,"",'Real Property'!I243)</f>
        <v/>
      </c>
      <c r="E240" s="150" t="str">
        <f>IFERROR(IF('Real Property'!AF243=0,"",'Real Property'!AF243),"")</f>
        <v/>
      </c>
      <c r="F240" s="150" t="str">
        <f>IFERROR(IF('Real Property'!AH243=0,"",'Real Property'!AH243),"")</f>
        <v/>
      </c>
      <c r="G240" s="156" t="str">
        <f>IF('Real Property'!AI243=0,"",'Real Property'!AI243)</f>
        <v/>
      </c>
    </row>
    <row r="241" spans="1:7">
      <c r="A241" s="149" t="str">
        <f>IF('Real Property'!A244=0,"",'Real Property'!A244)</f>
        <v/>
      </c>
      <c r="B241" s="147" t="str">
        <f>IF('Real Property'!B244=0,"",'Real Property'!B244)</f>
        <v/>
      </c>
      <c r="C241" s="148" t="str">
        <f>IF('Real Property'!E244=0,"",'Real Property'!E244)</f>
        <v/>
      </c>
      <c r="D241" s="149" t="str">
        <f>IF('Real Property'!I244=0,"",'Real Property'!I244)</f>
        <v/>
      </c>
      <c r="E241" s="150" t="str">
        <f>IFERROR(IF('Real Property'!AF244=0,"",'Real Property'!AF244),"")</f>
        <v/>
      </c>
      <c r="F241" s="150" t="str">
        <f>IFERROR(IF('Real Property'!AH244=0,"",'Real Property'!AH244),"")</f>
        <v/>
      </c>
      <c r="G241" s="156" t="str">
        <f>IF('Real Property'!AI244=0,"",'Real Property'!AI244)</f>
        <v/>
      </c>
    </row>
    <row r="242" spans="1:7">
      <c r="A242" s="149" t="str">
        <f>IF('Real Property'!A245=0,"",'Real Property'!A245)</f>
        <v/>
      </c>
      <c r="B242" s="147" t="str">
        <f>IF('Real Property'!B245=0,"",'Real Property'!B245)</f>
        <v/>
      </c>
      <c r="C242" s="148" t="str">
        <f>IF('Real Property'!E245=0,"",'Real Property'!E245)</f>
        <v/>
      </c>
      <c r="D242" s="149" t="str">
        <f>IF('Real Property'!I245=0,"",'Real Property'!I245)</f>
        <v/>
      </c>
      <c r="E242" s="150" t="str">
        <f>IFERROR(IF('Real Property'!AF245=0,"",'Real Property'!AF245),"")</f>
        <v/>
      </c>
      <c r="F242" s="150" t="str">
        <f>IFERROR(IF('Real Property'!AH245=0,"",'Real Property'!AH245),"")</f>
        <v/>
      </c>
      <c r="G242" s="156" t="str">
        <f>IF('Real Property'!AI245=0,"",'Real Property'!AI245)</f>
        <v/>
      </c>
    </row>
    <row r="243" spans="1:7">
      <c r="A243" s="149" t="str">
        <f>IF('Real Property'!A246=0,"",'Real Property'!A246)</f>
        <v/>
      </c>
      <c r="B243" s="147" t="str">
        <f>IF('Real Property'!B246=0,"",'Real Property'!B246)</f>
        <v/>
      </c>
      <c r="C243" s="148" t="str">
        <f>IF('Real Property'!E246=0,"",'Real Property'!E246)</f>
        <v/>
      </c>
      <c r="D243" s="149" t="str">
        <f>IF('Real Property'!I246=0,"",'Real Property'!I246)</f>
        <v/>
      </c>
      <c r="E243" s="150" t="str">
        <f>IFERROR(IF('Real Property'!AF246=0,"",'Real Property'!AF246),"")</f>
        <v/>
      </c>
      <c r="F243" s="150" t="str">
        <f>IFERROR(IF('Real Property'!AH246=0,"",'Real Property'!AH246),"")</f>
        <v/>
      </c>
      <c r="G243" s="156" t="str">
        <f>IF('Real Property'!AI246=0,"",'Real Property'!AI246)</f>
        <v/>
      </c>
    </row>
    <row r="244" spans="1:7">
      <c r="A244" s="149" t="str">
        <f>IF('Real Property'!A247=0,"",'Real Property'!A247)</f>
        <v/>
      </c>
      <c r="B244" s="147" t="str">
        <f>IF('Real Property'!B247=0,"",'Real Property'!B247)</f>
        <v/>
      </c>
      <c r="C244" s="148" t="str">
        <f>IF('Real Property'!E247=0,"",'Real Property'!E247)</f>
        <v/>
      </c>
      <c r="D244" s="149" t="str">
        <f>IF('Real Property'!I247=0,"",'Real Property'!I247)</f>
        <v/>
      </c>
      <c r="E244" s="150" t="str">
        <f>IFERROR(IF('Real Property'!AF247=0,"",'Real Property'!AF247),"")</f>
        <v/>
      </c>
      <c r="F244" s="150" t="str">
        <f>IFERROR(IF('Real Property'!AH247=0,"",'Real Property'!AH247),"")</f>
        <v/>
      </c>
      <c r="G244" s="156" t="str">
        <f>IF('Real Property'!AI247=0,"",'Real Property'!AI247)</f>
        <v/>
      </c>
    </row>
    <row r="245" spans="1:7">
      <c r="A245" s="149" t="str">
        <f>IF('Real Property'!A248=0,"",'Real Property'!A248)</f>
        <v/>
      </c>
      <c r="B245" s="147" t="str">
        <f>IF('Real Property'!B248=0,"",'Real Property'!B248)</f>
        <v/>
      </c>
      <c r="C245" s="148" t="str">
        <f>IF('Real Property'!E248=0,"",'Real Property'!E248)</f>
        <v/>
      </c>
      <c r="D245" s="149" t="str">
        <f>IF('Real Property'!I248=0,"",'Real Property'!I248)</f>
        <v/>
      </c>
      <c r="E245" s="150" t="str">
        <f>IFERROR(IF('Real Property'!AF248=0,"",'Real Property'!AF248),"")</f>
        <v/>
      </c>
      <c r="F245" s="150" t="str">
        <f>IFERROR(IF('Real Property'!AH248=0,"",'Real Property'!AH248),"")</f>
        <v/>
      </c>
      <c r="G245" s="156" t="str">
        <f>IF('Real Property'!AI248=0,"",'Real Property'!AI248)</f>
        <v/>
      </c>
    </row>
    <row r="246" spans="1:7">
      <c r="A246" s="149" t="str">
        <f>IF('Real Property'!A249=0,"",'Real Property'!A249)</f>
        <v/>
      </c>
      <c r="B246" s="147" t="str">
        <f>IF('Real Property'!B249=0,"",'Real Property'!B249)</f>
        <v/>
      </c>
      <c r="C246" s="148" t="str">
        <f>IF('Real Property'!E249=0,"",'Real Property'!E249)</f>
        <v/>
      </c>
      <c r="D246" s="149" t="str">
        <f>IF('Real Property'!I249=0,"",'Real Property'!I249)</f>
        <v/>
      </c>
      <c r="E246" s="150" t="str">
        <f>IFERROR(IF('Real Property'!AF249=0,"",'Real Property'!AF249),"")</f>
        <v/>
      </c>
      <c r="F246" s="150" t="str">
        <f>IFERROR(IF('Real Property'!AH249=0,"",'Real Property'!AH249),"")</f>
        <v/>
      </c>
      <c r="G246" s="156" t="str">
        <f>IF('Real Property'!AI249=0,"",'Real Property'!AI249)</f>
        <v/>
      </c>
    </row>
    <row r="247" spans="1:7">
      <c r="A247" s="149" t="str">
        <f>IF('Real Property'!A250=0,"",'Real Property'!A250)</f>
        <v/>
      </c>
      <c r="B247" s="147" t="str">
        <f>IF('Real Property'!B250=0,"",'Real Property'!B250)</f>
        <v/>
      </c>
      <c r="C247" s="148" t="str">
        <f>IF('Real Property'!E250=0,"",'Real Property'!E250)</f>
        <v/>
      </c>
      <c r="D247" s="149" t="str">
        <f>IF('Real Property'!I250=0,"",'Real Property'!I250)</f>
        <v/>
      </c>
      <c r="E247" s="150" t="str">
        <f>IFERROR(IF('Real Property'!AF250=0,"",'Real Property'!AF250),"")</f>
        <v/>
      </c>
      <c r="F247" s="150" t="str">
        <f>IFERROR(IF('Real Property'!AH250=0,"",'Real Property'!AH250),"")</f>
        <v/>
      </c>
      <c r="G247" s="156" t="str">
        <f>IF('Real Property'!AI250=0,"",'Real Property'!AI250)</f>
        <v/>
      </c>
    </row>
    <row r="248" spans="1:7">
      <c r="A248" s="149" t="str">
        <f>IF('Real Property'!A251=0,"",'Real Property'!A251)</f>
        <v/>
      </c>
      <c r="B248" s="147" t="str">
        <f>IF('Real Property'!B251=0,"",'Real Property'!B251)</f>
        <v/>
      </c>
      <c r="C248" s="148" t="str">
        <f>IF('Real Property'!E251=0,"",'Real Property'!E251)</f>
        <v/>
      </c>
      <c r="D248" s="149" t="str">
        <f>IF('Real Property'!I251=0,"",'Real Property'!I251)</f>
        <v/>
      </c>
      <c r="E248" s="150" t="str">
        <f>IFERROR(IF('Real Property'!AF251=0,"",'Real Property'!AF251),"")</f>
        <v/>
      </c>
      <c r="F248" s="150" t="str">
        <f>IFERROR(IF('Real Property'!AH251=0,"",'Real Property'!AH251),"")</f>
        <v/>
      </c>
      <c r="G248" s="156" t="str">
        <f>IF('Real Property'!AI251=0,"",'Real Property'!AI251)</f>
        <v/>
      </c>
    </row>
    <row r="249" spans="1:7">
      <c r="A249" s="149" t="str">
        <f>IF('Real Property'!A252=0,"",'Real Property'!A252)</f>
        <v/>
      </c>
      <c r="B249" s="147" t="str">
        <f>IF('Real Property'!B252=0,"",'Real Property'!B252)</f>
        <v/>
      </c>
      <c r="C249" s="148" t="str">
        <f>IF('Real Property'!E252=0,"",'Real Property'!E252)</f>
        <v/>
      </c>
      <c r="D249" s="149" t="str">
        <f>IF('Real Property'!I252=0,"",'Real Property'!I252)</f>
        <v/>
      </c>
      <c r="E249" s="150" t="str">
        <f>IFERROR(IF('Real Property'!AF252=0,"",'Real Property'!AF252),"")</f>
        <v/>
      </c>
      <c r="F249" s="150" t="str">
        <f>IFERROR(IF('Real Property'!AH252=0,"",'Real Property'!AH252),"")</f>
        <v/>
      </c>
      <c r="G249" s="156" t="str">
        <f>IF('Real Property'!AI252=0,"",'Real Property'!AI252)</f>
        <v/>
      </c>
    </row>
    <row r="250" spans="1:7">
      <c r="A250" s="149" t="str">
        <f>IF('Real Property'!A253=0,"",'Real Property'!A253)</f>
        <v/>
      </c>
      <c r="B250" s="147" t="str">
        <f>IF('Real Property'!B253=0,"",'Real Property'!B253)</f>
        <v/>
      </c>
      <c r="C250" s="148" t="str">
        <f>IF('Real Property'!E253=0,"",'Real Property'!E253)</f>
        <v/>
      </c>
      <c r="D250" s="149" t="str">
        <f>IF('Real Property'!I253=0,"",'Real Property'!I253)</f>
        <v/>
      </c>
      <c r="E250" s="150" t="str">
        <f>IFERROR(IF('Real Property'!AF253=0,"",'Real Property'!AF253),"")</f>
        <v/>
      </c>
      <c r="F250" s="150" t="str">
        <f>IFERROR(IF('Real Property'!AH253=0,"",'Real Property'!AH253),"")</f>
        <v/>
      </c>
      <c r="G250" s="156" t="str">
        <f>IF('Real Property'!AI253=0,"",'Real Property'!AI253)</f>
        <v/>
      </c>
    </row>
    <row r="251" spans="1:7">
      <c r="A251" s="149" t="str">
        <f>IF('Real Property'!A254=0,"",'Real Property'!A254)</f>
        <v/>
      </c>
      <c r="B251" s="147" t="str">
        <f>IF('Real Property'!B254=0,"",'Real Property'!B254)</f>
        <v/>
      </c>
      <c r="C251" s="148" t="str">
        <f>IF('Real Property'!E254=0,"",'Real Property'!E254)</f>
        <v/>
      </c>
      <c r="D251" s="149" t="str">
        <f>IF('Real Property'!I254=0,"",'Real Property'!I254)</f>
        <v/>
      </c>
      <c r="E251" s="150" t="str">
        <f>IFERROR(IF('Real Property'!AF254=0,"",'Real Property'!AF254),"")</f>
        <v/>
      </c>
      <c r="F251" s="150" t="str">
        <f>IFERROR(IF('Real Property'!AH254=0,"",'Real Property'!AH254),"")</f>
        <v/>
      </c>
      <c r="G251" s="156" t="str">
        <f>IF('Real Property'!AI254=0,"",'Real Property'!AI254)</f>
        <v/>
      </c>
    </row>
    <row r="252" spans="1:7">
      <c r="A252" s="149" t="str">
        <f>IF('Real Property'!A255=0,"",'Real Property'!A255)</f>
        <v/>
      </c>
      <c r="B252" s="147" t="str">
        <f>IF('Real Property'!B255=0,"",'Real Property'!B255)</f>
        <v/>
      </c>
      <c r="C252" s="148" t="str">
        <f>IF('Real Property'!E255=0,"",'Real Property'!E255)</f>
        <v/>
      </c>
      <c r="D252" s="149" t="str">
        <f>IF('Real Property'!I255=0,"",'Real Property'!I255)</f>
        <v/>
      </c>
      <c r="E252" s="150" t="str">
        <f>IFERROR(IF('Real Property'!AF255=0,"",'Real Property'!AF255),"")</f>
        <v/>
      </c>
      <c r="F252" s="150" t="str">
        <f>IFERROR(IF('Real Property'!AH255=0,"",'Real Property'!AH255),"")</f>
        <v/>
      </c>
      <c r="G252" s="156" t="str">
        <f>IF('Real Property'!AI255=0,"",'Real Property'!AI255)</f>
        <v/>
      </c>
    </row>
    <row r="253" spans="1:7">
      <c r="A253" s="149" t="str">
        <f>IF('Real Property'!A256=0,"",'Real Property'!A256)</f>
        <v/>
      </c>
      <c r="B253" s="147" t="str">
        <f>IF('Real Property'!B256=0,"",'Real Property'!B256)</f>
        <v/>
      </c>
      <c r="C253" s="148" t="str">
        <f>IF('Real Property'!E256=0,"",'Real Property'!E256)</f>
        <v/>
      </c>
      <c r="D253" s="149" t="str">
        <f>IF('Real Property'!I256=0,"",'Real Property'!I256)</f>
        <v/>
      </c>
      <c r="E253" s="150" t="str">
        <f>IFERROR(IF('Real Property'!AF256=0,"",'Real Property'!AF256),"")</f>
        <v/>
      </c>
      <c r="F253" s="150" t="str">
        <f>IFERROR(IF('Real Property'!AH256=0,"",'Real Property'!AH256),"")</f>
        <v/>
      </c>
      <c r="G253" s="156" t="str">
        <f>IF('Real Property'!AI256=0,"",'Real Property'!AI256)</f>
        <v/>
      </c>
    </row>
    <row r="254" spans="1:7">
      <c r="A254" s="149" t="str">
        <f>IF('Real Property'!A257=0,"",'Real Property'!A257)</f>
        <v/>
      </c>
      <c r="B254" s="147" t="str">
        <f>IF('Real Property'!B257=0,"",'Real Property'!B257)</f>
        <v/>
      </c>
      <c r="C254" s="148" t="str">
        <f>IF('Real Property'!E257=0,"",'Real Property'!E257)</f>
        <v/>
      </c>
      <c r="D254" s="149" t="str">
        <f>IF('Real Property'!I257=0,"",'Real Property'!I257)</f>
        <v/>
      </c>
      <c r="E254" s="150" t="str">
        <f>IFERROR(IF('Real Property'!AF257=0,"",'Real Property'!AF257),"")</f>
        <v/>
      </c>
      <c r="F254" s="150" t="str">
        <f>IFERROR(IF('Real Property'!AH257=0,"",'Real Property'!AH257),"")</f>
        <v/>
      </c>
      <c r="G254" s="156" t="str">
        <f>IF('Real Property'!AI257=0,"",'Real Property'!AI257)</f>
        <v/>
      </c>
    </row>
    <row r="255" spans="1:7">
      <c r="A255" s="149" t="str">
        <f>IF('Real Property'!A258=0,"",'Real Property'!A258)</f>
        <v/>
      </c>
      <c r="B255" s="147" t="str">
        <f>IF('Real Property'!B258=0,"",'Real Property'!B258)</f>
        <v/>
      </c>
      <c r="C255" s="148" t="str">
        <f>IF('Real Property'!E258=0,"",'Real Property'!E258)</f>
        <v/>
      </c>
      <c r="D255" s="149" t="str">
        <f>IF('Real Property'!I258=0,"",'Real Property'!I258)</f>
        <v/>
      </c>
      <c r="E255" s="150" t="str">
        <f>IFERROR(IF('Real Property'!AF258=0,"",'Real Property'!AF258),"")</f>
        <v/>
      </c>
      <c r="F255" s="150" t="str">
        <f>IFERROR(IF('Real Property'!AH258=0,"",'Real Property'!AH258),"")</f>
        <v/>
      </c>
      <c r="G255" s="156" t="str">
        <f>IF('Real Property'!AI258=0,"",'Real Property'!AI258)</f>
        <v/>
      </c>
    </row>
    <row r="256" spans="1:7">
      <c r="A256" s="149" t="str">
        <f>IF('Real Property'!A259=0,"",'Real Property'!A259)</f>
        <v/>
      </c>
      <c r="B256" s="147" t="str">
        <f>IF('Real Property'!B259=0,"",'Real Property'!B259)</f>
        <v/>
      </c>
      <c r="C256" s="148" t="str">
        <f>IF('Real Property'!E259=0,"",'Real Property'!E259)</f>
        <v/>
      </c>
      <c r="D256" s="149" t="str">
        <f>IF('Real Property'!I259=0,"",'Real Property'!I259)</f>
        <v/>
      </c>
      <c r="E256" s="150" t="str">
        <f>IFERROR(IF('Real Property'!AF259=0,"",'Real Property'!AF259),"")</f>
        <v/>
      </c>
      <c r="F256" s="150" t="str">
        <f>IFERROR(IF('Real Property'!AH259=0,"",'Real Property'!AH259),"")</f>
        <v/>
      </c>
      <c r="G256" s="156" t="str">
        <f>IF('Real Property'!AI259=0,"",'Real Property'!AI259)</f>
        <v/>
      </c>
    </row>
    <row r="257" spans="1:7">
      <c r="A257" s="149" t="str">
        <f>IF('Real Property'!A260=0,"",'Real Property'!A260)</f>
        <v/>
      </c>
      <c r="B257" s="147" t="str">
        <f>IF('Real Property'!B260=0,"",'Real Property'!B260)</f>
        <v/>
      </c>
      <c r="C257" s="148" t="str">
        <f>IF('Real Property'!E260=0,"",'Real Property'!E260)</f>
        <v/>
      </c>
      <c r="D257" s="149" t="str">
        <f>IF('Real Property'!I260=0,"",'Real Property'!I260)</f>
        <v/>
      </c>
      <c r="E257" s="150" t="str">
        <f>IFERROR(IF('Real Property'!AF260=0,"",'Real Property'!AF260),"")</f>
        <v/>
      </c>
      <c r="F257" s="150" t="str">
        <f>IFERROR(IF('Real Property'!AH260=0,"",'Real Property'!AH260),"")</f>
        <v/>
      </c>
      <c r="G257" s="156" t="str">
        <f>IF('Real Property'!AI260=0,"",'Real Property'!AI260)</f>
        <v/>
      </c>
    </row>
    <row r="258" spans="1:7">
      <c r="A258" s="149" t="str">
        <f>IF('Real Property'!A261=0,"",'Real Property'!A261)</f>
        <v/>
      </c>
      <c r="B258" s="147" t="str">
        <f>IF('Real Property'!B261=0,"",'Real Property'!B261)</f>
        <v/>
      </c>
      <c r="C258" s="148" t="str">
        <f>IF('Real Property'!E261=0,"",'Real Property'!E261)</f>
        <v/>
      </c>
      <c r="D258" s="149" t="str">
        <f>IF('Real Property'!I261=0,"",'Real Property'!I261)</f>
        <v/>
      </c>
      <c r="E258" s="150" t="str">
        <f>IFERROR(IF('Real Property'!AF261=0,"",'Real Property'!AF261),"")</f>
        <v/>
      </c>
      <c r="F258" s="150" t="str">
        <f>IFERROR(IF('Real Property'!AH261=0,"",'Real Property'!AH261),"")</f>
        <v/>
      </c>
      <c r="G258" s="156" t="str">
        <f>IF('Real Property'!AI261=0,"",'Real Property'!AI261)</f>
        <v/>
      </c>
    </row>
    <row r="259" spans="1:7">
      <c r="A259" s="149" t="str">
        <f>IF('Real Property'!A262=0,"",'Real Property'!A262)</f>
        <v/>
      </c>
      <c r="B259" s="147" t="str">
        <f>IF('Real Property'!B262=0,"",'Real Property'!B262)</f>
        <v/>
      </c>
      <c r="C259" s="148" t="str">
        <f>IF('Real Property'!E262=0,"",'Real Property'!E262)</f>
        <v/>
      </c>
      <c r="D259" s="149" t="str">
        <f>IF('Real Property'!I262=0,"",'Real Property'!I262)</f>
        <v/>
      </c>
      <c r="E259" s="150" t="str">
        <f>IFERROR(IF('Real Property'!AF262=0,"",'Real Property'!AF262),"")</f>
        <v/>
      </c>
      <c r="F259" s="150" t="str">
        <f>IFERROR(IF('Real Property'!AH262=0,"",'Real Property'!AH262),"")</f>
        <v/>
      </c>
      <c r="G259" s="156" t="str">
        <f>IF('Real Property'!AI262=0,"",'Real Property'!AI262)</f>
        <v/>
      </c>
    </row>
    <row r="260" spans="1:7">
      <c r="A260" s="149" t="str">
        <f>IF('Real Property'!A263=0,"",'Real Property'!A263)</f>
        <v/>
      </c>
      <c r="B260" s="147" t="str">
        <f>IF('Real Property'!B263=0,"",'Real Property'!B263)</f>
        <v/>
      </c>
      <c r="C260" s="148" t="str">
        <f>IF('Real Property'!E263=0,"",'Real Property'!E263)</f>
        <v/>
      </c>
      <c r="D260" s="149" t="str">
        <f>IF('Real Property'!I263=0,"",'Real Property'!I263)</f>
        <v/>
      </c>
      <c r="E260" s="150" t="str">
        <f>IFERROR(IF('Real Property'!AF263=0,"",'Real Property'!AF263),"")</f>
        <v/>
      </c>
      <c r="F260" s="150" t="str">
        <f>IFERROR(IF('Real Property'!AH263=0,"",'Real Property'!AH263),"")</f>
        <v/>
      </c>
      <c r="G260" s="156" t="str">
        <f>IF('Real Property'!AI263=0,"",'Real Property'!AI263)</f>
        <v/>
      </c>
    </row>
    <row r="261" spans="1:7">
      <c r="A261" s="149" t="str">
        <f>IF('Real Property'!A264=0,"",'Real Property'!A264)</f>
        <v/>
      </c>
      <c r="B261" s="147" t="str">
        <f>IF('Real Property'!B264=0,"",'Real Property'!B264)</f>
        <v/>
      </c>
      <c r="C261" s="148" t="str">
        <f>IF('Real Property'!E264=0,"",'Real Property'!E264)</f>
        <v/>
      </c>
      <c r="D261" s="149" t="str">
        <f>IF('Real Property'!I264=0,"",'Real Property'!I264)</f>
        <v/>
      </c>
      <c r="E261" s="150" t="str">
        <f>IFERROR(IF('Real Property'!AF264=0,"",'Real Property'!AF264),"")</f>
        <v/>
      </c>
      <c r="F261" s="150" t="str">
        <f>IFERROR(IF('Real Property'!AH264=0,"",'Real Property'!AH264),"")</f>
        <v/>
      </c>
      <c r="G261" s="156" t="str">
        <f>IF('Real Property'!AI264=0,"",'Real Property'!AI264)</f>
        <v/>
      </c>
    </row>
    <row r="262" spans="1:7">
      <c r="A262" s="149" t="str">
        <f>IF('Real Property'!A265=0,"",'Real Property'!A265)</f>
        <v/>
      </c>
      <c r="B262" s="147" t="str">
        <f>IF('Real Property'!B265=0,"",'Real Property'!B265)</f>
        <v/>
      </c>
      <c r="C262" s="148" t="str">
        <f>IF('Real Property'!E265=0,"",'Real Property'!E265)</f>
        <v/>
      </c>
      <c r="D262" s="149" t="str">
        <f>IF('Real Property'!I265=0,"",'Real Property'!I265)</f>
        <v/>
      </c>
      <c r="E262" s="150" t="str">
        <f>IFERROR(IF('Real Property'!AF265=0,"",'Real Property'!AF265),"")</f>
        <v/>
      </c>
      <c r="F262" s="150" t="str">
        <f>IFERROR(IF('Real Property'!AH265=0,"",'Real Property'!AH265),"")</f>
        <v/>
      </c>
      <c r="G262" s="156" t="str">
        <f>IF('Real Property'!AI265=0,"",'Real Property'!AI265)</f>
        <v/>
      </c>
    </row>
    <row r="263" spans="1:7">
      <c r="A263" s="149" t="str">
        <f>IF('Real Property'!A266=0,"",'Real Property'!A266)</f>
        <v/>
      </c>
      <c r="B263" s="147" t="str">
        <f>IF('Real Property'!B266=0,"",'Real Property'!B266)</f>
        <v/>
      </c>
      <c r="C263" s="148" t="str">
        <f>IF('Real Property'!E266=0,"",'Real Property'!E266)</f>
        <v/>
      </c>
      <c r="D263" s="149" t="str">
        <f>IF('Real Property'!I266=0,"",'Real Property'!I266)</f>
        <v/>
      </c>
      <c r="E263" s="150" t="str">
        <f>IFERROR(IF('Real Property'!AF266=0,"",'Real Property'!AF266),"")</f>
        <v/>
      </c>
      <c r="F263" s="150" t="str">
        <f>IFERROR(IF('Real Property'!AH266=0,"",'Real Property'!AH266),"")</f>
        <v/>
      </c>
      <c r="G263" s="156" t="str">
        <f>IF('Real Property'!AI266=0,"",'Real Property'!AI266)</f>
        <v/>
      </c>
    </row>
    <row r="264" spans="1:7">
      <c r="A264" s="149" t="str">
        <f>IF('Real Property'!A267=0,"",'Real Property'!A267)</f>
        <v/>
      </c>
      <c r="B264" s="147" t="str">
        <f>IF('Real Property'!B267=0,"",'Real Property'!B267)</f>
        <v/>
      </c>
      <c r="C264" s="148" t="str">
        <f>IF('Real Property'!E267=0,"",'Real Property'!E267)</f>
        <v/>
      </c>
      <c r="D264" s="149" t="str">
        <f>IF('Real Property'!I267=0,"",'Real Property'!I267)</f>
        <v/>
      </c>
      <c r="E264" s="150" t="str">
        <f>IFERROR(IF('Real Property'!AF267=0,"",'Real Property'!AF267),"")</f>
        <v/>
      </c>
      <c r="F264" s="150" t="str">
        <f>IFERROR(IF('Real Property'!AH267=0,"",'Real Property'!AH267),"")</f>
        <v/>
      </c>
      <c r="G264" s="156" t="str">
        <f>IF('Real Property'!AI267=0,"",'Real Property'!AI267)</f>
        <v/>
      </c>
    </row>
    <row r="265" spans="1:7">
      <c r="A265" s="149" t="str">
        <f>IF('Real Property'!A268=0,"",'Real Property'!A268)</f>
        <v/>
      </c>
      <c r="B265" s="147" t="str">
        <f>IF('Real Property'!B268=0,"",'Real Property'!B268)</f>
        <v/>
      </c>
      <c r="C265" s="148" t="str">
        <f>IF('Real Property'!E268=0,"",'Real Property'!E268)</f>
        <v/>
      </c>
      <c r="D265" s="149" t="str">
        <f>IF('Real Property'!I268=0,"",'Real Property'!I268)</f>
        <v/>
      </c>
      <c r="E265" s="150" t="str">
        <f>IFERROR(IF('Real Property'!AF268=0,"",'Real Property'!AF268),"")</f>
        <v/>
      </c>
      <c r="F265" s="150" t="str">
        <f>IFERROR(IF('Real Property'!AH268=0,"",'Real Property'!AH268),"")</f>
        <v/>
      </c>
      <c r="G265" s="156" t="str">
        <f>IF('Real Property'!AI268=0,"",'Real Property'!AI268)</f>
        <v/>
      </c>
    </row>
    <row r="266" spans="1:7">
      <c r="A266" s="149" t="str">
        <f>IF('Real Property'!A269=0,"",'Real Property'!A269)</f>
        <v/>
      </c>
      <c r="B266" s="147" t="str">
        <f>IF('Real Property'!B269=0,"",'Real Property'!B269)</f>
        <v/>
      </c>
      <c r="C266" s="148" t="str">
        <f>IF('Real Property'!E269=0,"",'Real Property'!E269)</f>
        <v/>
      </c>
      <c r="D266" s="149" t="str">
        <f>IF('Real Property'!I269=0,"",'Real Property'!I269)</f>
        <v/>
      </c>
      <c r="E266" s="150" t="str">
        <f>IFERROR(IF('Real Property'!AF269=0,"",'Real Property'!AF269),"")</f>
        <v/>
      </c>
      <c r="F266" s="150" t="str">
        <f>IFERROR(IF('Real Property'!AH269=0,"",'Real Property'!AH269),"")</f>
        <v/>
      </c>
      <c r="G266" s="156" t="str">
        <f>IF('Real Property'!AI269=0,"",'Real Property'!AI269)</f>
        <v/>
      </c>
    </row>
    <row r="267" spans="1:7">
      <c r="A267" s="149" t="str">
        <f>IF('Real Property'!A270=0,"",'Real Property'!A270)</f>
        <v/>
      </c>
      <c r="B267" s="147" t="str">
        <f>IF('Real Property'!B270=0,"",'Real Property'!B270)</f>
        <v/>
      </c>
      <c r="C267" s="148" t="str">
        <f>IF('Real Property'!E270=0,"",'Real Property'!E270)</f>
        <v/>
      </c>
      <c r="D267" s="149" t="str">
        <f>IF('Real Property'!I270=0,"",'Real Property'!I270)</f>
        <v/>
      </c>
      <c r="E267" s="150" t="str">
        <f>IFERROR(IF('Real Property'!AF270=0,"",'Real Property'!AF270),"")</f>
        <v/>
      </c>
      <c r="F267" s="150" t="str">
        <f>IFERROR(IF('Real Property'!AH270=0,"",'Real Property'!AH270),"")</f>
        <v/>
      </c>
      <c r="G267" s="156" t="str">
        <f>IF('Real Property'!AI270=0,"",'Real Property'!AI270)</f>
        <v/>
      </c>
    </row>
    <row r="268" spans="1:7">
      <c r="A268" s="149" t="str">
        <f>IF('Real Property'!A271=0,"",'Real Property'!A271)</f>
        <v/>
      </c>
      <c r="B268" s="147" t="str">
        <f>IF('Real Property'!B271=0,"",'Real Property'!B271)</f>
        <v/>
      </c>
      <c r="C268" s="148" t="str">
        <f>IF('Real Property'!E271=0,"",'Real Property'!E271)</f>
        <v/>
      </c>
      <c r="D268" s="149" t="str">
        <f>IF('Real Property'!I271=0,"",'Real Property'!I271)</f>
        <v/>
      </c>
      <c r="E268" s="150" t="str">
        <f>IFERROR(IF('Real Property'!AF271=0,"",'Real Property'!AF271),"")</f>
        <v/>
      </c>
      <c r="F268" s="150" t="str">
        <f>IFERROR(IF('Real Property'!AH271=0,"",'Real Property'!AH271),"")</f>
        <v/>
      </c>
      <c r="G268" s="156" t="str">
        <f>IF('Real Property'!AI271=0,"",'Real Property'!AI271)</f>
        <v/>
      </c>
    </row>
    <row r="269" spans="1:7">
      <c r="A269" s="149" t="str">
        <f>IF('Real Property'!A272=0,"",'Real Property'!A272)</f>
        <v/>
      </c>
      <c r="B269" s="147" t="str">
        <f>IF('Real Property'!B272=0,"",'Real Property'!B272)</f>
        <v/>
      </c>
      <c r="C269" s="148" t="str">
        <f>IF('Real Property'!E272=0,"",'Real Property'!E272)</f>
        <v/>
      </c>
      <c r="D269" s="149" t="str">
        <f>IF('Real Property'!I272=0,"",'Real Property'!I272)</f>
        <v/>
      </c>
      <c r="E269" s="150" t="str">
        <f>IFERROR(IF('Real Property'!AF272=0,"",'Real Property'!AF272),"")</f>
        <v/>
      </c>
      <c r="F269" s="150" t="str">
        <f>IFERROR(IF('Real Property'!AH272=0,"",'Real Property'!AH272),"")</f>
        <v/>
      </c>
      <c r="G269" s="156" t="str">
        <f>IF('Real Property'!AI272=0,"",'Real Property'!AI272)</f>
        <v/>
      </c>
    </row>
    <row r="270" spans="1:7">
      <c r="A270" s="149" t="str">
        <f>IF('Real Property'!A273=0,"",'Real Property'!A273)</f>
        <v/>
      </c>
      <c r="B270" s="147" t="str">
        <f>IF('Real Property'!B273=0,"",'Real Property'!B273)</f>
        <v/>
      </c>
      <c r="C270" s="148" t="str">
        <f>IF('Real Property'!E273=0,"",'Real Property'!E273)</f>
        <v/>
      </c>
      <c r="D270" s="149" t="str">
        <f>IF('Real Property'!I273=0,"",'Real Property'!I273)</f>
        <v/>
      </c>
      <c r="E270" s="150" t="str">
        <f>IFERROR(IF('Real Property'!AF273=0,"",'Real Property'!AF273),"")</f>
        <v/>
      </c>
      <c r="F270" s="150" t="str">
        <f>IFERROR(IF('Real Property'!AH273=0,"",'Real Property'!AH273),"")</f>
        <v/>
      </c>
      <c r="G270" s="156" t="str">
        <f>IF('Real Property'!AI273=0,"",'Real Property'!AI273)</f>
        <v/>
      </c>
    </row>
    <row r="271" spans="1:7">
      <c r="A271" s="149" t="str">
        <f>IF('Real Property'!A274=0,"",'Real Property'!A274)</f>
        <v/>
      </c>
      <c r="B271" s="147" t="str">
        <f>IF('Real Property'!B274=0,"",'Real Property'!B274)</f>
        <v/>
      </c>
      <c r="C271" s="148" t="str">
        <f>IF('Real Property'!E274=0,"",'Real Property'!E274)</f>
        <v/>
      </c>
      <c r="D271" s="149" t="str">
        <f>IF('Real Property'!I274=0,"",'Real Property'!I274)</f>
        <v/>
      </c>
      <c r="E271" s="150" t="str">
        <f>IFERROR(IF('Real Property'!AF274=0,"",'Real Property'!AF274),"")</f>
        <v/>
      </c>
      <c r="F271" s="150" t="str">
        <f>IFERROR(IF('Real Property'!AH274=0,"",'Real Property'!AH274),"")</f>
        <v/>
      </c>
      <c r="G271" s="156" t="str">
        <f>IF('Real Property'!AI274=0,"",'Real Property'!AI274)</f>
        <v/>
      </c>
    </row>
    <row r="272" spans="1:7">
      <c r="A272" s="149" t="str">
        <f>IF('Real Property'!A275=0,"",'Real Property'!A275)</f>
        <v/>
      </c>
      <c r="B272" s="147" t="str">
        <f>IF('Real Property'!B275=0,"",'Real Property'!B275)</f>
        <v/>
      </c>
      <c r="C272" s="148" t="str">
        <f>IF('Real Property'!E275=0,"",'Real Property'!E275)</f>
        <v/>
      </c>
      <c r="D272" s="149" t="str">
        <f>IF('Real Property'!I275=0,"",'Real Property'!I275)</f>
        <v/>
      </c>
      <c r="E272" s="150" t="str">
        <f>IFERROR(IF('Real Property'!AF275=0,"",'Real Property'!AF275),"")</f>
        <v/>
      </c>
      <c r="F272" s="150" t="str">
        <f>IFERROR(IF('Real Property'!AH275=0,"",'Real Property'!AH275),"")</f>
        <v/>
      </c>
      <c r="G272" s="156" t="str">
        <f>IF('Real Property'!AI275=0,"",'Real Property'!AI275)</f>
        <v/>
      </c>
    </row>
    <row r="273" spans="1:7">
      <c r="A273" s="149" t="str">
        <f>IF('Real Property'!A276=0,"",'Real Property'!A276)</f>
        <v/>
      </c>
      <c r="B273" s="147" t="str">
        <f>IF('Real Property'!B276=0,"",'Real Property'!B276)</f>
        <v/>
      </c>
      <c r="C273" s="148" t="str">
        <f>IF('Real Property'!E276=0,"",'Real Property'!E276)</f>
        <v/>
      </c>
      <c r="D273" s="149" t="str">
        <f>IF('Real Property'!I276=0,"",'Real Property'!I276)</f>
        <v/>
      </c>
      <c r="E273" s="150" t="str">
        <f>IFERROR(IF('Real Property'!AF276=0,"",'Real Property'!AF276),"")</f>
        <v/>
      </c>
      <c r="F273" s="150" t="str">
        <f>IFERROR(IF('Real Property'!AH276=0,"",'Real Property'!AH276),"")</f>
        <v/>
      </c>
      <c r="G273" s="156" t="str">
        <f>IF('Real Property'!AI276=0,"",'Real Property'!AI276)</f>
        <v/>
      </c>
    </row>
    <row r="274" spans="1:7">
      <c r="A274" s="149" t="str">
        <f>IF('Real Property'!A277=0,"",'Real Property'!A277)</f>
        <v/>
      </c>
      <c r="B274" s="147" t="str">
        <f>IF('Real Property'!B277=0,"",'Real Property'!B277)</f>
        <v/>
      </c>
      <c r="C274" s="148" t="str">
        <f>IF('Real Property'!E277=0,"",'Real Property'!E277)</f>
        <v/>
      </c>
      <c r="D274" s="149" t="str">
        <f>IF('Real Property'!I277=0,"",'Real Property'!I277)</f>
        <v/>
      </c>
      <c r="E274" s="150" t="str">
        <f>IFERROR(IF('Real Property'!AF277=0,"",'Real Property'!AF277),"")</f>
        <v/>
      </c>
      <c r="F274" s="150" t="str">
        <f>IFERROR(IF('Real Property'!AH277=0,"",'Real Property'!AH277),"")</f>
        <v/>
      </c>
      <c r="G274" s="156" t="str">
        <f>IF('Real Property'!AI277=0,"",'Real Property'!AI277)</f>
        <v/>
      </c>
    </row>
    <row r="275" spans="1:7">
      <c r="A275" s="149" t="str">
        <f>IF('Real Property'!A278=0,"",'Real Property'!A278)</f>
        <v/>
      </c>
      <c r="B275" s="147" t="str">
        <f>IF('Real Property'!B278=0,"",'Real Property'!B278)</f>
        <v/>
      </c>
      <c r="C275" s="148" t="str">
        <f>IF('Real Property'!E278=0,"",'Real Property'!E278)</f>
        <v/>
      </c>
      <c r="D275" s="149" t="str">
        <f>IF('Real Property'!I278=0,"",'Real Property'!I278)</f>
        <v/>
      </c>
      <c r="E275" s="150" t="str">
        <f>IFERROR(IF('Real Property'!AF278=0,"",'Real Property'!AF278),"")</f>
        <v/>
      </c>
      <c r="F275" s="150" t="str">
        <f>IFERROR(IF('Real Property'!AH278=0,"",'Real Property'!AH278),"")</f>
        <v/>
      </c>
      <c r="G275" s="156" t="str">
        <f>IF('Real Property'!AI278=0,"",'Real Property'!AI278)</f>
        <v/>
      </c>
    </row>
    <row r="276" spans="1:7">
      <c r="A276" s="149" t="str">
        <f>IF('Real Property'!A279=0,"",'Real Property'!A279)</f>
        <v/>
      </c>
      <c r="B276" s="147" t="str">
        <f>IF('Real Property'!B279=0,"",'Real Property'!B279)</f>
        <v/>
      </c>
      <c r="C276" s="148" t="str">
        <f>IF('Real Property'!E279=0,"",'Real Property'!E279)</f>
        <v/>
      </c>
      <c r="D276" s="149" t="str">
        <f>IF('Real Property'!I279=0,"",'Real Property'!I279)</f>
        <v/>
      </c>
      <c r="E276" s="150" t="str">
        <f>IFERROR(IF('Real Property'!AF279=0,"",'Real Property'!AF279),"")</f>
        <v/>
      </c>
      <c r="F276" s="150" t="str">
        <f>IFERROR(IF('Real Property'!AH279=0,"",'Real Property'!AH279),"")</f>
        <v/>
      </c>
      <c r="G276" s="156" t="str">
        <f>IF('Real Property'!AI279=0,"",'Real Property'!AI279)</f>
        <v/>
      </c>
    </row>
    <row r="277" spans="1:7">
      <c r="A277" s="149" t="str">
        <f>IF('Real Property'!A280=0,"",'Real Property'!A280)</f>
        <v/>
      </c>
      <c r="B277" s="147" t="str">
        <f>IF('Real Property'!B280=0,"",'Real Property'!B280)</f>
        <v/>
      </c>
      <c r="C277" s="148" t="str">
        <f>IF('Real Property'!E280=0,"",'Real Property'!E280)</f>
        <v/>
      </c>
      <c r="D277" s="149" t="str">
        <f>IF('Real Property'!I280=0,"",'Real Property'!I280)</f>
        <v/>
      </c>
      <c r="E277" s="150" t="str">
        <f>IFERROR(IF('Real Property'!AF280=0,"",'Real Property'!AF280),"")</f>
        <v/>
      </c>
      <c r="F277" s="150" t="str">
        <f>IFERROR(IF('Real Property'!AH280=0,"",'Real Property'!AH280),"")</f>
        <v/>
      </c>
      <c r="G277" s="156" t="str">
        <f>IF('Real Property'!AI280=0,"",'Real Property'!AI280)</f>
        <v/>
      </c>
    </row>
    <row r="278" spans="1:7">
      <c r="A278" s="149" t="str">
        <f>IF('Real Property'!A281=0,"",'Real Property'!A281)</f>
        <v/>
      </c>
      <c r="B278" s="147" t="str">
        <f>IF('Real Property'!B281=0,"",'Real Property'!B281)</f>
        <v/>
      </c>
      <c r="C278" s="148" t="str">
        <f>IF('Real Property'!E281=0,"",'Real Property'!E281)</f>
        <v/>
      </c>
      <c r="D278" s="149" t="str">
        <f>IF('Real Property'!I281=0,"",'Real Property'!I281)</f>
        <v/>
      </c>
      <c r="E278" s="150" t="str">
        <f>IFERROR(IF('Real Property'!AF281=0,"",'Real Property'!AF281),"")</f>
        <v/>
      </c>
      <c r="F278" s="150" t="str">
        <f>IFERROR(IF('Real Property'!AH281=0,"",'Real Property'!AH281),"")</f>
        <v/>
      </c>
      <c r="G278" s="156" t="str">
        <f>IF('Real Property'!AI281=0,"",'Real Property'!AI281)</f>
        <v/>
      </c>
    </row>
    <row r="279" spans="1:7">
      <c r="A279" s="149" t="str">
        <f>IF('Real Property'!A282=0,"",'Real Property'!A282)</f>
        <v/>
      </c>
      <c r="B279" s="147" t="str">
        <f>IF('Real Property'!B282=0,"",'Real Property'!B282)</f>
        <v/>
      </c>
      <c r="C279" s="148" t="str">
        <f>IF('Real Property'!E282=0,"",'Real Property'!E282)</f>
        <v/>
      </c>
      <c r="D279" s="149" t="str">
        <f>IF('Real Property'!I282=0,"",'Real Property'!I282)</f>
        <v/>
      </c>
      <c r="E279" s="150" t="str">
        <f>IFERROR(IF('Real Property'!AF282=0,"",'Real Property'!AF282),"")</f>
        <v/>
      </c>
      <c r="F279" s="150" t="str">
        <f>IFERROR(IF('Real Property'!AH282=0,"",'Real Property'!AH282),"")</f>
        <v/>
      </c>
      <c r="G279" s="156" t="str">
        <f>IF('Real Property'!AI282=0,"",'Real Property'!AI282)</f>
        <v/>
      </c>
    </row>
    <row r="280" spans="1:7">
      <c r="A280" s="149" t="str">
        <f>IF('Real Property'!A283=0,"",'Real Property'!A283)</f>
        <v/>
      </c>
      <c r="B280" s="147" t="str">
        <f>IF('Real Property'!B283=0,"",'Real Property'!B283)</f>
        <v/>
      </c>
      <c r="C280" s="148" t="str">
        <f>IF('Real Property'!E283=0,"",'Real Property'!E283)</f>
        <v/>
      </c>
      <c r="D280" s="149" t="str">
        <f>IF('Real Property'!I283=0,"",'Real Property'!I283)</f>
        <v/>
      </c>
      <c r="E280" s="150" t="str">
        <f>IFERROR(IF('Real Property'!AF283=0,"",'Real Property'!AF283),"")</f>
        <v/>
      </c>
      <c r="F280" s="150" t="str">
        <f>IFERROR(IF('Real Property'!AH283=0,"",'Real Property'!AH283),"")</f>
        <v/>
      </c>
      <c r="G280" s="156" t="str">
        <f>IF('Real Property'!AI283=0,"",'Real Property'!AI283)</f>
        <v/>
      </c>
    </row>
    <row r="281" spans="1:7">
      <c r="A281" s="149" t="str">
        <f>IF('Real Property'!A284=0,"",'Real Property'!A284)</f>
        <v/>
      </c>
      <c r="B281" s="147" t="str">
        <f>IF('Real Property'!B284=0,"",'Real Property'!B284)</f>
        <v/>
      </c>
      <c r="C281" s="148" t="str">
        <f>IF('Real Property'!E284=0,"",'Real Property'!E284)</f>
        <v/>
      </c>
      <c r="D281" s="149" t="str">
        <f>IF('Real Property'!I284=0,"",'Real Property'!I284)</f>
        <v/>
      </c>
      <c r="E281" s="150" t="str">
        <f>IFERROR(IF('Real Property'!AF284=0,"",'Real Property'!AF284),"")</f>
        <v/>
      </c>
      <c r="F281" s="150" t="str">
        <f>IFERROR(IF('Real Property'!AH284=0,"",'Real Property'!AH284),"")</f>
        <v/>
      </c>
      <c r="G281" s="156" t="str">
        <f>IF('Real Property'!AI284=0,"",'Real Property'!AI284)</f>
        <v/>
      </c>
    </row>
    <row r="282" spans="1:7">
      <c r="A282" s="149" t="str">
        <f>IF('Real Property'!A285=0,"",'Real Property'!A285)</f>
        <v/>
      </c>
      <c r="B282" s="147" t="str">
        <f>IF('Real Property'!B285=0,"",'Real Property'!B285)</f>
        <v/>
      </c>
      <c r="C282" s="148" t="str">
        <f>IF('Real Property'!E285=0,"",'Real Property'!E285)</f>
        <v/>
      </c>
      <c r="D282" s="149" t="str">
        <f>IF('Real Property'!I285=0,"",'Real Property'!I285)</f>
        <v/>
      </c>
      <c r="E282" s="150" t="str">
        <f>IFERROR(IF('Real Property'!AF285=0,"",'Real Property'!AF285),"")</f>
        <v/>
      </c>
      <c r="F282" s="150" t="str">
        <f>IFERROR(IF('Real Property'!AH285=0,"",'Real Property'!AH285),"")</f>
        <v/>
      </c>
      <c r="G282" s="156" t="str">
        <f>IF('Real Property'!AI285=0,"",'Real Property'!AI285)</f>
        <v/>
      </c>
    </row>
    <row r="283" spans="1:7">
      <c r="A283" s="149" t="str">
        <f>IF('Real Property'!A286=0,"",'Real Property'!A286)</f>
        <v/>
      </c>
      <c r="B283" s="147" t="str">
        <f>IF('Real Property'!B286=0,"",'Real Property'!B286)</f>
        <v/>
      </c>
      <c r="C283" s="148" t="str">
        <f>IF('Real Property'!E286=0,"",'Real Property'!E286)</f>
        <v/>
      </c>
      <c r="D283" s="149" t="str">
        <f>IF('Real Property'!I286=0,"",'Real Property'!I286)</f>
        <v/>
      </c>
      <c r="E283" s="150" t="str">
        <f>IFERROR(IF('Real Property'!AF286=0,"",'Real Property'!AF286),"")</f>
        <v/>
      </c>
      <c r="F283" s="150" t="str">
        <f>IFERROR(IF('Real Property'!AH286=0,"",'Real Property'!AH286),"")</f>
        <v/>
      </c>
      <c r="G283" s="156" t="str">
        <f>IF('Real Property'!AI286=0,"",'Real Property'!AI286)</f>
        <v/>
      </c>
    </row>
    <row r="284" spans="1:7">
      <c r="A284" s="149" t="str">
        <f>IF('Real Property'!A287=0,"",'Real Property'!A287)</f>
        <v/>
      </c>
      <c r="B284" s="147" t="str">
        <f>IF('Real Property'!B287=0,"",'Real Property'!B287)</f>
        <v/>
      </c>
      <c r="C284" s="148" t="str">
        <f>IF('Real Property'!E287=0,"",'Real Property'!E287)</f>
        <v/>
      </c>
      <c r="D284" s="149" t="str">
        <f>IF('Real Property'!I287=0,"",'Real Property'!I287)</f>
        <v/>
      </c>
      <c r="E284" s="150" t="str">
        <f>IFERROR(IF('Real Property'!AF287=0,"",'Real Property'!AF287),"")</f>
        <v/>
      </c>
      <c r="F284" s="150" t="str">
        <f>IFERROR(IF('Real Property'!AH287=0,"",'Real Property'!AH287),"")</f>
        <v/>
      </c>
      <c r="G284" s="156" t="str">
        <f>IF('Real Property'!AI287=0,"",'Real Property'!AI287)</f>
        <v/>
      </c>
    </row>
    <row r="285" spans="1:7">
      <c r="A285" s="149" t="str">
        <f>IF('Real Property'!A288=0,"",'Real Property'!A288)</f>
        <v/>
      </c>
      <c r="B285" s="147" t="str">
        <f>IF('Real Property'!B288=0,"",'Real Property'!B288)</f>
        <v/>
      </c>
      <c r="C285" s="148" t="str">
        <f>IF('Real Property'!E288=0,"",'Real Property'!E288)</f>
        <v/>
      </c>
      <c r="D285" s="149" t="str">
        <f>IF('Real Property'!I288=0,"",'Real Property'!I288)</f>
        <v/>
      </c>
      <c r="E285" s="150" t="str">
        <f>IFERROR(IF('Real Property'!AF288=0,"",'Real Property'!AF288),"")</f>
        <v/>
      </c>
      <c r="F285" s="150" t="str">
        <f>IFERROR(IF('Real Property'!AH288=0,"",'Real Property'!AH288),"")</f>
        <v/>
      </c>
      <c r="G285" s="156" t="str">
        <f>IF('Real Property'!AI288=0,"",'Real Property'!AI288)</f>
        <v/>
      </c>
    </row>
    <row r="286" spans="1:7">
      <c r="A286" s="149" t="str">
        <f>IF('Real Property'!A289=0,"",'Real Property'!A289)</f>
        <v/>
      </c>
      <c r="B286" s="147" t="str">
        <f>IF('Real Property'!B289=0,"",'Real Property'!B289)</f>
        <v/>
      </c>
      <c r="C286" s="148" t="str">
        <f>IF('Real Property'!E289=0,"",'Real Property'!E289)</f>
        <v/>
      </c>
      <c r="D286" s="149" t="str">
        <f>IF('Real Property'!I289=0,"",'Real Property'!I289)</f>
        <v/>
      </c>
      <c r="E286" s="150" t="str">
        <f>IFERROR(IF('Real Property'!AF289=0,"",'Real Property'!AF289),"")</f>
        <v/>
      </c>
      <c r="F286" s="150" t="str">
        <f>IFERROR(IF('Real Property'!AH289=0,"",'Real Property'!AH289),"")</f>
        <v/>
      </c>
      <c r="G286" s="156" t="str">
        <f>IF('Real Property'!AI289=0,"",'Real Property'!AI289)</f>
        <v/>
      </c>
    </row>
    <row r="287" spans="1:7">
      <c r="A287" s="149" t="str">
        <f>IF('Real Property'!A290=0,"",'Real Property'!A290)</f>
        <v/>
      </c>
      <c r="B287" s="147" t="str">
        <f>IF('Real Property'!B290=0,"",'Real Property'!B290)</f>
        <v/>
      </c>
      <c r="C287" s="148" t="str">
        <f>IF('Real Property'!E290=0,"",'Real Property'!E290)</f>
        <v/>
      </c>
      <c r="D287" s="149" t="str">
        <f>IF('Real Property'!I290=0,"",'Real Property'!I290)</f>
        <v/>
      </c>
      <c r="E287" s="150" t="str">
        <f>IFERROR(IF('Real Property'!AF290=0,"",'Real Property'!AF290),"")</f>
        <v/>
      </c>
      <c r="F287" s="150" t="str">
        <f>IFERROR(IF('Real Property'!AH290=0,"",'Real Property'!AH290),"")</f>
        <v/>
      </c>
      <c r="G287" s="156" t="str">
        <f>IF('Real Property'!AI290=0,"",'Real Property'!AI290)</f>
        <v/>
      </c>
    </row>
    <row r="288" spans="1:7">
      <c r="A288" s="149" t="str">
        <f>IF('Real Property'!A291=0,"",'Real Property'!A291)</f>
        <v/>
      </c>
      <c r="B288" s="147" t="str">
        <f>IF('Real Property'!B291=0,"",'Real Property'!B291)</f>
        <v/>
      </c>
      <c r="C288" s="148" t="str">
        <f>IF('Real Property'!E291=0,"",'Real Property'!E291)</f>
        <v/>
      </c>
      <c r="D288" s="149" t="str">
        <f>IF('Real Property'!I291=0,"",'Real Property'!I291)</f>
        <v/>
      </c>
      <c r="E288" s="150" t="str">
        <f>IFERROR(IF('Real Property'!AF291=0,"",'Real Property'!AF291),"")</f>
        <v/>
      </c>
      <c r="F288" s="150" t="str">
        <f>IFERROR(IF('Real Property'!AH291=0,"",'Real Property'!AH291),"")</f>
        <v/>
      </c>
      <c r="G288" s="156" t="str">
        <f>IF('Real Property'!AI291=0,"",'Real Property'!AI291)</f>
        <v/>
      </c>
    </row>
    <row r="289" spans="1:7">
      <c r="A289" s="149" t="str">
        <f>IF('Real Property'!A292=0,"",'Real Property'!A292)</f>
        <v/>
      </c>
      <c r="B289" s="147" t="str">
        <f>IF('Real Property'!B292=0,"",'Real Property'!B292)</f>
        <v/>
      </c>
      <c r="C289" s="148" t="str">
        <f>IF('Real Property'!E292=0,"",'Real Property'!E292)</f>
        <v/>
      </c>
      <c r="D289" s="149" t="str">
        <f>IF('Real Property'!I292=0,"",'Real Property'!I292)</f>
        <v/>
      </c>
      <c r="E289" s="150" t="str">
        <f>IFERROR(IF('Real Property'!AF292=0,"",'Real Property'!AF292),"")</f>
        <v/>
      </c>
      <c r="F289" s="150" t="str">
        <f>IFERROR(IF('Real Property'!AH292=0,"",'Real Property'!AH292),"")</f>
        <v/>
      </c>
      <c r="G289" s="156" t="str">
        <f>IF('Real Property'!AI292=0,"",'Real Property'!AI292)</f>
        <v/>
      </c>
    </row>
    <row r="290" spans="1:7">
      <c r="A290" s="149" t="str">
        <f>IF('Real Property'!A293=0,"",'Real Property'!A293)</f>
        <v/>
      </c>
      <c r="B290" s="147" t="str">
        <f>IF('Real Property'!B293=0,"",'Real Property'!B293)</f>
        <v/>
      </c>
      <c r="C290" s="148" t="str">
        <f>IF('Real Property'!E293=0,"",'Real Property'!E293)</f>
        <v/>
      </c>
      <c r="D290" s="149" t="str">
        <f>IF('Real Property'!I293=0,"",'Real Property'!I293)</f>
        <v/>
      </c>
      <c r="E290" s="150" t="str">
        <f>IFERROR(IF('Real Property'!AF293=0,"",'Real Property'!AF293),"")</f>
        <v/>
      </c>
      <c r="F290" s="150" t="str">
        <f>IFERROR(IF('Real Property'!AH293=0,"",'Real Property'!AH293),"")</f>
        <v/>
      </c>
      <c r="G290" s="156" t="str">
        <f>IF('Real Property'!AI293=0,"",'Real Property'!AI293)</f>
        <v/>
      </c>
    </row>
    <row r="291" spans="1:7">
      <c r="A291" s="149" t="str">
        <f>IF('Real Property'!A294=0,"",'Real Property'!A294)</f>
        <v/>
      </c>
      <c r="B291" s="147" t="str">
        <f>IF('Real Property'!B294=0,"",'Real Property'!B294)</f>
        <v/>
      </c>
      <c r="C291" s="148" t="str">
        <f>IF('Real Property'!E294=0,"",'Real Property'!E294)</f>
        <v/>
      </c>
      <c r="D291" s="149" t="str">
        <f>IF('Real Property'!I294=0,"",'Real Property'!I294)</f>
        <v/>
      </c>
      <c r="E291" s="150" t="str">
        <f>IFERROR(IF('Real Property'!AF294=0,"",'Real Property'!AF294),"")</f>
        <v/>
      </c>
      <c r="F291" s="150" t="str">
        <f>IFERROR(IF('Real Property'!AH294=0,"",'Real Property'!AH294),"")</f>
        <v/>
      </c>
      <c r="G291" s="156" t="str">
        <f>IF('Real Property'!AI294=0,"",'Real Property'!AI294)</f>
        <v/>
      </c>
    </row>
    <row r="292" spans="1:7">
      <c r="A292" s="149" t="str">
        <f>IF('Real Property'!A295=0,"",'Real Property'!A295)</f>
        <v/>
      </c>
      <c r="B292" s="147" t="str">
        <f>IF('Real Property'!B295=0,"",'Real Property'!B295)</f>
        <v/>
      </c>
      <c r="C292" s="148" t="str">
        <f>IF('Real Property'!E295=0,"",'Real Property'!E295)</f>
        <v/>
      </c>
      <c r="D292" s="149" t="str">
        <f>IF('Real Property'!I295=0,"",'Real Property'!I295)</f>
        <v/>
      </c>
      <c r="E292" s="150" t="str">
        <f>IFERROR(IF('Real Property'!AF295=0,"",'Real Property'!AF295),"")</f>
        <v/>
      </c>
      <c r="F292" s="150" t="str">
        <f>IFERROR(IF('Real Property'!AH295=0,"",'Real Property'!AH295),"")</f>
        <v/>
      </c>
      <c r="G292" s="156" t="str">
        <f>IF('Real Property'!AI295=0,"",'Real Property'!AI295)</f>
        <v/>
      </c>
    </row>
    <row r="293" spans="1:7">
      <c r="A293" s="149" t="str">
        <f>IF('Real Property'!A296=0,"",'Real Property'!A296)</f>
        <v/>
      </c>
      <c r="B293" s="147" t="str">
        <f>IF('Real Property'!B296=0,"",'Real Property'!B296)</f>
        <v/>
      </c>
      <c r="C293" s="148" t="str">
        <f>IF('Real Property'!E296=0,"",'Real Property'!E296)</f>
        <v/>
      </c>
      <c r="D293" s="149" t="str">
        <f>IF('Real Property'!I296=0,"",'Real Property'!I296)</f>
        <v/>
      </c>
      <c r="E293" s="150" t="str">
        <f>IFERROR(IF('Real Property'!AF296=0,"",'Real Property'!AF296),"")</f>
        <v/>
      </c>
      <c r="F293" s="150" t="str">
        <f>IFERROR(IF('Real Property'!AH296=0,"",'Real Property'!AH296),"")</f>
        <v/>
      </c>
      <c r="G293" s="156" t="str">
        <f>IF('Real Property'!AI296=0,"",'Real Property'!AI296)</f>
        <v/>
      </c>
    </row>
    <row r="294" spans="1:7">
      <c r="A294" s="149" t="str">
        <f>IF('Real Property'!A297=0,"",'Real Property'!A297)</f>
        <v/>
      </c>
      <c r="B294" s="147" t="str">
        <f>IF('Real Property'!B297=0,"",'Real Property'!B297)</f>
        <v/>
      </c>
      <c r="C294" s="148" t="str">
        <f>IF('Real Property'!E297=0,"",'Real Property'!E297)</f>
        <v/>
      </c>
      <c r="D294" s="149" t="str">
        <f>IF('Real Property'!I297=0,"",'Real Property'!I297)</f>
        <v/>
      </c>
      <c r="E294" s="150" t="str">
        <f>IFERROR(IF('Real Property'!AF297=0,"",'Real Property'!AF297),"")</f>
        <v/>
      </c>
      <c r="F294" s="150" t="str">
        <f>IFERROR(IF('Real Property'!AH297=0,"",'Real Property'!AH297),"")</f>
        <v/>
      </c>
      <c r="G294" s="156" t="str">
        <f>IF('Real Property'!AI297=0,"",'Real Property'!AI297)</f>
        <v/>
      </c>
    </row>
    <row r="295" spans="1:7">
      <c r="A295" s="149" t="str">
        <f>IF('Real Property'!A298=0,"",'Real Property'!A298)</f>
        <v/>
      </c>
      <c r="B295" s="147" t="str">
        <f>IF('Real Property'!B298=0,"",'Real Property'!B298)</f>
        <v/>
      </c>
      <c r="C295" s="148" t="str">
        <f>IF('Real Property'!E298=0,"",'Real Property'!E298)</f>
        <v/>
      </c>
      <c r="D295" s="149" t="str">
        <f>IF('Real Property'!I298=0,"",'Real Property'!I298)</f>
        <v/>
      </c>
      <c r="E295" s="150" t="str">
        <f>IFERROR(IF('Real Property'!AF298=0,"",'Real Property'!AF298),"")</f>
        <v/>
      </c>
      <c r="F295" s="150" t="str">
        <f>IFERROR(IF('Real Property'!AH298=0,"",'Real Property'!AH298),"")</f>
        <v/>
      </c>
      <c r="G295" s="156" t="str">
        <f>IF('Real Property'!AI298=0,"",'Real Property'!AI298)</f>
        <v/>
      </c>
    </row>
    <row r="296" spans="1:7">
      <c r="A296" s="149" t="str">
        <f>IF('Real Property'!A299=0,"",'Real Property'!A299)</f>
        <v/>
      </c>
      <c r="B296" s="147" t="str">
        <f>IF('Real Property'!B299=0,"",'Real Property'!B299)</f>
        <v/>
      </c>
      <c r="C296" s="148" t="str">
        <f>IF('Real Property'!E299=0,"",'Real Property'!E299)</f>
        <v/>
      </c>
      <c r="D296" s="149" t="str">
        <f>IF('Real Property'!I299=0,"",'Real Property'!I299)</f>
        <v/>
      </c>
      <c r="E296" s="150" t="str">
        <f>IFERROR(IF('Real Property'!AF299=0,"",'Real Property'!AF299),"")</f>
        <v/>
      </c>
      <c r="F296" s="150" t="str">
        <f>IFERROR(IF('Real Property'!AH299=0,"",'Real Property'!AH299),"")</f>
        <v/>
      </c>
      <c r="G296" s="156" t="str">
        <f>IF('Real Property'!AI299=0,"",'Real Property'!AI299)</f>
        <v/>
      </c>
    </row>
    <row r="297" spans="1:7">
      <c r="A297" s="149" t="str">
        <f>IF('Real Property'!A300=0,"",'Real Property'!A300)</f>
        <v/>
      </c>
      <c r="B297" s="147" t="str">
        <f>IF('Real Property'!B300=0,"",'Real Property'!B300)</f>
        <v/>
      </c>
      <c r="C297" s="148" t="str">
        <f>IF('Real Property'!E300=0,"",'Real Property'!E300)</f>
        <v/>
      </c>
      <c r="D297" s="149" t="str">
        <f>IF('Real Property'!I300=0,"",'Real Property'!I300)</f>
        <v/>
      </c>
      <c r="E297" s="150" t="str">
        <f>IFERROR(IF('Real Property'!AF300=0,"",'Real Property'!AF300),"")</f>
        <v/>
      </c>
      <c r="F297" s="150" t="str">
        <f>IFERROR(IF('Real Property'!AH300=0,"",'Real Property'!AH300),"")</f>
        <v/>
      </c>
      <c r="G297" s="156" t="str">
        <f>IF('Real Property'!AI300=0,"",'Real Property'!AI300)</f>
        <v/>
      </c>
    </row>
    <row r="298" spans="1:7">
      <c r="A298" s="149" t="str">
        <f>IF('Real Property'!A301=0,"",'Real Property'!A301)</f>
        <v/>
      </c>
      <c r="B298" s="147" t="str">
        <f>IF('Real Property'!B301=0,"",'Real Property'!B301)</f>
        <v/>
      </c>
      <c r="C298" s="148" t="str">
        <f>IF('Real Property'!E301=0,"",'Real Property'!E301)</f>
        <v/>
      </c>
      <c r="D298" s="149" t="str">
        <f>IF('Real Property'!I301=0,"",'Real Property'!I301)</f>
        <v/>
      </c>
      <c r="E298" s="150" t="str">
        <f>IFERROR(IF('Real Property'!AF301=0,"",'Real Property'!AF301),"")</f>
        <v/>
      </c>
      <c r="F298" s="150" t="str">
        <f>IFERROR(IF('Real Property'!AH301=0,"",'Real Property'!AH301),"")</f>
        <v/>
      </c>
      <c r="G298" s="156" t="str">
        <f>IF('Real Property'!AI301=0,"",'Real Property'!AI301)</f>
        <v/>
      </c>
    </row>
    <row r="299" spans="1:7">
      <c r="A299" s="149" t="str">
        <f>IF('Real Property'!A302=0,"",'Real Property'!A302)</f>
        <v/>
      </c>
      <c r="B299" s="147" t="str">
        <f>IF('Real Property'!B302=0,"",'Real Property'!B302)</f>
        <v/>
      </c>
      <c r="C299" s="148" t="str">
        <f>IF('Real Property'!E302=0,"",'Real Property'!E302)</f>
        <v/>
      </c>
      <c r="D299" s="149" t="str">
        <f>IF('Real Property'!I302=0,"",'Real Property'!I302)</f>
        <v/>
      </c>
      <c r="E299" s="150" t="str">
        <f>IFERROR(IF('Real Property'!AF302=0,"",'Real Property'!AF302),"")</f>
        <v/>
      </c>
      <c r="F299" s="150" t="str">
        <f>IFERROR(IF('Real Property'!AH302=0,"",'Real Property'!AH302),"")</f>
        <v/>
      </c>
      <c r="G299" s="156" t="str">
        <f>IF('Real Property'!AI302=0,"",'Real Property'!AI302)</f>
        <v/>
      </c>
    </row>
    <row r="300" spans="1:7">
      <c r="A300" s="149" t="str">
        <f>IF('Real Property'!A303=0,"",'Real Property'!A303)</f>
        <v/>
      </c>
      <c r="B300" s="147" t="str">
        <f>IF('Real Property'!B303=0,"",'Real Property'!B303)</f>
        <v/>
      </c>
      <c r="C300" s="148" t="str">
        <f>IF('Real Property'!E303=0,"",'Real Property'!E303)</f>
        <v/>
      </c>
      <c r="D300" s="149" t="str">
        <f>IF('Real Property'!I303=0,"",'Real Property'!I303)</f>
        <v/>
      </c>
      <c r="E300" s="150" t="str">
        <f>IFERROR(IF('Real Property'!AF303=0,"",'Real Property'!AF303),"")</f>
        <v/>
      </c>
      <c r="F300" s="150" t="str">
        <f>IFERROR(IF('Real Property'!AH303=0,"",'Real Property'!AH303),"")</f>
        <v/>
      </c>
      <c r="G300" s="156" t="str">
        <f>IF('Real Property'!AI303=0,"",'Real Property'!AI303)</f>
        <v/>
      </c>
    </row>
    <row r="301" spans="1:7">
      <c r="A301" s="149" t="str">
        <f>IF('Real Property'!A304=0,"",'Real Property'!A304)</f>
        <v/>
      </c>
      <c r="B301" s="147" t="str">
        <f>IF('Real Property'!B304=0,"",'Real Property'!B304)</f>
        <v/>
      </c>
      <c r="C301" s="148" t="str">
        <f>IF('Real Property'!E304=0,"",'Real Property'!E304)</f>
        <v/>
      </c>
      <c r="D301" s="149" t="str">
        <f>IF('Real Property'!I304=0,"",'Real Property'!I304)</f>
        <v/>
      </c>
      <c r="E301" s="150" t="str">
        <f>IFERROR(IF('Real Property'!AF304=0,"",'Real Property'!AF304),"")</f>
        <v/>
      </c>
      <c r="F301" s="150" t="str">
        <f>IFERROR(IF('Real Property'!AH304=0,"",'Real Property'!AH304),"")</f>
        <v/>
      </c>
      <c r="G301" s="156" t="str">
        <f>IF('Real Property'!AI304=0,"",'Real Property'!AI304)</f>
        <v/>
      </c>
    </row>
    <row r="302" spans="1:7">
      <c r="A302" s="149" t="str">
        <f>IF('Real Property'!A305=0,"",'Real Property'!A305)</f>
        <v/>
      </c>
      <c r="B302" s="147" t="str">
        <f>IF('Real Property'!B305=0,"",'Real Property'!B305)</f>
        <v/>
      </c>
      <c r="C302" s="148" t="str">
        <f>IF('Real Property'!E305=0,"",'Real Property'!E305)</f>
        <v/>
      </c>
      <c r="D302" s="149" t="str">
        <f>IF('Real Property'!I305=0,"",'Real Property'!I305)</f>
        <v/>
      </c>
      <c r="E302" s="150" t="str">
        <f>IFERROR(IF('Real Property'!AF305=0,"",'Real Property'!AF305),"")</f>
        <v/>
      </c>
      <c r="F302" s="150" t="str">
        <f>IFERROR(IF('Real Property'!AH305=0,"",'Real Property'!AH305),"")</f>
        <v/>
      </c>
      <c r="G302" s="156" t="str">
        <f>IF('Real Property'!AI305=0,"",'Real Property'!AI305)</f>
        <v/>
      </c>
    </row>
    <row r="303" spans="1:7">
      <c r="A303" s="149" t="str">
        <f>IF('Real Property'!A306=0,"",'Real Property'!A306)</f>
        <v/>
      </c>
      <c r="B303" s="147" t="str">
        <f>IF('Real Property'!B306=0,"",'Real Property'!B306)</f>
        <v/>
      </c>
      <c r="C303" s="148" t="str">
        <f>IF('Real Property'!E306=0,"",'Real Property'!E306)</f>
        <v/>
      </c>
      <c r="D303" s="149" t="str">
        <f>IF('Real Property'!I306=0,"",'Real Property'!I306)</f>
        <v/>
      </c>
      <c r="E303" s="150" t="str">
        <f>IFERROR(IF('Real Property'!AF306=0,"",'Real Property'!AF306),"")</f>
        <v/>
      </c>
      <c r="F303" s="150" t="str">
        <f>IFERROR(IF('Real Property'!AH306=0,"",'Real Property'!AH306),"")</f>
        <v/>
      </c>
      <c r="G303" s="156" t="str">
        <f>IF('Real Property'!AI306=0,"",'Real Property'!AI306)</f>
        <v/>
      </c>
    </row>
    <row r="304" spans="1:7">
      <c r="A304" s="149" t="str">
        <f>IF('Real Property'!A307=0,"",'Real Property'!A307)</f>
        <v/>
      </c>
      <c r="B304" s="147" t="str">
        <f>IF('Real Property'!B307=0,"",'Real Property'!B307)</f>
        <v/>
      </c>
      <c r="C304" s="148" t="str">
        <f>IF('Real Property'!E307=0,"",'Real Property'!E307)</f>
        <v/>
      </c>
      <c r="D304" s="149" t="str">
        <f>IF('Real Property'!I307=0,"",'Real Property'!I307)</f>
        <v/>
      </c>
      <c r="E304" s="150" t="str">
        <f>IFERROR(IF('Real Property'!AF307=0,"",'Real Property'!AF307),"")</f>
        <v/>
      </c>
      <c r="F304" s="150" t="str">
        <f>IFERROR(IF('Real Property'!AH307=0,"",'Real Property'!AH307),"")</f>
        <v/>
      </c>
      <c r="G304" s="156" t="str">
        <f>IF('Real Property'!AI307=0,"",'Real Property'!AI307)</f>
        <v/>
      </c>
    </row>
    <row r="305" spans="1:7">
      <c r="A305" s="149" t="str">
        <f>IF('Real Property'!A308=0,"",'Real Property'!A308)</f>
        <v/>
      </c>
      <c r="B305" s="147" t="str">
        <f>IF('Real Property'!B308=0,"",'Real Property'!B308)</f>
        <v/>
      </c>
      <c r="C305" s="148" t="str">
        <f>IF('Real Property'!E308=0,"",'Real Property'!E308)</f>
        <v/>
      </c>
      <c r="D305" s="149" t="str">
        <f>IF('Real Property'!I308=0,"",'Real Property'!I308)</f>
        <v/>
      </c>
      <c r="E305" s="150" t="str">
        <f>IFERROR(IF('Real Property'!AF308=0,"",'Real Property'!AF308),"")</f>
        <v/>
      </c>
      <c r="F305" s="150" t="str">
        <f>IFERROR(IF('Real Property'!AH308=0,"",'Real Property'!AH308),"")</f>
        <v/>
      </c>
      <c r="G305" s="156" t="str">
        <f>IF('Real Property'!AI308=0,"",'Real Property'!AI308)</f>
        <v/>
      </c>
    </row>
    <row r="306" spans="1:7">
      <c r="A306" s="149" t="str">
        <f>IF('Real Property'!A309=0,"",'Real Property'!A309)</f>
        <v/>
      </c>
      <c r="B306" s="147" t="str">
        <f>IF('Real Property'!B309=0,"",'Real Property'!B309)</f>
        <v/>
      </c>
      <c r="C306" s="148" t="str">
        <f>IF('Real Property'!E309=0,"",'Real Property'!E309)</f>
        <v/>
      </c>
      <c r="D306" s="149" t="str">
        <f>IF('Real Property'!I309=0,"",'Real Property'!I309)</f>
        <v/>
      </c>
      <c r="E306" s="150" t="str">
        <f>IFERROR(IF('Real Property'!AF309=0,"",'Real Property'!AF309),"")</f>
        <v/>
      </c>
      <c r="F306" s="150" t="str">
        <f>IFERROR(IF('Real Property'!AH309=0,"",'Real Property'!AH309),"")</f>
        <v/>
      </c>
      <c r="G306" s="156" t="str">
        <f>IF('Real Property'!AI309=0,"",'Real Property'!AI309)</f>
        <v/>
      </c>
    </row>
    <row r="307" spans="1:7">
      <c r="A307" s="149" t="str">
        <f>IF('Real Property'!A310=0,"",'Real Property'!A310)</f>
        <v/>
      </c>
      <c r="B307" s="147" t="str">
        <f>IF('Real Property'!B310=0,"",'Real Property'!B310)</f>
        <v/>
      </c>
      <c r="C307" s="148" t="str">
        <f>IF('Real Property'!E310=0,"",'Real Property'!E310)</f>
        <v/>
      </c>
      <c r="D307" s="149" t="str">
        <f>IF('Real Property'!I310=0,"",'Real Property'!I310)</f>
        <v/>
      </c>
      <c r="E307" s="150" t="str">
        <f>IFERROR(IF('Real Property'!AF310=0,"",'Real Property'!AF310),"")</f>
        <v/>
      </c>
      <c r="F307" s="150" t="str">
        <f>IFERROR(IF('Real Property'!AH310=0,"",'Real Property'!AH310),"")</f>
        <v/>
      </c>
      <c r="G307" s="156" t="str">
        <f>IF('Real Property'!AI310=0,"",'Real Property'!AI310)</f>
        <v/>
      </c>
    </row>
    <row r="308" spans="1:7">
      <c r="A308" s="149" t="str">
        <f>IF('Real Property'!A311=0,"",'Real Property'!A311)</f>
        <v/>
      </c>
      <c r="B308" s="147" t="str">
        <f>IF('Real Property'!B311=0,"",'Real Property'!B311)</f>
        <v/>
      </c>
      <c r="C308" s="148" t="str">
        <f>IF('Real Property'!E311=0,"",'Real Property'!E311)</f>
        <v/>
      </c>
      <c r="D308" s="149" t="str">
        <f>IF('Real Property'!I311=0,"",'Real Property'!I311)</f>
        <v/>
      </c>
      <c r="E308" s="150" t="str">
        <f>IFERROR(IF('Real Property'!AF311=0,"",'Real Property'!AF311),"")</f>
        <v/>
      </c>
      <c r="F308" s="150" t="str">
        <f>IFERROR(IF('Real Property'!AH311=0,"",'Real Property'!AH311),"")</f>
        <v/>
      </c>
      <c r="G308" s="156" t="str">
        <f>IF('Real Property'!AI311=0,"",'Real Property'!AI311)</f>
        <v/>
      </c>
    </row>
    <row r="309" spans="1:7">
      <c r="A309" s="149" t="str">
        <f>IF('Real Property'!A312=0,"",'Real Property'!A312)</f>
        <v/>
      </c>
      <c r="B309" s="147" t="str">
        <f>IF('Real Property'!B312=0,"",'Real Property'!B312)</f>
        <v/>
      </c>
      <c r="C309" s="148" t="str">
        <f>IF('Real Property'!E312=0,"",'Real Property'!E312)</f>
        <v/>
      </c>
      <c r="D309" s="149" t="str">
        <f>IF('Real Property'!I312=0,"",'Real Property'!I312)</f>
        <v/>
      </c>
      <c r="E309" s="150" t="str">
        <f>IFERROR(IF('Real Property'!AF312=0,"",'Real Property'!AF312),"")</f>
        <v/>
      </c>
      <c r="F309" s="150" t="str">
        <f>IFERROR(IF('Real Property'!AH312=0,"",'Real Property'!AH312),"")</f>
        <v/>
      </c>
      <c r="G309" s="156" t="str">
        <f>IF('Real Property'!AI312=0,"",'Real Property'!AI312)</f>
        <v/>
      </c>
    </row>
    <row r="310" spans="1:7">
      <c r="A310" s="149" t="str">
        <f>IF('Real Property'!A313=0,"",'Real Property'!A313)</f>
        <v/>
      </c>
      <c r="B310" s="147" t="str">
        <f>IF('Real Property'!B313=0,"",'Real Property'!B313)</f>
        <v/>
      </c>
      <c r="C310" s="148" t="str">
        <f>IF('Real Property'!E313=0,"",'Real Property'!E313)</f>
        <v/>
      </c>
      <c r="D310" s="149" t="str">
        <f>IF('Real Property'!I313=0,"",'Real Property'!I313)</f>
        <v/>
      </c>
      <c r="E310" s="150" t="str">
        <f>IFERROR(IF('Real Property'!AF313=0,"",'Real Property'!AF313),"")</f>
        <v/>
      </c>
      <c r="F310" s="150" t="str">
        <f>IFERROR(IF('Real Property'!AH313=0,"",'Real Property'!AH313),"")</f>
        <v/>
      </c>
      <c r="G310" s="156" t="str">
        <f>IF('Real Property'!AI313=0,"",'Real Property'!AI313)</f>
        <v/>
      </c>
    </row>
    <row r="311" spans="1:7">
      <c r="A311" s="149" t="str">
        <f>IF('Real Property'!A314=0,"",'Real Property'!A314)</f>
        <v/>
      </c>
      <c r="B311" s="147" t="str">
        <f>IF('Real Property'!B314=0,"",'Real Property'!B314)</f>
        <v/>
      </c>
      <c r="C311" s="148" t="str">
        <f>IF('Real Property'!E314=0,"",'Real Property'!E314)</f>
        <v/>
      </c>
      <c r="D311" s="149" t="str">
        <f>IF('Real Property'!I314=0,"",'Real Property'!I314)</f>
        <v/>
      </c>
      <c r="E311" s="150" t="str">
        <f>IFERROR(IF('Real Property'!AF314=0,"",'Real Property'!AF314),"")</f>
        <v/>
      </c>
      <c r="F311" s="150" t="str">
        <f>IFERROR(IF('Real Property'!AH314=0,"",'Real Property'!AH314),"")</f>
        <v/>
      </c>
      <c r="G311" s="156" t="str">
        <f>IF('Real Property'!AI314=0,"",'Real Property'!AI314)</f>
        <v/>
      </c>
    </row>
    <row r="312" spans="1:7">
      <c r="A312" s="149" t="str">
        <f>IF('Real Property'!A315=0,"",'Real Property'!A315)</f>
        <v/>
      </c>
      <c r="B312" s="147" t="str">
        <f>IF('Real Property'!B315=0,"",'Real Property'!B315)</f>
        <v/>
      </c>
      <c r="C312" s="148" t="str">
        <f>IF('Real Property'!E315=0,"",'Real Property'!E315)</f>
        <v/>
      </c>
      <c r="D312" s="149" t="str">
        <f>IF('Real Property'!I315=0,"",'Real Property'!I315)</f>
        <v/>
      </c>
      <c r="E312" s="150" t="str">
        <f>IFERROR(IF('Real Property'!AF315=0,"",'Real Property'!AF315),"")</f>
        <v/>
      </c>
      <c r="F312" s="150" t="str">
        <f>IFERROR(IF('Real Property'!AH315=0,"",'Real Property'!AH315),"")</f>
        <v/>
      </c>
      <c r="G312" s="156" t="str">
        <f>IF('Real Property'!AI315=0,"",'Real Property'!AI315)</f>
        <v/>
      </c>
    </row>
    <row r="313" spans="1:7">
      <c r="A313" s="149" t="str">
        <f>IF('Real Property'!A316=0,"",'Real Property'!A316)</f>
        <v/>
      </c>
      <c r="B313" s="147" t="str">
        <f>IF('Real Property'!B316=0,"",'Real Property'!B316)</f>
        <v/>
      </c>
      <c r="C313" s="148" t="str">
        <f>IF('Real Property'!E316=0,"",'Real Property'!E316)</f>
        <v/>
      </c>
      <c r="D313" s="149" t="str">
        <f>IF('Real Property'!I316=0,"",'Real Property'!I316)</f>
        <v/>
      </c>
      <c r="E313" s="150" t="str">
        <f>IFERROR(IF('Real Property'!AF316=0,"",'Real Property'!AF316),"")</f>
        <v/>
      </c>
      <c r="F313" s="150" t="str">
        <f>IFERROR(IF('Real Property'!AH316=0,"",'Real Property'!AH316),"")</f>
        <v/>
      </c>
      <c r="G313" s="156" t="str">
        <f>IF('Real Property'!AI316=0,"",'Real Property'!AI316)</f>
        <v/>
      </c>
    </row>
    <row r="314" spans="1:7">
      <c r="A314" s="149" t="str">
        <f>IF('Real Property'!A317=0,"",'Real Property'!A317)</f>
        <v/>
      </c>
      <c r="B314" s="147" t="str">
        <f>IF('Real Property'!B317=0,"",'Real Property'!B317)</f>
        <v/>
      </c>
      <c r="C314" s="148" t="str">
        <f>IF('Real Property'!E317=0,"",'Real Property'!E317)</f>
        <v/>
      </c>
      <c r="D314" s="149" t="str">
        <f>IF('Real Property'!I317=0,"",'Real Property'!I317)</f>
        <v/>
      </c>
      <c r="E314" s="150" t="str">
        <f>IFERROR(IF('Real Property'!AF317=0,"",'Real Property'!AF317),"")</f>
        <v/>
      </c>
      <c r="F314" s="150" t="str">
        <f>IFERROR(IF('Real Property'!AH317=0,"",'Real Property'!AH317),"")</f>
        <v/>
      </c>
      <c r="G314" s="156" t="str">
        <f>IF('Real Property'!AI317=0,"",'Real Property'!AI317)</f>
        <v/>
      </c>
    </row>
    <row r="315" spans="1:7">
      <c r="A315" s="149" t="str">
        <f>IF('Real Property'!A318=0,"",'Real Property'!A318)</f>
        <v/>
      </c>
      <c r="B315" s="147" t="str">
        <f>IF('Real Property'!B318=0,"",'Real Property'!B318)</f>
        <v/>
      </c>
      <c r="C315" s="148" t="str">
        <f>IF('Real Property'!E318=0,"",'Real Property'!E318)</f>
        <v/>
      </c>
      <c r="D315" s="149" t="str">
        <f>IF('Real Property'!I318=0,"",'Real Property'!I318)</f>
        <v/>
      </c>
      <c r="E315" s="150" t="str">
        <f>IFERROR(IF('Real Property'!AF318=0,"",'Real Property'!AF318),"")</f>
        <v/>
      </c>
      <c r="F315" s="150" t="str">
        <f>IFERROR(IF('Real Property'!AH318=0,"",'Real Property'!AH318),"")</f>
        <v/>
      </c>
      <c r="G315" s="156" t="str">
        <f>IF('Real Property'!AI318=0,"",'Real Property'!AI318)</f>
        <v/>
      </c>
    </row>
    <row r="316" spans="1:7">
      <c r="A316" s="149" t="str">
        <f>IF('Real Property'!A319=0,"",'Real Property'!A319)</f>
        <v/>
      </c>
      <c r="B316" s="147" t="str">
        <f>IF('Real Property'!B319=0,"",'Real Property'!B319)</f>
        <v/>
      </c>
      <c r="C316" s="148" t="str">
        <f>IF('Real Property'!E319=0,"",'Real Property'!E319)</f>
        <v/>
      </c>
      <c r="D316" s="149" t="str">
        <f>IF('Real Property'!I319=0,"",'Real Property'!I319)</f>
        <v/>
      </c>
      <c r="E316" s="150" t="str">
        <f>IFERROR(IF('Real Property'!AF319=0,"",'Real Property'!AF319),"")</f>
        <v/>
      </c>
      <c r="F316" s="150" t="str">
        <f>IFERROR(IF('Real Property'!AH319=0,"",'Real Property'!AH319),"")</f>
        <v/>
      </c>
      <c r="G316" s="156" t="str">
        <f>IF('Real Property'!AI319=0,"",'Real Property'!AI319)</f>
        <v/>
      </c>
    </row>
    <row r="317" spans="1:7">
      <c r="A317" s="149" t="str">
        <f>IF('Real Property'!A320=0,"",'Real Property'!A320)</f>
        <v/>
      </c>
      <c r="B317" s="147" t="str">
        <f>IF('Real Property'!B320=0,"",'Real Property'!B320)</f>
        <v/>
      </c>
      <c r="C317" s="148" t="str">
        <f>IF('Real Property'!E320=0,"",'Real Property'!E320)</f>
        <v/>
      </c>
      <c r="D317" s="149" t="str">
        <f>IF('Real Property'!I320=0,"",'Real Property'!I320)</f>
        <v/>
      </c>
      <c r="E317" s="150" t="str">
        <f>IFERROR(IF('Real Property'!AF320=0,"",'Real Property'!AF320),"")</f>
        <v/>
      </c>
      <c r="F317" s="150" t="str">
        <f>IFERROR(IF('Real Property'!AH320=0,"",'Real Property'!AH320),"")</f>
        <v/>
      </c>
      <c r="G317" s="156" t="str">
        <f>IF('Real Property'!AI320=0,"",'Real Property'!AI320)</f>
        <v/>
      </c>
    </row>
    <row r="318" spans="1:7">
      <c r="A318" s="149" t="str">
        <f>IF('Real Property'!A321=0,"",'Real Property'!A321)</f>
        <v/>
      </c>
      <c r="B318" s="147" t="str">
        <f>IF('Real Property'!B321=0,"",'Real Property'!B321)</f>
        <v/>
      </c>
      <c r="C318" s="148" t="str">
        <f>IF('Real Property'!E321=0,"",'Real Property'!E321)</f>
        <v/>
      </c>
      <c r="D318" s="149" t="str">
        <f>IF('Real Property'!I321=0,"",'Real Property'!I321)</f>
        <v/>
      </c>
      <c r="E318" s="150" t="str">
        <f>IFERROR(IF('Real Property'!AF321=0,"",'Real Property'!AF321),"")</f>
        <v/>
      </c>
      <c r="F318" s="150" t="str">
        <f>IFERROR(IF('Real Property'!AH321=0,"",'Real Property'!AH321),"")</f>
        <v/>
      </c>
      <c r="G318" s="156" t="str">
        <f>IF('Real Property'!AI321=0,"",'Real Property'!AI321)</f>
        <v/>
      </c>
    </row>
    <row r="319" spans="1:7">
      <c r="A319" s="149" t="str">
        <f>IF('Real Property'!A322=0,"",'Real Property'!A322)</f>
        <v/>
      </c>
      <c r="B319" s="147" t="str">
        <f>IF('Real Property'!B322=0,"",'Real Property'!B322)</f>
        <v/>
      </c>
      <c r="C319" s="148" t="str">
        <f>IF('Real Property'!E322=0,"",'Real Property'!E322)</f>
        <v/>
      </c>
      <c r="D319" s="149" t="str">
        <f>IF('Real Property'!I322=0,"",'Real Property'!I322)</f>
        <v/>
      </c>
      <c r="E319" s="150" t="str">
        <f>IFERROR(IF('Real Property'!AF322=0,"",'Real Property'!AF322),"")</f>
        <v/>
      </c>
      <c r="F319" s="150" t="str">
        <f>IFERROR(IF('Real Property'!AH322=0,"",'Real Property'!AH322),"")</f>
        <v/>
      </c>
      <c r="G319" s="156" t="str">
        <f>IF('Real Property'!AI322=0,"",'Real Property'!AI322)</f>
        <v/>
      </c>
    </row>
    <row r="320" spans="1:7">
      <c r="A320" s="149" t="str">
        <f>IF('Real Property'!A323=0,"",'Real Property'!A323)</f>
        <v/>
      </c>
      <c r="B320" s="147" t="str">
        <f>IF('Real Property'!B323=0,"",'Real Property'!B323)</f>
        <v/>
      </c>
      <c r="C320" s="148" t="str">
        <f>IF('Real Property'!E323=0,"",'Real Property'!E323)</f>
        <v/>
      </c>
      <c r="D320" s="149" t="str">
        <f>IF('Real Property'!I323=0,"",'Real Property'!I323)</f>
        <v/>
      </c>
      <c r="E320" s="150" t="str">
        <f>IFERROR(IF('Real Property'!AF323=0,"",'Real Property'!AF323),"")</f>
        <v/>
      </c>
      <c r="F320" s="150" t="str">
        <f>IFERROR(IF('Real Property'!AH323=0,"",'Real Property'!AH323),"")</f>
        <v/>
      </c>
      <c r="G320" s="156" t="str">
        <f>IF('Real Property'!AI323=0,"",'Real Property'!AI323)</f>
        <v/>
      </c>
    </row>
    <row r="321" spans="1:7">
      <c r="A321" s="149" t="str">
        <f>IF('Real Property'!A324=0,"",'Real Property'!A324)</f>
        <v/>
      </c>
      <c r="B321" s="147" t="str">
        <f>IF('Real Property'!B324=0,"",'Real Property'!B324)</f>
        <v/>
      </c>
      <c r="C321" s="148" t="str">
        <f>IF('Real Property'!E324=0,"",'Real Property'!E324)</f>
        <v/>
      </c>
      <c r="D321" s="149" t="str">
        <f>IF('Real Property'!I324=0,"",'Real Property'!I324)</f>
        <v/>
      </c>
      <c r="E321" s="150" t="str">
        <f>IFERROR(IF('Real Property'!AF324=0,"",'Real Property'!AF324),"")</f>
        <v/>
      </c>
      <c r="F321" s="150" t="str">
        <f>IFERROR(IF('Real Property'!AH324=0,"",'Real Property'!AH324),"")</f>
        <v/>
      </c>
      <c r="G321" s="156" t="str">
        <f>IF('Real Property'!AI324=0,"",'Real Property'!AI324)</f>
        <v/>
      </c>
    </row>
    <row r="322" spans="1:7">
      <c r="A322" s="149" t="str">
        <f>IF('Real Property'!A325=0,"",'Real Property'!A325)</f>
        <v/>
      </c>
      <c r="B322" s="147" t="str">
        <f>IF('Real Property'!B325=0,"",'Real Property'!B325)</f>
        <v/>
      </c>
      <c r="C322" s="148" t="str">
        <f>IF('Real Property'!E325=0,"",'Real Property'!E325)</f>
        <v/>
      </c>
      <c r="D322" s="149" t="str">
        <f>IF('Real Property'!I325=0,"",'Real Property'!I325)</f>
        <v/>
      </c>
      <c r="E322" s="150" t="str">
        <f>IFERROR(IF('Real Property'!AF325=0,"",'Real Property'!AF325),"")</f>
        <v/>
      </c>
      <c r="F322" s="150" t="str">
        <f>IFERROR(IF('Real Property'!AH325=0,"",'Real Property'!AH325),"")</f>
        <v/>
      </c>
      <c r="G322" s="156" t="str">
        <f>IF('Real Property'!AI325=0,"",'Real Property'!AI325)</f>
        <v/>
      </c>
    </row>
    <row r="323" spans="1:7">
      <c r="A323" s="149" t="str">
        <f>IF('Real Property'!A326=0,"",'Real Property'!A326)</f>
        <v/>
      </c>
      <c r="B323" s="147" t="str">
        <f>IF('Real Property'!B326=0,"",'Real Property'!B326)</f>
        <v/>
      </c>
      <c r="C323" s="148" t="str">
        <f>IF('Real Property'!E326=0,"",'Real Property'!E326)</f>
        <v/>
      </c>
      <c r="D323" s="149" t="str">
        <f>IF('Real Property'!I326=0,"",'Real Property'!I326)</f>
        <v/>
      </c>
      <c r="E323" s="150" t="str">
        <f>IFERROR(IF('Real Property'!AF326=0,"",'Real Property'!AF326),"")</f>
        <v/>
      </c>
      <c r="F323" s="150" t="str">
        <f>IFERROR(IF('Real Property'!AH326=0,"",'Real Property'!AH326),"")</f>
        <v/>
      </c>
      <c r="G323" s="156" t="str">
        <f>IF('Real Property'!AI326=0,"",'Real Property'!AI326)</f>
        <v/>
      </c>
    </row>
    <row r="324" spans="1:7">
      <c r="A324" s="149" t="str">
        <f>IF('Real Property'!A327=0,"",'Real Property'!A327)</f>
        <v/>
      </c>
      <c r="B324" s="147" t="str">
        <f>IF('Real Property'!B327=0,"",'Real Property'!B327)</f>
        <v/>
      </c>
      <c r="C324" s="148" t="str">
        <f>IF('Real Property'!E327=0,"",'Real Property'!E327)</f>
        <v/>
      </c>
      <c r="D324" s="149" t="str">
        <f>IF('Real Property'!I327=0,"",'Real Property'!I327)</f>
        <v/>
      </c>
      <c r="E324" s="150" t="str">
        <f>IFERROR(IF('Real Property'!AF327=0,"",'Real Property'!AF327),"")</f>
        <v/>
      </c>
      <c r="F324" s="150" t="str">
        <f>IFERROR(IF('Real Property'!AH327=0,"",'Real Property'!AH327),"")</f>
        <v/>
      </c>
      <c r="G324" s="156" t="str">
        <f>IF('Real Property'!AI327=0,"",'Real Property'!AI327)</f>
        <v/>
      </c>
    </row>
    <row r="325" spans="1:7">
      <c r="A325" s="149" t="str">
        <f>IF('Real Property'!A328=0,"",'Real Property'!A328)</f>
        <v/>
      </c>
      <c r="B325" s="147" t="str">
        <f>IF('Real Property'!B328=0,"",'Real Property'!B328)</f>
        <v/>
      </c>
      <c r="C325" s="148" t="str">
        <f>IF('Real Property'!E328=0,"",'Real Property'!E328)</f>
        <v/>
      </c>
      <c r="D325" s="149" t="str">
        <f>IF('Real Property'!I328=0,"",'Real Property'!I328)</f>
        <v/>
      </c>
      <c r="E325" s="150" t="str">
        <f>IFERROR(IF('Real Property'!AF328=0,"",'Real Property'!AF328),"")</f>
        <v/>
      </c>
      <c r="F325" s="150" t="str">
        <f>IFERROR(IF('Real Property'!AH328=0,"",'Real Property'!AH328),"")</f>
        <v/>
      </c>
      <c r="G325" s="156" t="str">
        <f>IF('Real Property'!AI328=0,"",'Real Property'!AI328)</f>
        <v/>
      </c>
    </row>
    <row r="326" spans="1:7">
      <c r="A326" s="149" t="str">
        <f>IF('Real Property'!A329=0,"",'Real Property'!A329)</f>
        <v/>
      </c>
      <c r="B326" s="147" t="str">
        <f>IF('Real Property'!B329=0,"",'Real Property'!B329)</f>
        <v/>
      </c>
      <c r="C326" s="148" t="str">
        <f>IF('Real Property'!E329=0,"",'Real Property'!E329)</f>
        <v/>
      </c>
      <c r="D326" s="149" t="str">
        <f>IF('Real Property'!I329=0,"",'Real Property'!I329)</f>
        <v/>
      </c>
      <c r="E326" s="150" t="str">
        <f>IFERROR(IF('Real Property'!AF329=0,"",'Real Property'!AF329),"")</f>
        <v/>
      </c>
      <c r="F326" s="150" t="str">
        <f>IFERROR(IF('Real Property'!AH329=0,"",'Real Property'!AH329),"")</f>
        <v/>
      </c>
      <c r="G326" s="156" t="str">
        <f>IF('Real Property'!AI329=0,"",'Real Property'!AI329)</f>
        <v/>
      </c>
    </row>
    <row r="327" spans="1:7">
      <c r="A327" s="149" t="str">
        <f>IF('Real Property'!A330=0,"",'Real Property'!A330)</f>
        <v/>
      </c>
      <c r="B327" s="147" t="str">
        <f>IF('Real Property'!B330=0,"",'Real Property'!B330)</f>
        <v/>
      </c>
      <c r="C327" s="148" t="str">
        <f>IF('Real Property'!E330=0,"",'Real Property'!E330)</f>
        <v/>
      </c>
      <c r="D327" s="149" t="str">
        <f>IF('Real Property'!I330=0,"",'Real Property'!I330)</f>
        <v/>
      </c>
      <c r="E327" s="150" t="str">
        <f>IFERROR(IF('Real Property'!AF330=0,"",'Real Property'!AF330),"")</f>
        <v/>
      </c>
      <c r="F327" s="150" t="str">
        <f>IFERROR(IF('Real Property'!AH330=0,"",'Real Property'!AH330),"")</f>
        <v/>
      </c>
      <c r="G327" s="156" t="str">
        <f>IF('Real Property'!AI330=0,"",'Real Property'!AI330)</f>
        <v/>
      </c>
    </row>
    <row r="328" spans="1:7">
      <c r="A328" s="149" t="str">
        <f>IF('Real Property'!A331=0,"",'Real Property'!A331)</f>
        <v/>
      </c>
      <c r="B328" s="147" t="str">
        <f>IF('Real Property'!B331=0,"",'Real Property'!B331)</f>
        <v/>
      </c>
      <c r="C328" s="148" t="str">
        <f>IF('Real Property'!E331=0,"",'Real Property'!E331)</f>
        <v/>
      </c>
      <c r="D328" s="149" t="str">
        <f>IF('Real Property'!I331=0,"",'Real Property'!I331)</f>
        <v/>
      </c>
      <c r="E328" s="150" t="str">
        <f>IFERROR(IF('Real Property'!AF331=0,"",'Real Property'!AF331),"")</f>
        <v/>
      </c>
      <c r="F328" s="150" t="str">
        <f>IFERROR(IF('Real Property'!AH331=0,"",'Real Property'!AH331),"")</f>
        <v/>
      </c>
      <c r="G328" s="156" t="str">
        <f>IF('Real Property'!AI331=0,"",'Real Property'!AI331)</f>
        <v/>
      </c>
    </row>
    <row r="329" spans="1:7">
      <c r="A329" s="149" t="str">
        <f>IF('Real Property'!A332=0,"",'Real Property'!A332)</f>
        <v/>
      </c>
      <c r="B329" s="147" t="str">
        <f>IF('Real Property'!B332=0,"",'Real Property'!B332)</f>
        <v/>
      </c>
      <c r="C329" s="148" t="str">
        <f>IF('Real Property'!E332=0,"",'Real Property'!E332)</f>
        <v/>
      </c>
      <c r="D329" s="149" t="str">
        <f>IF('Real Property'!I332=0,"",'Real Property'!I332)</f>
        <v/>
      </c>
      <c r="E329" s="150" t="str">
        <f>IFERROR(IF('Real Property'!AF332=0,"",'Real Property'!AF332),"")</f>
        <v/>
      </c>
      <c r="F329" s="150" t="str">
        <f>IFERROR(IF('Real Property'!AH332=0,"",'Real Property'!AH332),"")</f>
        <v/>
      </c>
      <c r="G329" s="156" t="str">
        <f>IF('Real Property'!AI332=0,"",'Real Property'!AI332)</f>
        <v/>
      </c>
    </row>
    <row r="330" spans="1:7">
      <c r="A330" s="149" t="str">
        <f>IF('Real Property'!A333=0,"",'Real Property'!A333)</f>
        <v/>
      </c>
      <c r="B330" s="147" t="str">
        <f>IF('Real Property'!B333=0,"",'Real Property'!B333)</f>
        <v/>
      </c>
      <c r="C330" s="148" t="str">
        <f>IF('Real Property'!E333=0,"",'Real Property'!E333)</f>
        <v/>
      </c>
      <c r="D330" s="149" t="str">
        <f>IF('Real Property'!I333=0,"",'Real Property'!I333)</f>
        <v/>
      </c>
      <c r="E330" s="150" t="str">
        <f>IFERROR(IF('Real Property'!AF333=0,"",'Real Property'!AF333),"")</f>
        <v/>
      </c>
      <c r="F330" s="150" t="str">
        <f>IFERROR(IF('Real Property'!AH333=0,"",'Real Property'!AH333),"")</f>
        <v/>
      </c>
      <c r="G330" s="156" t="str">
        <f>IF('Real Property'!AI333=0,"",'Real Property'!AI333)</f>
        <v/>
      </c>
    </row>
    <row r="331" spans="1:7">
      <c r="A331" s="149" t="str">
        <f>IF('Real Property'!A334=0,"",'Real Property'!A334)</f>
        <v/>
      </c>
      <c r="B331" s="147" t="str">
        <f>IF('Real Property'!B334=0,"",'Real Property'!B334)</f>
        <v/>
      </c>
      <c r="C331" s="148" t="str">
        <f>IF('Real Property'!E334=0,"",'Real Property'!E334)</f>
        <v/>
      </c>
      <c r="D331" s="149" t="str">
        <f>IF('Real Property'!I334=0,"",'Real Property'!I334)</f>
        <v/>
      </c>
      <c r="E331" s="150" t="str">
        <f>IFERROR(IF('Real Property'!AF334=0,"",'Real Property'!AF334),"")</f>
        <v/>
      </c>
      <c r="F331" s="150" t="str">
        <f>IFERROR(IF('Real Property'!AH334=0,"",'Real Property'!AH334),"")</f>
        <v/>
      </c>
      <c r="G331" s="156" t="str">
        <f>IF('Real Property'!AI334=0,"",'Real Property'!AI334)</f>
        <v/>
      </c>
    </row>
    <row r="332" spans="1:7">
      <c r="A332" s="149" t="str">
        <f>IF('Real Property'!A335=0,"",'Real Property'!A335)</f>
        <v/>
      </c>
      <c r="B332" s="147" t="str">
        <f>IF('Real Property'!B335=0,"",'Real Property'!B335)</f>
        <v/>
      </c>
      <c r="C332" s="148" t="str">
        <f>IF('Real Property'!E335=0,"",'Real Property'!E335)</f>
        <v/>
      </c>
      <c r="D332" s="149" t="str">
        <f>IF('Real Property'!I335=0,"",'Real Property'!I335)</f>
        <v/>
      </c>
      <c r="E332" s="150" t="str">
        <f>IFERROR(IF('Real Property'!AF335=0,"",'Real Property'!AF335),"")</f>
        <v/>
      </c>
      <c r="F332" s="150" t="str">
        <f>IFERROR(IF('Real Property'!AH335=0,"",'Real Property'!AH335),"")</f>
        <v/>
      </c>
      <c r="G332" s="156" t="str">
        <f>IF('Real Property'!AI335=0,"",'Real Property'!AI335)</f>
        <v/>
      </c>
    </row>
    <row r="333" spans="1:7">
      <c r="A333" s="149" t="str">
        <f>IF('Real Property'!A336=0,"",'Real Property'!A336)</f>
        <v/>
      </c>
      <c r="B333" s="147" t="str">
        <f>IF('Real Property'!B336=0,"",'Real Property'!B336)</f>
        <v/>
      </c>
      <c r="C333" s="148" t="str">
        <f>IF('Real Property'!E336=0,"",'Real Property'!E336)</f>
        <v/>
      </c>
      <c r="D333" s="149" t="str">
        <f>IF('Real Property'!I336=0,"",'Real Property'!I336)</f>
        <v/>
      </c>
      <c r="E333" s="150" t="str">
        <f>IFERROR(IF('Real Property'!AF336=0,"",'Real Property'!AF336),"")</f>
        <v/>
      </c>
      <c r="F333" s="150" t="str">
        <f>IFERROR(IF('Real Property'!AH336=0,"",'Real Property'!AH336),"")</f>
        <v/>
      </c>
      <c r="G333" s="156" t="str">
        <f>IF('Real Property'!AI336=0,"",'Real Property'!AI336)</f>
        <v/>
      </c>
    </row>
    <row r="334" spans="1:7">
      <c r="A334" s="149" t="str">
        <f>IF('Real Property'!A337=0,"",'Real Property'!A337)</f>
        <v/>
      </c>
      <c r="B334" s="147" t="str">
        <f>IF('Real Property'!B337=0,"",'Real Property'!B337)</f>
        <v/>
      </c>
      <c r="C334" s="148" t="str">
        <f>IF('Real Property'!E337=0,"",'Real Property'!E337)</f>
        <v/>
      </c>
      <c r="D334" s="149" t="str">
        <f>IF('Real Property'!I337=0,"",'Real Property'!I337)</f>
        <v/>
      </c>
      <c r="E334" s="150" t="str">
        <f>IFERROR(IF('Real Property'!AF337=0,"",'Real Property'!AF337),"")</f>
        <v/>
      </c>
      <c r="F334" s="150" t="str">
        <f>IFERROR(IF('Real Property'!AH337=0,"",'Real Property'!AH337),"")</f>
        <v/>
      </c>
      <c r="G334" s="156" t="str">
        <f>IF('Real Property'!AI337=0,"",'Real Property'!AI337)</f>
        <v/>
      </c>
    </row>
    <row r="335" spans="1:7">
      <c r="A335" s="149" t="str">
        <f>IF('Real Property'!A338=0,"",'Real Property'!A338)</f>
        <v/>
      </c>
      <c r="B335" s="147" t="str">
        <f>IF('Real Property'!B338=0,"",'Real Property'!B338)</f>
        <v/>
      </c>
      <c r="C335" s="148" t="str">
        <f>IF('Real Property'!E338=0,"",'Real Property'!E338)</f>
        <v/>
      </c>
      <c r="D335" s="149" t="str">
        <f>IF('Real Property'!I338=0,"",'Real Property'!I338)</f>
        <v/>
      </c>
      <c r="E335" s="150" t="str">
        <f>IFERROR(IF('Real Property'!AF338=0,"",'Real Property'!AF338),"")</f>
        <v/>
      </c>
      <c r="F335" s="150" t="str">
        <f>IFERROR(IF('Real Property'!AH338=0,"",'Real Property'!AH338),"")</f>
        <v/>
      </c>
      <c r="G335" s="156" t="str">
        <f>IF('Real Property'!AI338=0,"",'Real Property'!AI338)</f>
        <v/>
      </c>
    </row>
    <row r="336" spans="1:7">
      <c r="A336" s="149" t="str">
        <f>IF('Real Property'!A339=0,"",'Real Property'!A339)</f>
        <v/>
      </c>
      <c r="B336" s="147" t="str">
        <f>IF('Real Property'!B339=0,"",'Real Property'!B339)</f>
        <v/>
      </c>
      <c r="C336" s="148" t="str">
        <f>IF('Real Property'!E339=0,"",'Real Property'!E339)</f>
        <v/>
      </c>
      <c r="D336" s="149" t="str">
        <f>IF('Real Property'!I339=0,"",'Real Property'!I339)</f>
        <v/>
      </c>
      <c r="E336" s="150" t="str">
        <f>IFERROR(IF('Real Property'!AF339=0,"",'Real Property'!AF339),"")</f>
        <v/>
      </c>
      <c r="F336" s="150" t="str">
        <f>IFERROR(IF('Real Property'!AH339=0,"",'Real Property'!AH339),"")</f>
        <v/>
      </c>
      <c r="G336" s="156" t="str">
        <f>IF('Real Property'!AI339=0,"",'Real Property'!AI339)</f>
        <v/>
      </c>
    </row>
    <row r="337" spans="1:7">
      <c r="A337" s="149" t="str">
        <f>IF('Real Property'!A340=0,"",'Real Property'!A340)</f>
        <v/>
      </c>
      <c r="B337" s="147" t="str">
        <f>IF('Real Property'!B340=0,"",'Real Property'!B340)</f>
        <v/>
      </c>
      <c r="C337" s="148" t="str">
        <f>IF('Real Property'!E340=0,"",'Real Property'!E340)</f>
        <v/>
      </c>
      <c r="D337" s="149" t="str">
        <f>IF('Real Property'!I340=0,"",'Real Property'!I340)</f>
        <v/>
      </c>
      <c r="E337" s="150" t="str">
        <f>IFERROR(IF('Real Property'!AF340=0,"",'Real Property'!AF340),"")</f>
        <v/>
      </c>
      <c r="F337" s="150" t="str">
        <f>IFERROR(IF('Real Property'!AH340=0,"",'Real Property'!AH340),"")</f>
        <v/>
      </c>
      <c r="G337" s="156" t="str">
        <f>IF('Real Property'!AI340=0,"",'Real Property'!AI340)</f>
        <v/>
      </c>
    </row>
    <row r="338" spans="1:7">
      <c r="A338" s="149" t="str">
        <f>IF('Real Property'!A341=0,"",'Real Property'!A341)</f>
        <v/>
      </c>
      <c r="B338" s="147" t="str">
        <f>IF('Real Property'!B341=0,"",'Real Property'!B341)</f>
        <v/>
      </c>
      <c r="C338" s="148" t="str">
        <f>IF('Real Property'!E341=0,"",'Real Property'!E341)</f>
        <v/>
      </c>
      <c r="D338" s="149" t="str">
        <f>IF('Real Property'!I341=0,"",'Real Property'!I341)</f>
        <v/>
      </c>
      <c r="E338" s="150" t="str">
        <f>IFERROR(IF('Real Property'!AF341=0,"",'Real Property'!AF341),"")</f>
        <v/>
      </c>
      <c r="F338" s="150" t="str">
        <f>IFERROR(IF('Real Property'!AH341=0,"",'Real Property'!AH341),"")</f>
        <v/>
      </c>
      <c r="G338" s="156" t="str">
        <f>IF('Real Property'!AI341=0,"",'Real Property'!AI341)</f>
        <v/>
      </c>
    </row>
    <row r="339" spans="1:7">
      <c r="A339" s="149" t="str">
        <f>IF('Real Property'!A342=0,"",'Real Property'!A342)</f>
        <v/>
      </c>
      <c r="B339" s="147" t="str">
        <f>IF('Real Property'!B342=0,"",'Real Property'!B342)</f>
        <v/>
      </c>
      <c r="C339" s="148" t="str">
        <f>IF('Real Property'!E342=0,"",'Real Property'!E342)</f>
        <v/>
      </c>
      <c r="D339" s="149" t="str">
        <f>IF('Real Property'!I342=0,"",'Real Property'!I342)</f>
        <v/>
      </c>
      <c r="E339" s="150" t="str">
        <f>IFERROR(IF('Real Property'!AF342=0,"",'Real Property'!AF342),"")</f>
        <v/>
      </c>
      <c r="F339" s="150" t="str">
        <f>IFERROR(IF('Real Property'!AH342=0,"",'Real Property'!AH342),"")</f>
        <v/>
      </c>
      <c r="G339" s="156" t="str">
        <f>IF('Real Property'!AI342=0,"",'Real Property'!AI342)</f>
        <v/>
      </c>
    </row>
    <row r="340" spans="1:7">
      <c r="A340" s="149" t="str">
        <f>IF('Real Property'!A343=0,"",'Real Property'!A343)</f>
        <v/>
      </c>
      <c r="B340" s="147" t="str">
        <f>IF('Real Property'!B343=0,"",'Real Property'!B343)</f>
        <v/>
      </c>
      <c r="C340" s="148" t="str">
        <f>IF('Real Property'!E343=0,"",'Real Property'!E343)</f>
        <v/>
      </c>
      <c r="D340" s="149" t="str">
        <f>IF('Real Property'!I343=0,"",'Real Property'!I343)</f>
        <v/>
      </c>
      <c r="E340" s="150" t="str">
        <f>IFERROR(IF('Real Property'!AF343=0,"",'Real Property'!AF343),"")</f>
        <v/>
      </c>
      <c r="F340" s="150" t="str">
        <f>IFERROR(IF('Real Property'!AH343=0,"",'Real Property'!AH343),"")</f>
        <v/>
      </c>
      <c r="G340" s="156" t="str">
        <f>IF('Real Property'!AI343=0,"",'Real Property'!AI343)</f>
        <v/>
      </c>
    </row>
    <row r="341" spans="1:7">
      <c r="A341" s="149" t="str">
        <f>IF('Real Property'!A344=0,"",'Real Property'!A344)</f>
        <v/>
      </c>
      <c r="B341" s="147" t="str">
        <f>IF('Real Property'!B344=0,"",'Real Property'!B344)</f>
        <v/>
      </c>
      <c r="C341" s="148" t="str">
        <f>IF('Real Property'!E344=0,"",'Real Property'!E344)</f>
        <v/>
      </c>
      <c r="D341" s="149" t="str">
        <f>IF('Real Property'!I344=0,"",'Real Property'!I344)</f>
        <v/>
      </c>
      <c r="E341" s="150" t="str">
        <f>IFERROR(IF('Real Property'!AF344=0,"",'Real Property'!AF344),"")</f>
        <v/>
      </c>
      <c r="F341" s="150" t="str">
        <f>IFERROR(IF('Real Property'!AH344=0,"",'Real Property'!AH344),"")</f>
        <v/>
      </c>
      <c r="G341" s="156" t="str">
        <f>IF('Real Property'!AI344=0,"",'Real Property'!AI344)</f>
        <v/>
      </c>
    </row>
    <row r="342" spans="1:7">
      <c r="A342" s="149" t="str">
        <f>IF('Real Property'!A345=0,"",'Real Property'!A345)</f>
        <v/>
      </c>
      <c r="B342" s="147" t="str">
        <f>IF('Real Property'!B345=0,"",'Real Property'!B345)</f>
        <v/>
      </c>
      <c r="C342" s="148" t="str">
        <f>IF('Real Property'!E345=0,"",'Real Property'!E345)</f>
        <v/>
      </c>
      <c r="D342" s="149" t="str">
        <f>IF('Real Property'!I345=0,"",'Real Property'!I345)</f>
        <v/>
      </c>
      <c r="E342" s="150" t="str">
        <f>IFERROR(IF('Real Property'!AF345=0,"",'Real Property'!AF345),"")</f>
        <v/>
      </c>
      <c r="F342" s="150" t="str">
        <f>IFERROR(IF('Real Property'!AH345=0,"",'Real Property'!AH345),"")</f>
        <v/>
      </c>
      <c r="G342" s="156" t="str">
        <f>IF('Real Property'!AI345=0,"",'Real Property'!AI345)</f>
        <v/>
      </c>
    </row>
    <row r="343" spans="1:7">
      <c r="A343" s="149" t="str">
        <f>IF('Real Property'!A346=0,"",'Real Property'!A346)</f>
        <v/>
      </c>
      <c r="B343" s="147" t="str">
        <f>IF('Real Property'!B346=0,"",'Real Property'!B346)</f>
        <v/>
      </c>
      <c r="C343" s="148" t="str">
        <f>IF('Real Property'!E346=0,"",'Real Property'!E346)</f>
        <v/>
      </c>
      <c r="D343" s="149" t="str">
        <f>IF('Real Property'!I346=0,"",'Real Property'!I346)</f>
        <v/>
      </c>
      <c r="E343" s="150" t="str">
        <f>IFERROR(IF('Real Property'!AF346=0,"",'Real Property'!AF346),"")</f>
        <v/>
      </c>
      <c r="F343" s="150" t="str">
        <f>IFERROR(IF('Real Property'!AH346=0,"",'Real Property'!AH346),"")</f>
        <v/>
      </c>
      <c r="G343" s="156" t="str">
        <f>IF('Real Property'!AI346=0,"",'Real Property'!AI346)</f>
        <v/>
      </c>
    </row>
    <row r="344" spans="1:7">
      <c r="A344" s="149" t="str">
        <f>IF('Real Property'!A347=0,"",'Real Property'!A347)</f>
        <v/>
      </c>
      <c r="B344" s="147" t="str">
        <f>IF('Real Property'!B347=0,"",'Real Property'!B347)</f>
        <v/>
      </c>
      <c r="C344" s="148" t="str">
        <f>IF('Real Property'!E347=0,"",'Real Property'!E347)</f>
        <v/>
      </c>
      <c r="D344" s="149" t="str">
        <f>IF('Real Property'!I347=0,"",'Real Property'!I347)</f>
        <v/>
      </c>
      <c r="E344" s="150" t="str">
        <f>IFERROR(IF('Real Property'!AF347=0,"",'Real Property'!AF347),"")</f>
        <v/>
      </c>
      <c r="F344" s="150" t="str">
        <f>IFERROR(IF('Real Property'!AH347=0,"",'Real Property'!AH347),"")</f>
        <v/>
      </c>
      <c r="G344" s="156" t="str">
        <f>IF('Real Property'!AI347=0,"",'Real Property'!AI347)</f>
        <v/>
      </c>
    </row>
    <row r="345" spans="1:7">
      <c r="A345" s="149" t="str">
        <f>IF('Real Property'!A348=0,"",'Real Property'!A348)</f>
        <v/>
      </c>
      <c r="B345" s="147" t="str">
        <f>IF('Real Property'!B348=0,"",'Real Property'!B348)</f>
        <v/>
      </c>
      <c r="C345" s="148" t="str">
        <f>IF('Real Property'!E348=0,"",'Real Property'!E348)</f>
        <v/>
      </c>
      <c r="D345" s="149" t="str">
        <f>IF('Real Property'!I348=0,"",'Real Property'!I348)</f>
        <v/>
      </c>
      <c r="E345" s="150" t="str">
        <f>IFERROR(IF('Real Property'!AF348=0,"",'Real Property'!AF348),"")</f>
        <v/>
      </c>
      <c r="F345" s="150" t="str">
        <f>IFERROR(IF('Real Property'!AH348=0,"",'Real Property'!AH348),"")</f>
        <v/>
      </c>
      <c r="G345" s="156" t="str">
        <f>IF('Real Property'!AI348=0,"",'Real Property'!AI348)</f>
        <v/>
      </c>
    </row>
    <row r="346" spans="1:7">
      <c r="A346" s="149" t="str">
        <f>IF('Real Property'!A349=0,"",'Real Property'!A349)</f>
        <v/>
      </c>
      <c r="B346" s="147" t="str">
        <f>IF('Real Property'!B349=0,"",'Real Property'!B349)</f>
        <v/>
      </c>
      <c r="C346" s="148" t="str">
        <f>IF('Real Property'!E349=0,"",'Real Property'!E349)</f>
        <v/>
      </c>
      <c r="D346" s="149" t="str">
        <f>IF('Real Property'!I349=0,"",'Real Property'!I349)</f>
        <v/>
      </c>
      <c r="E346" s="150" t="str">
        <f>IFERROR(IF('Real Property'!AF349=0,"",'Real Property'!AF349),"")</f>
        <v/>
      </c>
      <c r="F346" s="150" t="str">
        <f>IFERROR(IF('Real Property'!AH349=0,"",'Real Property'!AH349),"")</f>
        <v/>
      </c>
      <c r="G346" s="156" t="str">
        <f>IF('Real Property'!AI349=0,"",'Real Property'!AI349)</f>
        <v/>
      </c>
    </row>
    <row r="347" spans="1:7">
      <c r="A347" s="149" t="str">
        <f>IF('Real Property'!A350=0,"",'Real Property'!A350)</f>
        <v/>
      </c>
      <c r="B347" s="147" t="str">
        <f>IF('Real Property'!B350=0,"",'Real Property'!B350)</f>
        <v/>
      </c>
      <c r="C347" s="148" t="str">
        <f>IF('Real Property'!E350=0,"",'Real Property'!E350)</f>
        <v/>
      </c>
      <c r="D347" s="149" t="str">
        <f>IF('Real Property'!I350=0,"",'Real Property'!I350)</f>
        <v/>
      </c>
      <c r="E347" s="150" t="str">
        <f>IFERROR(IF('Real Property'!AF350=0,"",'Real Property'!AF350),"")</f>
        <v/>
      </c>
      <c r="F347" s="150" t="str">
        <f>IFERROR(IF('Real Property'!AH350=0,"",'Real Property'!AH350),"")</f>
        <v/>
      </c>
      <c r="G347" s="156" t="str">
        <f>IF('Real Property'!AI350=0,"",'Real Property'!AI350)</f>
        <v/>
      </c>
    </row>
    <row r="348" spans="1:7">
      <c r="A348" s="149" t="str">
        <f>IF('Real Property'!A351=0,"",'Real Property'!A351)</f>
        <v/>
      </c>
      <c r="B348" s="147" t="str">
        <f>IF('Real Property'!B351=0,"",'Real Property'!B351)</f>
        <v/>
      </c>
      <c r="C348" s="148" t="str">
        <f>IF('Real Property'!E351=0,"",'Real Property'!E351)</f>
        <v/>
      </c>
      <c r="D348" s="149" t="str">
        <f>IF('Real Property'!I351=0,"",'Real Property'!I351)</f>
        <v/>
      </c>
      <c r="E348" s="150" t="str">
        <f>IFERROR(IF('Real Property'!AF351=0,"",'Real Property'!AF351),"")</f>
        <v/>
      </c>
      <c r="F348" s="150" t="str">
        <f>IFERROR(IF('Real Property'!AH351=0,"",'Real Property'!AH351),"")</f>
        <v/>
      </c>
      <c r="G348" s="156" t="str">
        <f>IF('Real Property'!AI351=0,"",'Real Property'!AI351)</f>
        <v/>
      </c>
    </row>
    <row r="349" spans="1:7">
      <c r="A349" s="149" t="str">
        <f>IF('Real Property'!A352=0,"",'Real Property'!A352)</f>
        <v/>
      </c>
      <c r="B349" s="147" t="str">
        <f>IF('Real Property'!B352=0,"",'Real Property'!B352)</f>
        <v/>
      </c>
      <c r="C349" s="148" t="str">
        <f>IF('Real Property'!E352=0,"",'Real Property'!E352)</f>
        <v/>
      </c>
      <c r="D349" s="149" t="str">
        <f>IF('Real Property'!I352=0,"",'Real Property'!I352)</f>
        <v/>
      </c>
      <c r="E349" s="150" t="str">
        <f>IFERROR(IF('Real Property'!AF352=0,"",'Real Property'!AF352),"")</f>
        <v/>
      </c>
      <c r="F349" s="150" t="str">
        <f>IFERROR(IF('Real Property'!AH352=0,"",'Real Property'!AH352),"")</f>
        <v/>
      </c>
      <c r="G349" s="156" t="str">
        <f>IF('Real Property'!AI352=0,"",'Real Property'!AI352)</f>
        <v/>
      </c>
    </row>
    <row r="350" spans="1:7">
      <c r="A350" s="149" t="str">
        <f>IF('Real Property'!A353=0,"",'Real Property'!A353)</f>
        <v/>
      </c>
      <c r="B350" s="147" t="str">
        <f>IF('Real Property'!B353=0,"",'Real Property'!B353)</f>
        <v/>
      </c>
      <c r="C350" s="148" t="str">
        <f>IF('Real Property'!E353=0,"",'Real Property'!E353)</f>
        <v/>
      </c>
      <c r="D350" s="149" t="str">
        <f>IF('Real Property'!I353=0,"",'Real Property'!I353)</f>
        <v/>
      </c>
      <c r="E350" s="150" t="str">
        <f>IFERROR(IF('Real Property'!AF353=0,"",'Real Property'!AF353),"")</f>
        <v/>
      </c>
      <c r="F350" s="150" t="str">
        <f>IFERROR(IF('Real Property'!AH353=0,"",'Real Property'!AH353),"")</f>
        <v/>
      </c>
      <c r="G350" s="156" t="str">
        <f>IF('Real Property'!AI353=0,"",'Real Property'!AI353)</f>
        <v/>
      </c>
    </row>
    <row r="351" spans="1:7">
      <c r="A351" s="149" t="str">
        <f>IF('Real Property'!A354=0,"",'Real Property'!A354)</f>
        <v/>
      </c>
      <c r="B351" s="147" t="str">
        <f>IF('Real Property'!B354=0,"",'Real Property'!B354)</f>
        <v/>
      </c>
      <c r="C351" s="148" t="str">
        <f>IF('Real Property'!E354=0,"",'Real Property'!E354)</f>
        <v/>
      </c>
      <c r="D351" s="149" t="str">
        <f>IF('Real Property'!I354=0,"",'Real Property'!I354)</f>
        <v/>
      </c>
      <c r="E351" s="150" t="str">
        <f>IFERROR(IF('Real Property'!AF354=0,"",'Real Property'!AF354),"")</f>
        <v/>
      </c>
      <c r="F351" s="150" t="str">
        <f>IFERROR(IF('Real Property'!AH354=0,"",'Real Property'!AH354),"")</f>
        <v/>
      </c>
      <c r="G351" s="156" t="str">
        <f>IF('Real Property'!AI354=0,"",'Real Property'!AI354)</f>
        <v/>
      </c>
    </row>
    <row r="352" spans="1:7">
      <c r="A352" s="149" t="str">
        <f>IF('Real Property'!A355=0,"",'Real Property'!A355)</f>
        <v/>
      </c>
      <c r="B352" s="147" t="str">
        <f>IF('Real Property'!B355=0,"",'Real Property'!B355)</f>
        <v/>
      </c>
      <c r="C352" s="148" t="str">
        <f>IF('Real Property'!E355=0,"",'Real Property'!E355)</f>
        <v/>
      </c>
      <c r="D352" s="149" t="str">
        <f>IF('Real Property'!I355=0,"",'Real Property'!I355)</f>
        <v/>
      </c>
      <c r="E352" s="150" t="str">
        <f>IFERROR(IF('Real Property'!AF355=0,"",'Real Property'!AF355),"")</f>
        <v/>
      </c>
      <c r="F352" s="150" t="str">
        <f>IFERROR(IF('Real Property'!AH355=0,"",'Real Property'!AH355),"")</f>
        <v/>
      </c>
      <c r="G352" s="156" t="str">
        <f>IF('Real Property'!AI355=0,"",'Real Property'!AI355)</f>
        <v/>
      </c>
    </row>
    <row r="353" spans="1:7">
      <c r="A353" s="149" t="str">
        <f>IF('Real Property'!A356=0,"",'Real Property'!A356)</f>
        <v/>
      </c>
      <c r="B353" s="147" t="str">
        <f>IF('Real Property'!B356=0,"",'Real Property'!B356)</f>
        <v/>
      </c>
      <c r="C353" s="148" t="str">
        <f>IF('Real Property'!E356=0,"",'Real Property'!E356)</f>
        <v/>
      </c>
      <c r="D353" s="149" t="str">
        <f>IF('Real Property'!I356=0,"",'Real Property'!I356)</f>
        <v/>
      </c>
      <c r="E353" s="150" t="str">
        <f>IFERROR(IF('Real Property'!AF356=0,"",'Real Property'!AF356),"")</f>
        <v/>
      </c>
      <c r="F353" s="150" t="str">
        <f>IFERROR(IF('Real Property'!AH356=0,"",'Real Property'!AH356),"")</f>
        <v/>
      </c>
      <c r="G353" s="156" t="str">
        <f>IF('Real Property'!AI356=0,"",'Real Property'!AI356)</f>
        <v/>
      </c>
    </row>
    <row r="354" spans="1:7">
      <c r="A354" s="149" t="str">
        <f>IF('Real Property'!A357=0,"",'Real Property'!A357)</f>
        <v/>
      </c>
      <c r="B354" s="147" t="str">
        <f>IF('Real Property'!B357=0,"",'Real Property'!B357)</f>
        <v/>
      </c>
      <c r="C354" s="148" t="str">
        <f>IF('Real Property'!E357=0,"",'Real Property'!E357)</f>
        <v/>
      </c>
      <c r="D354" s="149" t="str">
        <f>IF('Real Property'!I357=0,"",'Real Property'!I357)</f>
        <v/>
      </c>
      <c r="E354" s="150" t="str">
        <f>IFERROR(IF('Real Property'!AF357=0,"",'Real Property'!AF357),"")</f>
        <v/>
      </c>
      <c r="F354" s="150" t="str">
        <f>IFERROR(IF('Real Property'!AH357=0,"",'Real Property'!AH357),"")</f>
        <v/>
      </c>
      <c r="G354" s="156" t="str">
        <f>IF('Real Property'!AI357=0,"",'Real Property'!AI357)</f>
        <v/>
      </c>
    </row>
    <row r="355" spans="1:7">
      <c r="A355" s="149" t="str">
        <f>IF('Real Property'!A358=0,"",'Real Property'!A358)</f>
        <v/>
      </c>
      <c r="B355" s="147" t="str">
        <f>IF('Real Property'!B358=0,"",'Real Property'!B358)</f>
        <v/>
      </c>
      <c r="C355" s="148" t="str">
        <f>IF('Real Property'!E358=0,"",'Real Property'!E358)</f>
        <v/>
      </c>
      <c r="D355" s="149" t="str">
        <f>IF('Real Property'!I358=0,"",'Real Property'!I358)</f>
        <v/>
      </c>
      <c r="E355" s="150" t="str">
        <f>IFERROR(IF('Real Property'!AF358=0,"",'Real Property'!AF358),"")</f>
        <v/>
      </c>
      <c r="F355" s="150" t="str">
        <f>IFERROR(IF('Real Property'!AH358=0,"",'Real Property'!AH358),"")</f>
        <v/>
      </c>
      <c r="G355" s="156" t="str">
        <f>IF('Real Property'!AI358=0,"",'Real Property'!AI358)</f>
        <v/>
      </c>
    </row>
    <row r="356" spans="1:7">
      <c r="A356" s="149" t="str">
        <f>IF('Real Property'!A359=0,"",'Real Property'!A359)</f>
        <v/>
      </c>
      <c r="B356" s="147" t="str">
        <f>IF('Real Property'!B359=0,"",'Real Property'!B359)</f>
        <v/>
      </c>
      <c r="C356" s="148" t="str">
        <f>IF('Real Property'!E359=0,"",'Real Property'!E359)</f>
        <v/>
      </c>
      <c r="D356" s="149" t="str">
        <f>IF('Real Property'!I359=0,"",'Real Property'!I359)</f>
        <v/>
      </c>
      <c r="E356" s="150" t="str">
        <f>IFERROR(IF('Real Property'!AF359=0,"",'Real Property'!AF359),"")</f>
        <v/>
      </c>
      <c r="F356" s="150" t="str">
        <f>IFERROR(IF('Real Property'!AH359=0,"",'Real Property'!AH359),"")</f>
        <v/>
      </c>
      <c r="G356" s="156" t="str">
        <f>IF('Real Property'!AI359=0,"",'Real Property'!AI359)</f>
        <v/>
      </c>
    </row>
    <row r="357" spans="1:7">
      <c r="A357" s="149" t="str">
        <f>IF('Real Property'!A360=0,"",'Real Property'!A360)</f>
        <v/>
      </c>
      <c r="B357" s="147" t="str">
        <f>IF('Real Property'!B360=0,"",'Real Property'!B360)</f>
        <v/>
      </c>
      <c r="C357" s="148" t="str">
        <f>IF('Real Property'!E360=0,"",'Real Property'!E360)</f>
        <v/>
      </c>
      <c r="D357" s="149" t="str">
        <f>IF('Real Property'!I360=0,"",'Real Property'!I360)</f>
        <v/>
      </c>
      <c r="E357" s="150" t="str">
        <f>IFERROR(IF('Real Property'!AF360=0,"",'Real Property'!AF360),"")</f>
        <v/>
      </c>
      <c r="F357" s="150" t="str">
        <f>IFERROR(IF('Real Property'!AH360=0,"",'Real Property'!AH360),"")</f>
        <v/>
      </c>
      <c r="G357" s="156" t="str">
        <f>IF('Real Property'!AI360=0,"",'Real Property'!AI360)</f>
        <v/>
      </c>
    </row>
    <row r="358" spans="1:7">
      <c r="A358" s="149" t="str">
        <f>IF('Real Property'!A361=0,"",'Real Property'!A361)</f>
        <v/>
      </c>
      <c r="B358" s="147" t="str">
        <f>IF('Real Property'!B361=0,"",'Real Property'!B361)</f>
        <v/>
      </c>
      <c r="C358" s="148" t="str">
        <f>IF('Real Property'!E361=0,"",'Real Property'!E361)</f>
        <v/>
      </c>
      <c r="D358" s="149" t="str">
        <f>IF('Real Property'!I361=0,"",'Real Property'!I361)</f>
        <v/>
      </c>
      <c r="E358" s="150" t="str">
        <f>IFERROR(IF('Real Property'!AF361=0,"",'Real Property'!AF361),"")</f>
        <v/>
      </c>
      <c r="F358" s="150" t="str">
        <f>IFERROR(IF('Real Property'!AH361=0,"",'Real Property'!AH361),"")</f>
        <v/>
      </c>
      <c r="G358" s="156" t="str">
        <f>IF('Real Property'!AI361=0,"",'Real Property'!AI361)</f>
        <v/>
      </c>
    </row>
    <row r="359" spans="1:7">
      <c r="A359" s="149" t="str">
        <f>IF('Real Property'!A362=0,"",'Real Property'!A362)</f>
        <v/>
      </c>
      <c r="B359" s="147" t="str">
        <f>IF('Real Property'!B362=0,"",'Real Property'!B362)</f>
        <v/>
      </c>
      <c r="C359" s="148" t="str">
        <f>IF('Real Property'!E362=0,"",'Real Property'!E362)</f>
        <v/>
      </c>
      <c r="D359" s="149" t="str">
        <f>IF('Real Property'!I362=0,"",'Real Property'!I362)</f>
        <v/>
      </c>
      <c r="E359" s="150" t="str">
        <f>IFERROR(IF('Real Property'!AF362=0,"",'Real Property'!AF362),"")</f>
        <v/>
      </c>
      <c r="F359" s="150" t="str">
        <f>IFERROR(IF('Real Property'!AH362=0,"",'Real Property'!AH362),"")</f>
        <v/>
      </c>
      <c r="G359" s="156" t="str">
        <f>IF('Real Property'!AI362=0,"",'Real Property'!AI362)</f>
        <v/>
      </c>
    </row>
    <row r="360" spans="1:7">
      <c r="A360" s="149" t="str">
        <f>IF('Real Property'!A363=0,"",'Real Property'!A363)</f>
        <v/>
      </c>
      <c r="B360" s="147" t="str">
        <f>IF('Real Property'!B363=0,"",'Real Property'!B363)</f>
        <v/>
      </c>
      <c r="C360" s="148" t="str">
        <f>IF('Real Property'!E363=0,"",'Real Property'!E363)</f>
        <v/>
      </c>
      <c r="D360" s="149" t="str">
        <f>IF('Real Property'!I363=0,"",'Real Property'!I363)</f>
        <v/>
      </c>
      <c r="E360" s="150" t="str">
        <f>IFERROR(IF('Real Property'!AF363=0,"",'Real Property'!AF363),"")</f>
        <v/>
      </c>
      <c r="F360" s="150" t="str">
        <f>IFERROR(IF('Real Property'!AH363=0,"",'Real Property'!AH363),"")</f>
        <v/>
      </c>
      <c r="G360" s="156" t="str">
        <f>IF('Real Property'!AI363=0,"",'Real Property'!AI363)</f>
        <v/>
      </c>
    </row>
    <row r="361" spans="1:7">
      <c r="A361" s="149" t="str">
        <f>IF('Real Property'!A364=0,"",'Real Property'!A364)</f>
        <v/>
      </c>
      <c r="B361" s="147" t="str">
        <f>IF('Real Property'!B364=0,"",'Real Property'!B364)</f>
        <v/>
      </c>
      <c r="C361" s="148" t="str">
        <f>IF('Real Property'!E364=0,"",'Real Property'!E364)</f>
        <v/>
      </c>
      <c r="D361" s="149" t="str">
        <f>IF('Real Property'!I364=0,"",'Real Property'!I364)</f>
        <v/>
      </c>
      <c r="E361" s="150" t="str">
        <f>IFERROR(IF('Real Property'!AF364=0,"",'Real Property'!AF364),"")</f>
        <v/>
      </c>
      <c r="F361" s="150" t="str">
        <f>IFERROR(IF('Real Property'!AH364=0,"",'Real Property'!AH364),"")</f>
        <v/>
      </c>
      <c r="G361" s="156" t="str">
        <f>IF('Real Property'!AI364=0,"",'Real Property'!AI364)</f>
        <v/>
      </c>
    </row>
    <row r="362" spans="1:7">
      <c r="A362" s="149" t="str">
        <f>IF('Real Property'!A365=0,"",'Real Property'!A365)</f>
        <v/>
      </c>
      <c r="B362" s="147" t="str">
        <f>IF('Real Property'!B365=0,"",'Real Property'!B365)</f>
        <v/>
      </c>
      <c r="C362" s="148" t="str">
        <f>IF('Real Property'!E365=0,"",'Real Property'!E365)</f>
        <v/>
      </c>
      <c r="D362" s="149" t="str">
        <f>IF('Real Property'!I365=0,"",'Real Property'!I365)</f>
        <v/>
      </c>
      <c r="E362" s="150" t="str">
        <f>IFERROR(IF('Real Property'!AF365=0,"",'Real Property'!AF365),"")</f>
        <v/>
      </c>
      <c r="F362" s="150" t="str">
        <f>IFERROR(IF('Real Property'!AH365=0,"",'Real Property'!AH365),"")</f>
        <v/>
      </c>
      <c r="G362" s="156" t="str">
        <f>IF('Real Property'!AI365=0,"",'Real Property'!AI365)</f>
        <v/>
      </c>
    </row>
    <row r="363" spans="1:7">
      <c r="A363" s="149" t="str">
        <f>IF('Real Property'!A366=0,"",'Real Property'!A366)</f>
        <v/>
      </c>
      <c r="B363" s="147" t="str">
        <f>IF('Real Property'!B366=0,"",'Real Property'!B366)</f>
        <v/>
      </c>
      <c r="C363" s="148" t="str">
        <f>IF('Real Property'!E366=0,"",'Real Property'!E366)</f>
        <v/>
      </c>
      <c r="D363" s="149" t="str">
        <f>IF('Real Property'!I366=0,"",'Real Property'!I366)</f>
        <v/>
      </c>
      <c r="E363" s="150" t="str">
        <f>IFERROR(IF('Real Property'!AF366=0,"",'Real Property'!AF366),"")</f>
        <v/>
      </c>
      <c r="F363" s="150" t="str">
        <f>IFERROR(IF('Real Property'!AH366=0,"",'Real Property'!AH366),"")</f>
        <v/>
      </c>
      <c r="G363" s="156" t="str">
        <f>IF('Real Property'!AI366=0,"",'Real Property'!AI366)</f>
        <v/>
      </c>
    </row>
    <row r="364" spans="1:7">
      <c r="A364" s="149" t="str">
        <f>IF('Real Property'!A367=0,"",'Real Property'!A367)</f>
        <v/>
      </c>
      <c r="B364" s="147" t="str">
        <f>IF('Real Property'!B367=0,"",'Real Property'!B367)</f>
        <v/>
      </c>
      <c r="C364" s="148" t="str">
        <f>IF('Real Property'!E367=0,"",'Real Property'!E367)</f>
        <v/>
      </c>
      <c r="D364" s="149" t="str">
        <f>IF('Real Property'!I367=0,"",'Real Property'!I367)</f>
        <v/>
      </c>
      <c r="E364" s="150" t="str">
        <f>IFERROR(IF('Real Property'!AF367=0,"",'Real Property'!AF367),"")</f>
        <v/>
      </c>
      <c r="F364" s="150" t="str">
        <f>IFERROR(IF('Real Property'!AH367=0,"",'Real Property'!AH367),"")</f>
        <v/>
      </c>
      <c r="G364" s="156" t="str">
        <f>IF('Real Property'!AI367=0,"",'Real Property'!AI367)</f>
        <v/>
      </c>
    </row>
    <row r="365" spans="1:7">
      <c r="A365" s="149" t="str">
        <f>IF('Real Property'!A368=0,"",'Real Property'!A368)</f>
        <v/>
      </c>
      <c r="B365" s="147" t="str">
        <f>IF('Real Property'!B368=0,"",'Real Property'!B368)</f>
        <v/>
      </c>
      <c r="C365" s="148" t="str">
        <f>IF('Real Property'!E368=0,"",'Real Property'!E368)</f>
        <v/>
      </c>
      <c r="D365" s="149" t="str">
        <f>IF('Real Property'!I368=0,"",'Real Property'!I368)</f>
        <v/>
      </c>
      <c r="E365" s="150" t="str">
        <f>IFERROR(IF('Real Property'!AF368=0,"",'Real Property'!AF368),"")</f>
        <v/>
      </c>
      <c r="F365" s="150" t="str">
        <f>IFERROR(IF('Real Property'!AH368=0,"",'Real Property'!AH368),"")</f>
        <v/>
      </c>
      <c r="G365" s="156" t="str">
        <f>IF('Real Property'!AI368=0,"",'Real Property'!AI368)</f>
        <v/>
      </c>
    </row>
    <row r="366" spans="1:7">
      <c r="A366" s="149" t="str">
        <f>IF('Real Property'!A369=0,"",'Real Property'!A369)</f>
        <v/>
      </c>
      <c r="B366" s="147" t="str">
        <f>IF('Real Property'!B369=0,"",'Real Property'!B369)</f>
        <v/>
      </c>
      <c r="C366" s="148" t="str">
        <f>IF('Real Property'!E369=0,"",'Real Property'!E369)</f>
        <v/>
      </c>
      <c r="D366" s="149" t="str">
        <f>IF('Real Property'!I369=0,"",'Real Property'!I369)</f>
        <v/>
      </c>
      <c r="E366" s="150" t="str">
        <f>IFERROR(IF('Real Property'!AF369=0,"",'Real Property'!AF369),"")</f>
        <v/>
      </c>
      <c r="F366" s="150" t="str">
        <f>IFERROR(IF('Real Property'!AH369=0,"",'Real Property'!AH369),"")</f>
        <v/>
      </c>
      <c r="G366" s="156" t="str">
        <f>IF('Real Property'!AI369=0,"",'Real Property'!AI369)</f>
        <v/>
      </c>
    </row>
    <row r="367" spans="1:7">
      <c r="A367" s="149" t="str">
        <f>IF('Real Property'!A370=0,"",'Real Property'!A370)</f>
        <v/>
      </c>
      <c r="B367" s="147" t="str">
        <f>IF('Real Property'!B370=0,"",'Real Property'!B370)</f>
        <v/>
      </c>
      <c r="C367" s="148" t="str">
        <f>IF('Real Property'!E370=0,"",'Real Property'!E370)</f>
        <v/>
      </c>
      <c r="D367" s="149" t="str">
        <f>IF('Real Property'!I370=0,"",'Real Property'!I370)</f>
        <v/>
      </c>
      <c r="E367" s="150" t="str">
        <f>IFERROR(IF('Real Property'!AF370=0,"",'Real Property'!AF370),"")</f>
        <v/>
      </c>
      <c r="F367" s="150" t="str">
        <f>IFERROR(IF('Real Property'!AH370=0,"",'Real Property'!AH370),"")</f>
        <v/>
      </c>
      <c r="G367" s="156" t="str">
        <f>IF('Real Property'!AI370=0,"",'Real Property'!AI370)</f>
        <v/>
      </c>
    </row>
    <row r="368" spans="1:7">
      <c r="A368" s="149" t="str">
        <f>IF('Real Property'!A371=0,"",'Real Property'!A371)</f>
        <v/>
      </c>
      <c r="B368" s="147" t="str">
        <f>IF('Real Property'!B371=0,"",'Real Property'!B371)</f>
        <v/>
      </c>
      <c r="C368" s="148" t="str">
        <f>IF('Real Property'!E371=0,"",'Real Property'!E371)</f>
        <v/>
      </c>
      <c r="D368" s="149" t="str">
        <f>IF('Real Property'!I371=0,"",'Real Property'!I371)</f>
        <v/>
      </c>
      <c r="E368" s="150" t="str">
        <f>IFERROR(IF('Real Property'!AF371=0,"",'Real Property'!AF371),"")</f>
        <v/>
      </c>
      <c r="F368" s="150" t="str">
        <f>IFERROR(IF('Real Property'!AH371=0,"",'Real Property'!AH371),"")</f>
        <v/>
      </c>
      <c r="G368" s="156" t="str">
        <f>IF('Real Property'!AI371=0,"",'Real Property'!AI371)</f>
        <v/>
      </c>
    </row>
    <row r="369" spans="1:7">
      <c r="A369" s="149" t="str">
        <f>IF('Real Property'!A372=0,"",'Real Property'!A372)</f>
        <v/>
      </c>
      <c r="B369" s="147" t="str">
        <f>IF('Real Property'!B372=0,"",'Real Property'!B372)</f>
        <v/>
      </c>
      <c r="C369" s="148" t="str">
        <f>IF('Real Property'!E372=0,"",'Real Property'!E372)</f>
        <v/>
      </c>
      <c r="D369" s="149" t="str">
        <f>IF('Real Property'!I372=0,"",'Real Property'!I372)</f>
        <v/>
      </c>
      <c r="E369" s="150" t="str">
        <f>IFERROR(IF('Real Property'!AF372=0,"",'Real Property'!AF372),"")</f>
        <v/>
      </c>
      <c r="F369" s="150" t="str">
        <f>IFERROR(IF('Real Property'!AH372=0,"",'Real Property'!AH372),"")</f>
        <v/>
      </c>
      <c r="G369" s="156" t="str">
        <f>IF('Real Property'!AI372=0,"",'Real Property'!AI372)</f>
        <v/>
      </c>
    </row>
    <row r="370" spans="1:7">
      <c r="A370" s="149" t="str">
        <f>IF('Real Property'!A373=0,"",'Real Property'!A373)</f>
        <v/>
      </c>
      <c r="B370" s="147" t="str">
        <f>IF('Real Property'!B373=0,"",'Real Property'!B373)</f>
        <v/>
      </c>
      <c r="C370" s="148" t="str">
        <f>IF('Real Property'!E373=0,"",'Real Property'!E373)</f>
        <v/>
      </c>
      <c r="D370" s="149" t="str">
        <f>IF('Real Property'!I373=0,"",'Real Property'!I373)</f>
        <v/>
      </c>
      <c r="E370" s="150" t="str">
        <f>IFERROR(IF('Real Property'!AF373=0,"",'Real Property'!AF373),"")</f>
        <v/>
      </c>
      <c r="F370" s="150" t="str">
        <f>IFERROR(IF('Real Property'!AH373=0,"",'Real Property'!AH373),"")</f>
        <v/>
      </c>
      <c r="G370" s="156" t="str">
        <f>IF('Real Property'!AI373=0,"",'Real Property'!AI373)</f>
        <v/>
      </c>
    </row>
    <row r="371" spans="1:7">
      <c r="A371" s="149" t="str">
        <f>IF('Real Property'!A374=0,"",'Real Property'!A374)</f>
        <v/>
      </c>
      <c r="B371" s="147" t="str">
        <f>IF('Real Property'!B374=0,"",'Real Property'!B374)</f>
        <v/>
      </c>
      <c r="C371" s="148" t="str">
        <f>IF('Real Property'!E374=0,"",'Real Property'!E374)</f>
        <v/>
      </c>
      <c r="D371" s="149" t="str">
        <f>IF('Real Property'!I374=0,"",'Real Property'!I374)</f>
        <v/>
      </c>
      <c r="E371" s="150" t="str">
        <f>IFERROR(IF('Real Property'!AF374=0,"",'Real Property'!AF374),"")</f>
        <v/>
      </c>
      <c r="F371" s="150" t="str">
        <f>IFERROR(IF('Real Property'!AH374=0,"",'Real Property'!AH374),"")</f>
        <v/>
      </c>
      <c r="G371" s="156" t="str">
        <f>IF('Real Property'!AI374=0,"",'Real Property'!AI374)</f>
        <v/>
      </c>
    </row>
    <row r="372" spans="1:7">
      <c r="A372" s="149" t="str">
        <f>IF('Real Property'!A375=0,"",'Real Property'!A375)</f>
        <v/>
      </c>
      <c r="B372" s="147" t="str">
        <f>IF('Real Property'!B375=0,"",'Real Property'!B375)</f>
        <v/>
      </c>
      <c r="C372" s="148" t="str">
        <f>IF('Real Property'!E375=0,"",'Real Property'!E375)</f>
        <v/>
      </c>
      <c r="D372" s="149" t="str">
        <f>IF('Real Property'!I375=0,"",'Real Property'!I375)</f>
        <v/>
      </c>
      <c r="E372" s="150" t="str">
        <f>IFERROR(IF('Real Property'!AF375=0,"",'Real Property'!AF375),"")</f>
        <v/>
      </c>
      <c r="F372" s="150" t="str">
        <f>IFERROR(IF('Real Property'!AH375=0,"",'Real Property'!AH375),"")</f>
        <v/>
      </c>
      <c r="G372" s="156" t="str">
        <f>IF('Real Property'!AI375=0,"",'Real Property'!AI375)</f>
        <v/>
      </c>
    </row>
    <row r="373" spans="1:7">
      <c r="A373" s="149" t="str">
        <f>IF('Real Property'!A376=0,"",'Real Property'!A376)</f>
        <v/>
      </c>
      <c r="B373" s="147" t="str">
        <f>IF('Real Property'!B376=0,"",'Real Property'!B376)</f>
        <v/>
      </c>
      <c r="C373" s="148" t="str">
        <f>IF('Real Property'!E376=0,"",'Real Property'!E376)</f>
        <v/>
      </c>
      <c r="D373" s="149" t="str">
        <f>IF('Real Property'!I376=0,"",'Real Property'!I376)</f>
        <v/>
      </c>
      <c r="E373" s="150" t="str">
        <f>IFERROR(IF('Real Property'!AF376=0,"",'Real Property'!AF376),"")</f>
        <v/>
      </c>
      <c r="F373" s="150" t="str">
        <f>IFERROR(IF('Real Property'!AH376=0,"",'Real Property'!AH376),"")</f>
        <v/>
      </c>
      <c r="G373" s="156" t="str">
        <f>IF('Real Property'!AI376=0,"",'Real Property'!AI376)</f>
        <v/>
      </c>
    </row>
    <row r="374" spans="1:7">
      <c r="A374" s="149" t="str">
        <f>IF('Real Property'!A377=0,"",'Real Property'!A377)</f>
        <v/>
      </c>
      <c r="B374" s="147" t="str">
        <f>IF('Real Property'!B377=0,"",'Real Property'!B377)</f>
        <v/>
      </c>
      <c r="C374" s="148" t="str">
        <f>IF('Real Property'!E377=0,"",'Real Property'!E377)</f>
        <v/>
      </c>
      <c r="D374" s="149" t="str">
        <f>IF('Real Property'!I377=0,"",'Real Property'!I377)</f>
        <v/>
      </c>
      <c r="E374" s="150" t="str">
        <f>IFERROR(IF('Real Property'!AF377=0,"",'Real Property'!AF377),"")</f>
        <v/>
      </c>
      <c r="F374" s="150" t="str">
        <f>IFERROR(IF('Real Property'!AH377=0,"",'Real Property'!AH377),"")</f>
        <v/>
      </c>
      <c r="G374" s="156" t="str">
        <f>IF('Real Property'!AI377=0,"",'Real Property'!AI377)</f>
        <v/>
      </c>
    </row>
    <row r="375" spans="1:7">
      <c r="A375" s="149" t="str">
        <f>IF('Real Property'!A378=0,"",'Real Property'!A378)</f>
        <v/>
      </c>
      <c r="B375" s="147" t="str">
        <f>IF('Real Property'!B378=0,"",'Real Property'!B378)</f>
        <v/>
      </c>
      <c r="C375" s="148" t="str">
        <f>IF('Real Property'!E378=0,"",'Real Property'!E378)</f>
        <v/>
      </c>
      <c r="D375" s="149" t="str">
        <f>IF('Real Property'!I378=0,"",'Real Property'!I378)</f>
        <v/>
      </c>
      <c r="E375" s="150" t="str">
        <f>IFERROR(IF('Real Property'!AF378=0,"",'Real Property'!AF378),"")</f>
        <v/>
      </c>
      <c r="F375" s="150" t="str">
        <f>IFERROR(IF('Real Property'!AH378=0,"",'Real Property'!AH378),"")</f>
        <v/>
      </c>
      <c r="G375" s="156" t="str">
        <f>IF('Real Property'!AI378=0,"",'Real Property'!AI378)</f>
        <v/>
      </c>
    </row>
    <row r="376" spans="1:7">
      <c r="A376" s="149" t="str">
        <f>IF('Real Property'!A379=0,"",'Real Property'!A379)</f>
        <v/>
      </c>
      <c r="B376" s="147" t="str">
        <f>IF('Real Property'!B379=0,"",'Real Property'!B379)</f>
        <v/>
      </c>
      <c r="C376" s="148" t="str">
        <f>IF('Real Property'!E379=0,"",'Real Property'!E379)</f>
        <v/>
      </c>
      <c r="D376" s="149" t="str">
        <f>IF('Real Property'!I379=0,"",'Real Property'!I379)</f>
        <v/>
      </c>
      <c r="E376" s="150" t="str">
        <f>IFERROR(IF('Real Property'!AF379=0,"",'Real Property'!AF379),"")</f>
        <v/>
      </c>
      <c r="F376" s="150" t="str">
        <f>IFERROR(IF('Real Property'!AH379=0,"",'Real Property'!AH379),"")</f>
        <v/>
      </c>
      <c r="G376" s="156" t="str">
        <f>IF('Real Property'!AI379=0,"",'Real Property'!AI379)</f>
        <v/>
      </c>
    </row>
    <row r="377" spans="1:7">
      <c r="A377" s="149" t="str">
        <f>IF('Real Property'!A380=0,"",'Real Property'!A380)</f>
        <v/>
      </c>
      <c r="B377" s="147" t="str">
        <f>IF('Real Property'!B380=0,"",'Real Property'!B380)</f>
        <v/>
      </c>
      <c r="C377" s="148" t="str">
        <f>IF('Real Property'!E380=0,"",'Real Property'!E380)</f>
        <v/>
      </c>
      <c r="D377" s="149" t="str">
        <f>IF('Real Property'!I380=0,"",'Real Property'!I380)</f>
        <v/>
      </c>
      <c r="E377" s="150" t="str">
        <f>IFERROR(IF('Real Property'!AF380=0,"",'Real Property'!AF380),"")</f>
        <v/>
      </c>
      <c r="F377" s="150" t="str">
        <f>IFERROR(IF('Real Property'!AH380=0,"",'Real Property'!AH380),"")</f>
        <v/>
      </c>
      <c r="G377" s="156" t="str">
        <f>IF('Real Property'!AI380=0,"",'Real Property'!AI380)</f>
        <v/>
      </c>
    </row>
    <row r="378" spans="1:7">
      <c r="A378" s="149" t="str">
        <f>IF('Real Property'!A381=0,"",'Real Property'!A381)</f>
        <v/>
      </c>
      <c r="B378" s="147" t="str">
        <f>IF('Real Property'!B381=0,"",'Real Property'!B381)</f>
        <v/>
      </c>
      <c r="C378" s="148" t="str">
        <f>IF('Real Property'!E381=0,"",'Real Property'!E381)</f>
        <v/>
      </c>
      <c r="D378" s="149" t="str">
        <f>IF('Real Property'!I381=0,"",'Real Property'!I381)</f>
        <v/>
      </c>
      <c r="E378" s="150" t="str">
        <f>IFERROR(IF('Real Property'!AF381=0,"",'Real Property'!AF381),"")</f>
        <v/>
      </c>
      <c r="F378" s="150" t="str">
        <f>IFERROR(IF('Real Property'!AH381=0,"",'Real Property'!AH381),"")</f>
        <v/>
      </c>
      <c r="G378" s="156" t="str">
        <f>IF('Real Property'!AI381=0,"",'Real Property'!AI381)</f>
        <v/>
      </c>
    </row>
    <row r="379" spans="1:7">
      <c r="A379" s="149" t="str">
        <f>IF('Real Property'!A382=0,"",'Real Property'!A382)</f>
        <v/>
      </c>
      <c r="B379" s="147" t="str">
        <f>IF('Real Property'!B382=0,"",'Real Property'!B382)</f>
        <v/>
      </c>
      <c r="C379" s="148" t="str">
        <f>IF('Real Property'!E382=0,"",'Real Property'!E382)</f>
        <v/>
      </c>
      <c r="D379" s="149" t="str">
        <f>IF('Real Property'!I382=0,"",'Real Property'!I382)</f>
        <v/>
      </c>
      <c r="E379" s="150" t="str">
        <f>IFERROR(IF('Real Property'!AF382=0,"",'Real Property'!AF382),"")</f>
        <v/>
      </c>
      <c r="F379" s="150" t="str">
        <f>IFERROR(IF('Real Property'!AH382=0,"",'Real Property'!AH382),"")</f>
        <v/>
      </c>
      <c r="G379" s="156" t="str">
        <f>IF('Real Property'!AI382=0,"",'Real Property'!AI382)</f>
        <v/>
      </c>
    </row>
    <row r="380" spans="1:7">
      <c r="A380" s="149" t="str">
        <f>IF('Real Property'!A383=0,"",'Real Property'!A383)</f>
        <v/>
      </c>
      <c r="B380" s="147" t="str">
        <f>IF('Real Property'!B383=0,"",'Real Property'!B383)</f>
        <v/>
      </c>
      <c r="C380" s="148" t="str">
        <f>IF('Real Property'!E383=0,"",'Real Property'!E383)</f>
        <v/>
      </c>
      <c r="D380" s="149" t="str">
        <f>IF('Real Property'!I383=0,"",'Real Property'!I383)</f>
        <v/>
      </c>
      <c r="E380" s="150" t="str">
        <f>IFERROR(IF('Real Property'!AF383=0,"",'Real Property'!AF383),"")</f>
        <v/>
      </c>
      <c r="F380" s="150" t="str">
        <f>IFERROR(IF('Real Property'!AH383=0,"",'Real Property'!AH383),"")</f>
        <v/>
      </c>
      <c r="G380" s="156" t="str">
        <f>IF('Real Property'!AI383=0,"",'Real Property'!AI383)</f>
        <v/>
      </c>
    </row>
    <row r="381" spans="1:7">
      <c r="A381" s="149" t="str">
        <f>IF('Real Property'!A384=0,"",'Real Property'!A384)</f>
        <v/>
      </c>
      <c r="B381" s="147" t="str">
        <f>IF('Real Property'!B384=0,"",'Real Property'!B384)</f>
        <v/>
      </c>
      <c r="C381" s="148" t="str">
        <f>IF('Real Property'!E384=0,"",'Real Property'!E384)</f>
        <v/>
      </c>
      <c r="D381" s="149" t="str">
        <f>IF('Real Property'!I384=0,"",'Real Property'!I384)</f>
        <v/>
      </c>
      <c r="E381" s="150" t="str">
        <f>IFERROR(IF('Real Property'!AF384=0,"",'Real Property'!AF384),"")</f>
        <v/>
      </c>
      <c r="F381" s="150" t="str">
        <f>IFERROR(IF('Real Property'!AH384=0,"",'Real Property'!AH384),"")</f>
        <v/>
      </c>
      <c r="G381" s="156" t="str">
        <f>IF('Real Property'!AI384=0,"",'Real Property'!AI384)</f>
        <v/>
      </c>
    </row>
    <row r="382" spans="1:7">
      <c r="A382" s="149" t="str">
        <f>IF('Real Property'!A385=0,"",'Real Property'!A385)</f>
        <v/>
      </c>
      <c r="B382" s="147" t="str">
        <f>IF('Real Property'!B385=0,"",'Real Property'!B385)</f>
        <v/>
      </c>
      <c r="C382" s="148" t="str">
        <f>IF('Real Property'!E385=0,"",'Real Property'!E385)</f>
        <v/>
      </c>
      <c r="D382" s="149" t="str">
        <f>IF('Real Property'!I385=0,"",'Real Property'!I385)</f>
        <v/>
      </c>
      <c r="E382" s="150" t="str">
        <f>IFERROR(IF('Real Property'!AF385=0,"",'Real Property'!AF385),"")</f>
        <v/>
      </c>
      <c r="F382" s="150" t="str">
        <f>IFERROR(IF('Real Property'!AH385=0,"",'Real Property'!AH385),"")</f>
        <v/>
      </c>
      <c r="G382" s="156" t="str">
        <f>IF('Real Property'!AI385=0,"",'Real Property'!AI385)</f>
        <v/>
      </c>
    </row>
    <row r="383" spans="1:7">
      <c r="A383" s="149" t="str">
        <f>IF('Real Property'!A386=0,"",'Real Property'!A386)</f>
        <v/>
      </c>
      <c r="B383" s="147" t="str">
        <f>IF('Real Property'!B386=0,"",'Real Property'!B386)</f>
        <v/>
      </c>
      <c r="C383" s="148" t="str">
        <f>IF('Real Property'!E386=0,"",'Real Property'!E386)</f>
        <v/>
      </c>
      <c r="D383" s="149" t="str">
        <f>IF('Real Property'!I386=0,"",'Real Property'!I386)</f>
        <v/>
      </c>
      <c r="E383" s="150" t="str">
        <f>IFERROR(IF('Real Property'!AF386=0,"",'Real Property'!AF386),"")</f>
        <v/>
      </c>
      <c r="F383" s="150" t="str">
        <f>IFERROR(IF('Real Property'!AH386=0,"",'Real Property'!AH386),"")</f>
        <v/>
      </c>
      <c r="G383" s="156" t="str">
        <f>IF('Real Property'!AI386=0,"",'Real Property'!AI386)</f>
        <v/>
      </c>
    </row>
    <row r="384" spans="1:7">
      <c r="A384" s="149" t="str">
        <f>IF('Real Property'!A387=0,"",'Real Property'!A387)</f>
        <v/>
      </c>
      <c r="B384" s="147" t="str">
        <f>IF('Real Property'!B387=0,"",'Real Property'!B387)</f>
        <v/>
      </c>
      <c r="C384" s="148" t="str">
        <f>IF('Real Property'!E387=0,"",'Real Property'!E387)</f>
        <v/>
      </c>
      <c r="D384" s="149" t="str">
        <f>IF('Real Property'!I387=0,"",'Real Property'!I387)</f>
        <v/>
      </c>
      <c r="E384" s="150" t="str">
        <f>IFERROR(IF('Real Property'!AF387=0,"",'Real Property'!AF387),"")</f>
        <v/>
      </c>
      <c r="F384" s="150" t="str">
        <f>IFERROR(IF('Real Property'!AH387=0,"",'Real Property'!AH387),"")</f>
        <v/>
      </c>
      <c r="G384" s="156" t="str">
        <f>IF('Real Property'!AI387=0,"",'Real Property'!AI387)</f>
        <v/>
      </c>
    </row>
    <row r="385" spans="1:7">
      <c r="A385" s="149" t="str">
        <f>IF('Real Property'!A388=0,"",'Real Property'!A388)</f>
        <v/>
      </c>
      <c r="B385" s="147" t="str">
        <f>IF('Real Property'!B388=0,"",'Real Property'!B388)</f>
        <v/>
      </c>
      <c r="C385" s="148" t="str">
        <f>IF('Real Property'!E388=0,"",'Real Property'!E388)</f>
        <v/>
      </c>
      <c r="D385" s="149" t="str">
        <f>IF('Real Property'!I388=0,"",'Real Property'!I388)</f>
        <v/>
      </c>
      <c r="E385" s="150" t="str">
        <f>IFERROR(IF('Real Property'!AF388=0,"",'Real Property'!AF388),"")</f>
        <v/>
      </c>
      <c r="F385" s="150" t="str">
        <f>IFERROR(IF('Real Property'!AH388=0,"",'Real Property'!AH388),"")</f>
        <v/>
      </c>
      <c r="G385" s="156" t="str">
        <f>IF('Real Property'!AI388=0,"",'Real Property'!AI388)</f>
        <v/>
      </c>
    </row>
    <row r="386" spans="1:7">
      <c r="A386" s="149" t="str">
        <f>IF('Real Property'!A389=0,"",'Real Property'!A389)</f>
        <v/>
      </c>
      <c r="B386" s="147" t="str">
        <f>IF('Real Property'!B389=0,"",'Real Property'!B389)</f>
        <v/>
      </c>
      <c r="C386" s="148" t="str">
        <f>IF('Real Property'!E389=0,"",'Real Property'!E389)</f>
        <v/>
      </c>
      <c r="D386" s="149" t="str">
        <f>IF('Real Property'!I389=0,"",'Real Property'!I389)</f>
        <v/>
      </c>
      <c r="E386" s="150" t="str">
        <f>IFERROR(IF('Real Property'!AF389=0,"",'Real Property'!AF389),"")</f>
        <v/>
      </c>
      <c r="F386" s="150" t="str">
        <f>IFERROR(IF('Real Property'!AH389=0,"",'Real Property'!AH389),"")</f>
        <v/>
      </c>
      <c r="G386" s="156" t="str">
        <f>IF('Real Property'!AI389=0,"",'Real Property'!AI389)</f>
        <v/>
      </c>
    </row>
    <row r="387" spans="1:7">
      <c r="A387" s="149" t="str">
        <f>IF('Real Property'!A390=0,"",'Real Property'!A390)</f>
        <v/>
      </c>
      <c r="B387" s="147" t="str">
        <f>IF('Real Property'!B390=0,"",'Real Property'!B390)</f>
        <v/>
      </c>
      <c r="C387" s="148" t="str">
        <f>IF('Real Property'!E390=0,"",'Real Property'!E390)</f>
        <v/>
      </c>
      <c r="D387" s="149" t="str">
        <f>IF('Real Property'!I390=0,"",'Real Property'!I390)</f>
        <v/>
      </c>
      <c r="E387" s="150" t="str">
        <f>IFERROR(IF('Real Property'!AF390=0,"",'Real Property'!AF390),"")</f>
        <v/>
      </c>
      <c r="F387" s="150" t="str">
        <f>IFERROR(IF('Real Property'!AH390=0,"",'Real Property'!AH390),"")</f>
        <v/>
      </c>
      <c r="G387" s="156" t="str">
        <f>IF('Real Property'!AI390=0,"",'Real Property'!AI390)</f>
        <v/>
      </c>
    </row>
    <row r="388" spans="1:7">
      <c r="A388" s="149" t="str">
        <f>IF('Real Property'!A391=0,"",'Real Property'!A391)</f>
        <v/>
      </c>
      <c r="B388" s="147" t="str">
        <f>IF('Real Property'!B391=0,"",'Real Property'!B391)</f>
        <v/>
      </c>
      <c r="C388" s="148" t="str">
        <f>IF('Real Property'!E391=0,"",'Real Property'!E391)</f>
        <v/>
      </c>
      <c r="D388" s="149" t="str">
        <f>IF('Real Property'!I391=0,"",'Real Property'!I391)</f>
        <v/>
      </c>
      <c r="E388" s="150" t="str">
        <f>IFERROR(IF('Real Property'!AF391=0,"",'Real Property'!AF391),"")</f>
        <v/>
      </c>
      <c r="F388" s="150" t="str">
        <f>IFERROR(IF('Real Property'!AH391=0,"",'Real Property'!AH391),"")</f>
        <v/>
      </c>
      <c r="G388" s="156" t="str">
        <f>IF('Real Property'!AI391=0,"",'Real Property'!AI391)</f>
        <v/>
      </c>
    </row>
    <row r="389" spans="1:7">
      <c r="A389" s="149" t="str">
        <f>IF('Real Property'!A392=0,"",'Real Property'!A392)</f>
        <v/>
      </c>
      <c r="B389" s="147" t="str">
        <f>IF('Real Property'!B392=0,"",'Real Property'!B392)</f>
        <v/>
      </c>
      <c r="C389" s="148" t="str">
        <f>IF('Real Property'!E392=0,"",'Real Property'!E392)</f>
        <v/>
      </c>
      <c r="D389" s="149" t="str">
        <f>IF('Real Property'!I392=0,"",'Real Property'!I392)</f>
        <v/>
      </c>
      <c r="E389" s="150" t="str">
        <f>IFERROR(IF('Real Property'!AF392=0,"",'Real Property'!AF392),"")</f>
        <v/>
      </c>
      <c r="F389" s="150" t="str">
        <f>IFERROR(IF('Real Property'!AH392=0,"",'Real Property'!AH392),"")</f>
        <v/>
      </c>
      <c r="G389" s="156" t="str">
        <f>IF('Real Property'!AI392=0,"",'Real Property'!AI392)</f>
        <v/>
      </c>
    </row>
    <row r="390" spans="1:7">
      <c r="A390" s="149" t="str">
        <f>IF('Real Property'!A393=0,"",'Real Property'!A393)</f>
        <v/>
      </c>
      <c r="B390" s="147" t="str">
        <f>IF('Real Property'!B393=0,"",'Real Property'!B393)</f>
        <v/>
      </c>
      <c r="C390" s="148" t="str">
        <f>IF('Real Property'!E393=0,"",'Real Property'!E393)</f>
        <v/>
      </c>
      <c r="D390" s="149" t="str">
        <f>IF('Real Property'!I393=0,"",'Real Property'!I393)</f>
        <v/>
      </c>
      <c r="E390" s="150" t="str">
        <f>IFERROR(IF('Real Property'!AF393=0,"",'Real Property'!AF393),"")</f>
        <v/>
      </c>
      <c r="F390" s="150" t="str">
        <f>IFERROR(IF('Real Property'!AH393=0,"",'Real Property'!AH393),"")</f>
        <v/>
      </c>
      <c r="G390" s="156" t="str">
        <f>IF('Real Property'!AI393=0,"",'Real Property'!AI393)</f>
        <v/>
      </c>
    </row>
    <row r="391" spans="1:7">
      <c r="A391" s="149" t="str">
        <f>IF('Real Property'!A394=0,"",'Real Property'!A394)</f>
        <v/>
      </c>
      <c r="B391" s="147" t="str">
        <f>IF('Real Property'!B394=0,"",'Real Property'!B394)</f>
        <v/>
      </c>
      <c r="C391" s="148" t="str">
        <f>IF('Real Property'!E394=0,"",'Real Property'!E394)</f>
        <v/>
      </c>
      <c r="D391" s="149" t="str">
        <f>IF('Real Property'!I394=0,"",'Real Property'!I394)</f>
        <v/>
      </c>
      <c r="E391" s="150" t="str">
        <f>IFERROR(IF('Real Property'!AF394=0,"",'Real Property'!AF394),"")</f>
        <v/>
      </c>
      <c r="F391" s="150" t="str">
        <f>IFERROR(IF('Real Property'!AH394=0,"",'Real Property'!AH394),"")</f>
        <v/>
      </c>
      <c r="G391" s="156" t="str">
        <f>IF('Real Property'!AI394=0,"",'Real Property'!AI394)</f>
        <v/>
      </c>
    </row>
    <row r="392" spans="1:7">
      <c r="A392" s="149" t="str">
        <f>IF('Real Property'!A395=0,"",'Real Property'!A395)</f>
        <v/>
      </c>
      <c r="B392" s="147" t="str">
        <f>IF('Real Property'!B395=0,"",'Real Property'!B395)</f>
        <v/>
      </c>
      <c r="C392" s="148" t="str">
        <f>IF('Real Property'!E395=0,"",'Real Property'!E395)</f>
        <v/>
      </c>
      <c r="D392" s="149" t="str">
        <f>IF('Real Property'!I395=0,"",'Real Property'!I395)</f>
        <v/>
      </c>
      <c r="E392" s="150" t="str">
        <f>IFERROR(IF('Real Property'!AF395=0,"",'Real Property'!AF395),"")</f>
        <v/>
      </c>
      <c r="F392" s="150" t="str">
        <f>IFERROR(IF('Real Property'!AH395=0,"",'Real Property'!AH395),"")</f>
        <v/>
      </c>
      <c r="G392" s="156" t="str">
        <f>IF('Real Property'!AI395=0,"",'Real Property'!AI395)</f>
        <v/>
      </c>
    </row>
    <row r="393" spans="1:7">
      <c r="A393" s="149" t="str">
        <f>IF('Real Property'!A396=0,"",'Real Property'!A396)</f>
        <v/>
      </c>
      <c r="B393" s="147" t="str">
        <f>IF('Real Property'!B396=0,"",'Real Property'!B396)</f>
        <v/>
      </c>
      <c r="C393" s="148" t="str">
        <f>IF('Real Property'!E396=0,"",'Real Property'!E396)</f>
        <v/>
      </c>
      <c r="D393" s="149" t="str">
        <f>IF('Real Property'!I396=0,"",'Real Property'!I396)</f>
        <v/>
      </c>
      <c r="E393" s="150" t="str">
        <f>IFERROR(IF('Real Property'!AF396=0,"",'Real Property'!AF396),"")</f>
        <v/>
      </c>
      <c r="F393" s="150" t="str">
        <f>IFERROR(IF('Real Property'!AH396=0,"",'Real Property'!AH396),"")</f>
        <v/>
      </c>
      <c r="G393" s="156" t="str">
        <f>IF('Real Property'!AI396=0,"",'Real Property'!AI396)</f>
        <v/>
      </c>
    </row>
    <row r="394" spans="1:7">
      <c r="A394" s="149" t="str">
        <f>IF('Real Property'!A397=0,"",'Real Property'!A397)</f>
        <v/>
      </c>
      <c r="B394" s="147" t="str">
        <f>IF('Real Property'!B397=0,"",'Real Property'!B397)</f>
        <v/>
      </c>
      <c r="C394" s="148" t="str">
        <f>IF('Real Property'!E397=0,"",'Real Property'!E397)</f>
        <v/>
      </c>
      <c r="D394" s="149" t="str">
        <f>IF('Real Property'!I397=0,"",'Real Property'!I397)</f>
        <v/>
      </c>
      <c r="E394" s="150" t="str">
        <f>IFERROR(IF('Real Property'!AF397=0,"",'Real Property'!AF397),"")</f>
        <v/>
      </c>
      <c r="F394" s="150" t="str">
        <f>IFERROR(IF('Real Property'!AH397=0,"",'Real Property'!AH397),"")</f>
        <v/>
      </c>
      <c r="G394" s="156" t="str">
        <f>IF('Real Property'!AI397=0,"",'Real Property'!AI397)</f>
        <v/>
      </c>
    </row>
    <row r="395" spans="1:7">
      <c r="A395" s="149" t="str">
        <f>IF('Real Property'!A398=0,"",'Real Property'!A398)</f>
        <v/>
      </c>
      <c r="B395" s="147" t="str">
        <f>IF('Real Property'!B398=0,"",'Real Property'!B398)</f>
        <v/>
      </c>
      <c r="C395" s="148" t="str">
        <f>IF('Real Property'!E398=0,"",'Real Property'!E398)</f>
        <v/>
      </c>
      <c r="D395" s="149" t="str">
        <f>IF('Real Property'!I398=0,"",'Real Property'!I398)</f>
        <v/>
      </c>
      <c r="E395" s="150" t="str">
        <f>IFERROR(IF('Real Property'!AF398=0,"",'Real Property'!AF398),"")</f>
        <v/>
      </c>
      <c r="F395" s="150" t="str">
        <f>IFERROR(IF('Real Property'!AH398=0,"",'Real Property'!AH398),"")</f>
        <v/>
      </c>
      <c r="G395" s="156" t="str">
        <f>IF('Real Property'!AI398=0,"",'Real Property'!AI398)</f>
        <v/>
      </c>
    </row>
    <row r="396" spans="1:7">
      <c r="A396" s="149" t="str">
        <f>IF('Real Property'!A399=0,"",'Real Property'!A399)</f>
        <v/>
      </c>
      <c r="B396" s="147" t="str">
        <f>IF('Real Property'!B399=0,"",'Real Property'!B399)</f>
        <v/>
      </c>
      <c r="C396" s="148" t="str">
        <f>IF('Real Property'!E399=0,"",'Real Property'!E399)</f>
        <v/>
      </c>
      <c r="D396" s="149" t="str">
        <f>IF('Real Property'!I399=0,"",'Real Property'!I399)</f>
        <v/>
      </c>
      <c r="E396" s="150" t="str">
        <f>IFERROR(IF('Real Property'!AF399=0,"",'Real Property'!AF399),"")</f>
        <v/>
      </c>
      <c r="F396" s="150" t="str">
        <f>IFERROR(IF('Real Property'!AH399=0,"",'Real Property'!AH399),"")</f>
        <v/>
      </c>
      <c r="G396" s="156" t="str">
        <f>IF('Real Property'!AI399=0,"",'Real Property'!AI399)</f>
        <v/>
      </c>
    </row>
    <row r="397" spans="1:7">
      <c r="A397" s="149" t="str">
        <f>IF('Real Property'!A400=0,"",'Real Property'!A400)</f>
        <v/>
      </c>
      <c r="B397" s="147" t="str">
        <f>IF('Real Property'!B400=0,"",'Real Property'!B400)</f>
        <v/>
      </c>
      <c r="C397" s="148" t="str">
        <f>IF('Real Property'!E400=0,"",'Real Property'!E400)</f>
        <v/>
      </c>
      <c r="D397" s="149" t="str">
        <f>IF('Real Property'!I400=0,"",'Real Property'!I400)</f>
        <v/>
      </c>
      <c r="E397" s="150" t="str">
        <f>IFERROR(IF('Real Property'!AF400=0,"",'Real Property'!AF400),"")</f>
        <v/>
      </c>
      <c r="F397" s="150" t="str">
        <f>IFERROR(IF('Real Property'!AH400=0,"",'Real Property'!AH400),"")</f>
        <v/>
      </c>
      <c r="G397" s="156" t="str">
        <f>IF('Real Property'!AI400=0,"",'Real Property'!AI400)</f>
        <v/>
      </c>
    </row>
    <row r="398" spans="1:7">
      <c r="A398" s="149" t="str">
        <f>IF('Real Property'!A401=0,"",'Real Property'!A401)</f>
        <v/>
      </c>
      <c r="B398" s="147" t="str">
        <f>IF('Real Property'!B401=0,"",'Real Property'!B401)</f>
        <v/>
      </c>
      <c r="C398" s="148" t="str">
        <f>IF('Real Property'!E401=0,"",'Real Property'!E401)</f>
        <v/>
      </c>
      <c r="D398" s="149" t="str">
        <f>IF('Real Property'!I401=0,"",'Real Property'!I401)</f>
        <v/>
      </c>
      <c r="E398" s="150" t="str">
        <f>IFERROR(IF('Real Property'!AF401=0,"",'Real Property'!AF401),"")</f>
        <v/>
      </c>
      <c r="F398" s="150" t="str">
        <f>IFERROR(IF('Real Property'!AH401=0,"",'Real Property'!AH401),"")</f>
        <v/>
      </c>
      <c r="G398" s="156" t="str">
        <f>IF('Real Property'!AI401=0,"",'Real Property'!AI401)</f>
        <v/>
      </c>
    </row>
    <row r="399" spans="1:7">
      <c r="A399" s="149" t="str">
        <f>IF('Real Property'!A402=0,"",'Real Property'!A402)</f>
        <v/>
      </c>
      <c r="B399" s="147" t="str">
        <f>IF('Real Property'!B402=0,"",'Real Property'!B402)</f>
        <v/>
      </c>
      <c r="C399" s="148" t="str">
        <f>IF('Real Property'!E402=0,"",'Real Property'!E402)</f>
        <v/>
      </c>
      <c r="D399" s="149" t="str">
        <f>IF('Real Property'!I402=0,"",'Real Property'!I402)</f>
        <v/>
      </c>
      <c r="E399" s="150" t="str">
        <f>IFERROR(IF('Real Property'!AF402=0,"",'Real Property'!AF402),"")</f>
        <v/>
      </c>
      <c r="F399" s="150" t="str">
        <f>IFERROR(IF('Real Property'!AH402=0,"",'Real Property'!AH402),"")</f>
        <v/>
      </c>
      <c r="G399" s="156" t="str">
        <f>IF('Real Property'!AI402=0,"",'Real Property'!AI402)</f>
        <v/>
      </c>
    </row>
    <row r="400" spans="1:7">
      <c r="A400" s="149" t="str">
        <f>IF('Real Property'!A403=0,"",'Real Property'!A403)</f>
        <v/>
      </c>
      <c r="B400" s="147" t="str">
        <f>IF('Real Property'!B403=0,"",'Real Property'!B403)</f>
        <v/>
      </c>
      <c r="C400" s="148" t="str">
        <f>IF('Real Property'!E403=0,"",'Real Property'!E403)</f>
        <v/>
      </c>
      <c r="D400" s="149" t="str">
        <f>IF('Real Property'!I403=0,"",'Real Property'!I403)</f>
        <v/>
      </c>
      <c r="E400" s="150" t="str">
        <f>IFERROR(IF('Real Property'!AF403=0,"",'Real Property'!AF403),"")</f>
        <v/>
      </c>
      <c r="F400" s="150" t="str">
        <f>IFERROR(IF('Real Property'!AH403=0,"",'Real Property'!AH403),"")</f>
        <v/>
      </c>
      <c r="G400" s="156" t="str">
        <f>IF('Real Property'!AI403=0,"",'Real Property'!AI403)</f>
        <v/>
      </c>
    </row>
    <row r="401" spans="1:7">
      <c r="A401" s="149" t="str">
        <f>IF('Real Property'!A404=0,"",'Real Property'!A404)</f>
        <v/>
      </c>
      <c r="B401" s="147" t="str">
        <f>IF('Real Property'!B404=0,"",'Real Property'!B404)</f>
        <v/>
      </c>
      <c r="C401" s="148" t="str">
        <f>IF('Real Property'!E404=0,"",'Real Property'!E404)</f>
        <v/>
      </c>
      <c r="D401" s="149" t="str">
        <f>IF('Real Property'!I404=0,"",'Real Property'!I404)</f>
        <v/>
      </c>
      <c r="E401" s="150" t="str">
        <f>IFERROR(IF('Real Property'!AF404=0,"",'Real Property'!AF404),"")</f>
        <v/>
      </c>
      <c r="F401" s="150" t="str">
        <f>IFERROR(IF('Real Property'!AH404=0,"",'Real Property'!AH404),"")</f>
        <v/>
      </c>
      <c r="G401" s="156" t="str">
        <f>IF('Real Property'!AI404=0,"",'Real Property'!AI404)</f>
        <v/>
      </c>
    </row>
    <row r="402" spans="1:7">
      <c r="A402" s="149" t="str">
        <f>IF('Real Property'!A405=0,"",'Real Property'!A405)</f>
        <v/>
      </c>
      <c r="B402" s="147" t="str">
        <f>IF('Real Property'!B405=0,"",'Real Property'!B405)</f>
        <v/>
      </c>
      <c r="C402" s="148" t="str">
        <f>IF('Real Property'!E405=0,"",'Real Property'!E405)</f>
        <v/>
      </c>
      <c r="D402" s="149" t="str">
        <f>IF('Real Property'!I405=0,"",'Real Property'!I405)</f>
        <v/>
      </c>
      <c r="E402" s="150" t="str">
        <f>IFERROR(IF('Real Property'!AF405=0,"",'Real Property'!AF405),"")</f>
        <v/>
      </c>
      <c r="F402" s="150" t="str">
        <f>IFERROR(IF('Real Property'!AH405=0,"",'Real Property'!AH405),"")</f>
        <v/>
      </c>
      <c r="G402" s="156" t="str">
        <f>IF('Real Property'!AI405=0,"",'Real Property'!AI405)</f>
        <v/>
      </c>
    </row>
    <row r="403" spans="1:7">
      <c r="A403" s="149" t="str">
        <f>IF('Real Property'!A406=0,"",'Real Property'!A406)</f>
        <v/>
      </c>
      <c r="B403" s="147" t="str">
        <f>IF('Real Property'!B406=0,"",'Real Property'!B406)</f>
        <v/>
      </c>
      <c r="C403" s="148" t="str">
        <f>IF('Real Property'!E406=0,"",'Real Property'!E406)</f>
        <v/>
      </c>
      <c r="D403" s="149" t="str">
        <f>IF('Real Property'!I406=0,"",'Real Property'!I406)</f>
        <v/>
      </c>
      <c r="E403" s="150" t="str">
        <f>IFERROR(IF('Real Property'!AF406=0,"",'Real Property'!AF406),"")</f>
        <v/>
      </c>
      <c r="F403" s="150" t="str">
        <f>IFERROR(IF('Real Property'!AH406=0,"",'Real Property'!AH406),"")</f>
        <v/>
      </c>
      <c r="G403" s="156" t="str">
        <f>IF('Real Property'!AI406=0,"",'Real Property'!AI406)</f>
        <v/>
      </c>
    </row>
    <row r="404" spans="1:7">
      <c r="A404" s="149" t="str">
        <f>IF('Real Property'!A407=0,"",'Real Property'!A407)</f>
        <v/>
      </c>
      <c r="B404" s="147" t="str">
        <f>IF('Real Property'!B407=0,"",'Real Property'!B407)</f>
        <v/>
      </c>
      <c r="C404" s="148" t="str">
        <f>IF('Real Property'!E407=0,"",'Real Property'!E407)</f>
        <v/>
      </c>
      <c r="D404" s="149" t="str">
        <f>IF('Real Property'!I407=0,"",'Real Property'!I407)</f>
        <v/>
      </c>
      <c r="E404" s="150" t="str">
        <f>IFERROR(IF('Real Property'!AF407=0,"",'Real Property'!AF407),"")</f>
        <v/>
      </c>
      <c r="F404" s="150" t="str">
        <f>IFERROR(IF('Real Property'!AH407=0,"",'Real Property'!AH407),"")</f>
        <v/>
      </c>
      <c r="G404" s="156" t="str">
        <f>IF('Real Property'!AI407=0,"",'Real Property'!AI407)</f>
        <v/>
      </c>
    </row>
    <row r="405" spans="1:7">
      <c r="A405" s="149" t="str">
        <f>IF('Real Property'!A408=0,"",'Real Property'!A408)</f>
        <v/>
      </c>
      <c r="B405" s="147" t="str">
        <f>IF('Real Property'!B408=0,"",'Real Property'!B408)</f>
        <v/>
      </c>
      <c r="C405" s="148" t="str">
        <f>IF('Real Property'!E408=0,"",'Real Property'!E408)</f>
        <v/>
      </c>
      <c r="D405" s="149" t="str">
        <f>IF('Real Property'!I408=0,"",'Real Property'!I408)</f>
        <v/>
      </c>
      <c r="E405" s="150" t="str">
        <f>IFERROR(IF('Real Property'!AF408=0,"",'Real Property'!AF408),"")</f>
        <v/>
      </c>
      <c r="F405" s="150" t="str">
        <f>IFERROR(IF('Real Property'!AH408=0,"",'Real Property'!AH408),"")</f>
        <v/>
      </c>
      <c r="G405" s="156" t="str">
        <f>IF('Real Property'!AI408=0,"",'Real Property'!AI408)</f>
        <v/>
      </c>
    </row>
    <row r="406" spans="1:7">
      <c r="A406" s="149" t="str">
        <f>IF('Real Property'!A409=0,"",'Real Property'!A409)</f>
        <v/>
      </c>
      <c r="B406" s="147" t="str">
        <f>IF('Real Property'!B409=0,"",'Real Property'!B409)</f>
        <v/>
      </c>
      <c r="C406" s="148" t="str">
        <f>IF('Real Property'!E409=0,"",'Real Property'!E409)</f>
        <v/>
      </c>
      <c r="D406" s="149" t="str">
        <f>IF('Real Property'!I409=0,"",'Real Property'!I409)</f>
        <v/>
      </c>
      <c r="E406" s="150" t="str">
        <f>IFERROR(IF('Real Property'!AF409=0,"",'Real Property'!AF409),"")</f>
        <v/>
      </c>
      <c r="F406" s="150" t="str">
        <f>IFERROR(IF('Real Property'!AH409=0,"",'Real Property'!AH409),"")</f>
        <v/>
      </c>
      <c r="G406" s="156" t="str">
        <f>IF('Real Property'!AI409=0,"",'Real Property'!AI409)</f>
        <v/>
      </c>
    </row>
    <row r="407" spans="1:7">
      <c r="A407" s="149" t="str">
        <f>IF('Real Property'!A410=0,"",'Real Property'!A410)</f>
        <v/>
      </c>
      <c r="B407" s="147" t="str">
        <f>IF('Real Property'!B410=0,"",'Real Property'!B410)</f>
        <v/>
      </c>
      <c r="C407" s="148" t="str">
        <f>IF('Real Property'!E410=0,"",'Real Property'!E410)</f>
        <v/>
      </c>
      <c r="D407" s="149" t="str">
        <f>IF('Real Property'!I410=0,"",'Real Property'!I410)</f>
        <v/>
      </c>
      <c r="E407" s="150" t="str">
        <f>IFERROR(IF('Real Property'!AF410=0,"",'Real Property'!AF410),"")</f>
        <v/>
      </c>
      <c r="F407" s="150" t="str">
        <f>IFERROR(IF('Real Property'!AH410=0,"",'Real Property'!AH410),"")</f>
        <v/>
      </c>
      <c r="G407" s="156" t="str">
        <f>IF('Real Property'!AI410=0,"",'Real Property'!AI410)</f>
        <v/>
      </c>
    </row>
    <row r="408" spans="1:7">
      <c r="A408" s="149" t="str">
        <f>IF('Real Property'!A411=0,"",'Real Property'!A411)</f>
        <v/>
      </c>
      <c r="B408" s="147" t="str">
        <f>IF('Real Property'!B411=0,"",'Real Property'!B411)</f>
        <v/>
      </c>
      <c r="C408" s="148" t="str">
        <f>IF('Real Property'!E411=0,"",'Real Property'!E411)</f>
        <v/>
      </c>
      <c r="D408" s="149" t="str">
        <f>IF('Real Property'!I411=0,"",'Real Property'!I411)</f>
        <v/>
      </c>
      <c r="E408" s="150" t="str">
        <f>IFERROR(IF('Real Property'!AF411=0,"",'Real Property'!AF411),"")</f>
        <v/>
      </c>
      <c r="F408" s="150" t="str">
        <f>IFERROR(IF('Real Property'!AH411=0,"",'Real Property'!AH411),"")</f>
        <v/>
      </c>
      <c r="G408" s="156" t="str">
        <f>IF('Real Property'!AI411=0,"",'Real Property'!AI411)</f>
        <v/>
      </c>
    </row>
    <row r="409" spans="1:7">
      <c r="A409" s="149" t="str">
        <f>IF('Real Property'!A412=0,"",'Real Property'!A412)</f>
        <v/>
      </c>
      <c r="B409" s="147" t="str">
        <f>IF('Real Property'!B412=0,"",'Real Property'!B412)</f>
        <v/>
      </c>
      <c r="C409" s="148" t="str">
        <f>IF('Real Property'!E412=0,"",'Real Property'!E412)</f>
        <v/>
      </c>
      <c r="D409" s="149" t="str">
        <f>IF('Real Property'!I412=0,"",'Real Property'!I412)</f>
        <v/>
      </c>
      <c r="E409" s="150" t="str">
        <f>IFERROR(IF('Real Property'!AF412=0,"",'Real Property'!AF412),"")</f>
        <v/>
      </c>
      <c r="F409" s="150" t="str">
        <f>IFERROR(IF('Real Property'!AH412=0,"",'Real Property'!AH412),"")</f>
        <v/>
      </c>
      <c r="G409" s="156" t="str">
        <f>IF('Real Property'!AI412=0,"",'Real Property'!AI412)</f>
        <v/>
      </c>
    </row>
    <row r="410" spans="1:7">
      <c r="A410" s="149" t="str">
        <f>IF('Real Property'!A413=0,"",'Real Property'!A413)</f>
        <v/>
      </c>
      <c r="B410" s="147" t="str">
        <f>IF('Real Property'!B413=0,"",'Real Property'!B413)</f>
        <v/>
      </c>
      <c r="C410" s="148" t="str">
        <f>IF('Real Property'!E413=0,"",'Real Property'!E413)</f>
        <v/>
      </c>
      <c r="D410" s="149" t="str">
        <f>IF('Real Property'!I413=0,"",'Real Property'!I413)</f>
        <v/>
      </c>
      <c r="E410" s="150" t="str">
        <f>IFERROR(IF('Real Property'!AF413=0,"",'Real Property'!AF413),"")</f>
        <v/>
      </c>
      <c r="F410" s="150" t="str">
        <f>IFERROR(IF('Real Property'!AH413=0,"",'Real Property'!AH413),"")</f>
        <v/>
      </c>
      <c r="G410" s="156" t="str">
        <f>IF('Real Property'!AI413=0,"",'Real Property'!AI413)</f>
        <v/>
      </c>
    </row>
    <row r="411" spans="1:7">
      <c r="A411" s="149" t="str">
        <f>IF('Real Property'!A414=0,"",'Real Property'!A414)</f>
        <v/>
      </c>
      <c r="B411" s="147" t="str">
        <f>IF('Real Property'!B414=0,"",'Real Property'!B414)</f>
        <v/>
      </c>
      <c r="C411" s="148" t="str">
        <f>IF('Real Property'!E414=0,"",'Real Property'!E414)</f>
        <v/>
      </c>
      <c r="D411" s="149" t="str">
        <f>IF('Real Property'!I414=0,"",'Real Property'!I414)</f>
        <v/>
      </c>
      <c r="E411" s="150" t="str">
        <f>IFERROR(IF('Real Property'!AF414=0,"",'Real Property'!AF414),"")</f>
        <v/>
      </c>
      <c r="F411" s="150" t="str">
        <f>IFERROR(IF('Real Property'!AH414=0,"",'Real Property'!AH414),"")</f>
        <v/>
      </c>
      <c r="G411" s="156" t="str">
        <f>IF('Real Property'!AI414=0,"",'Real Property'!AI414)</f>
        <v/>
      </c>
    </row>
    <row r="412" spans="1:7">
      <c r="A412" s="149" t="str">
        <f>IF('Real Property'!A415=0,"",'Real Property'!A415)</f>
        <v/>
      </c>
      <c r="B412" s="147" t="str">
        <f>IF('Real Property'!B415=0,"",'Real Property'!B415)</f>
        <v/>
      </c>
      <c r="C412" s="148" t="str">
        <f>IF('Real Property'!E415=0,"",'Real Property'!E415)</f>
        <v/>
      </c>
      <c r="D412" s="149" t="str">
        <f>IF('Real Property'!I415=0,"",'Real Property'!I415)</f>
        <v/>
      </c>
      <c r="E412" s="150" t="str">
        <f>IFERROR(IF('Real Property'!AF415=0,"",'Real Property'!AF415),"")</f>
        <v/>
      </c>
      <c r="F412" s="150" t="str">
        <f>IFERROR(IF('Real Property'!AH415=0,"",'Real Property'!AH415),"")</f>
        <v/>
      </c>
      <c r="G412" s="156" t="str">
        <f>IF('Real Property'!AI415=0,"",'Real Property'!AI415)</f>
        <v/>
      </c>
    </row>
    <row r="413" spans="1:7">
      <c r="A413" s="149" t="str">
        <f>IF('Real Property'!A416=0,"",'Real Property'!A416)</f>
        <v/>
      </c>
      <c r="B413" s="147" t="str">
        <f>IF('Real Property'!B416=0,"",'Real Property'!B416)</f>
        <v/>
      </c>
      <c r="C413" s="148" t="str">
        <f>IF('Real Property'!E416=0,"",'Real Property'!E416)</f>
        <v/>
      </c>
      <c r="D413" s="149" t="str">
        <f>IF('Real Property'!I416=0,"",'Real Property'!I416)</f>
        <v/>
      </c>
      <c r="E413" s="150" t="str">
        <f>IFERROR(IF('Real Property'!AF416=0,"",'Real Property'!AF416),"")</f>
        <v/>
      </c>
      <c r="F413" s="150" t="str">
        <f>IFERROR(IF('Real Property'!AH416=0,"",'Real Property'!AH416),"")</f>
        <v/>
      </c>
      <c r="G413" s="156" t="str">
        <f>IF('Real Property'!AI416=0,"",'Real Property'!AI416)</f>
        <v/>
      </c>
    </row>
    <row r="414" spans="1:7">
      <c r="A414" s="149" t="str">
        <f>IF('Real Property'!A417=0,"",'Real Property'!A417)</f>
        <v/>
      </c>
      <c r="B414" s="147" t="str">
        <f>IF('Real Property'!B417=0,"",'Real Property'!B417)</f>
        <v/>
      </c>
      <c r="C414" s="148" t="str">
        <f>IF('Real Property'!E417=0,"",'Real Property'!E417)</f>
        <v/>
      </c>
      <c r="D414" s="149" t="str">
        <f>IF('Real Property'!I417=0,"",'Real Property'!I417)</f>
        <v/>
      </c>
      <c r="E414" s="150" t="str">
        <f>IFERROR(IF('Real Property'!AF417=0,"",'Real Property'!AF417),"")</f>
        <v/>
      </c>
      <c r="F414" s="150" t="str">
        <f>IFERROR(IF('Real Property'!AH417=0,"",'Real Property'!AH417),"")</f>
        <v/>
      </c>
      <c r="G414" s="156" t="str">
        <f>IF('Real Property'!AI417=0,"",'Real Property'!AI417)</f>
        <v/>
      </c>
    </row>
    <row r="415" spans="1:7">
      <c r="A415" s="149" t="str">
        <f>IF('Real Property'!A418=0,"",'Real Property'!A418)</f>
        <v/>
      </c>
      <c r="B415" s="147" t="str">
        <f>IF('Real Property'!B418=0,"",'Real Property'!B418)</f>
        <v/>
      </c>
      <c r="C415" s="148" t="str">
        <f>IF('Real Property'!E418=0,"",'Real Property'!E418)</f>
        <v/>
      </c>
      <c r="D415" s="149" t="str">
        <f>IF('Real Property'!I418=0,"",'Real Property'!I418)</f>
        <v/>
      </c>
      <c r="E415" s="150" t="str">
        <f>IFERROR(IF('Real Property'!AF418=0,"",'Real Property'!AF418),"")</f>
        <v/>
      </c>
      <c r="F415" s="150" t="str">
        <f>IFERROR(IF('Real Property'!AH418=0,"",'Real Property'!AH418),"")</f>
        <v/>
      </c>
      <c r="G415" s="156" t="str">
        <f>IF('Real Property'!AI418=0,"",'Real Property'!AI418)</f>
        <v/>
      </c>
    </row>
    <row r="416" spans="1:7">
      <c r="A416" s="149" t="str">
        <f>IF('Real Property'!A419=0,"",'Real Property'!A419)</f>
        <v/>
      </c>
      <c r="B416" s="147" t="str">
        <f>IF('Real Property'!B419=0,"",'Real Property'!B419)</f>
        <v/>
      </c>
      <c r="C416" s="148" t="str">
        <f>IF('Real Property'!E419=0,"",'Real Property'!E419)</f>
        <v/>
      </c>
      <c r="D416" s="149" t="str">
        <f>IF('Real Property'!I419=0,"",'Real Property'!I419)</f>
        <v/>
      </c>
      <c r="E416" s="150" t="str">
        <f>IFERROR(IF('Real Property'!AF419=0,"",'Real Property'!AF419),"")</f>
        <v/>
      </c>
      <c r="F416" s="150" t="str">
        <f>IFERROR(IF('Real Property'!AH419=0,"",'Real Property'!AH419),"")</f>
        <v/>
      </c>
      <c r="G416" s="156" t="str">
        <f>IF('Real Property'!AI419=0,"",'Real Property'!AI419)</f>
        <v/>
      </c>
    </row>
    <row r="417" spans="1:7">
      <c r="A417" s="149" t="str">
        <f>IF('Real Property'!A420=0,"",'Real Property'!A420)</f>
        <v/>
      </c>
      <c r="B417" s="147" t="str">
        <f>IF('Real Property'!B420=0,"",'Real Property'!B420)</f>
        <v/>
      </c>
      <c r="C417" s="148" t="str">
        <f>IF('Real Property'!E420=0,"",'Real Property'!E420)</f>
        <v/>
      </c>
      <c r="D417" s="149" t="str">
        <f>IF('Real Property'!I420=0,"",'Real Property'!I420)</f>
        <v/>
      </c>
      <c r="E417" s="150" t="str">
        <f>IFERROR(IF('Real Property'!AF420=0,"",'Real Property'!AF420),"")</f>
        <v/>
      </c>
      <c r="F417" s="150" t="str">
        <f>IFERROR(IF('Real Property'!AH420=0,"",'Real Property'!AH420),"")</f>
        <v/>
      </c>
      <c r="G417" s="156" t="str">
        <f>IF('Real Property'!AI420=0,"",'Real Property'!AI420)</f>
        <v/>
      </c>
    </row>
    <row r="418" spans="1:7">
      <c r="A418" s="149" t="str">
        <f>IF('Real Property'!A421=0,"",'Real Property'!A421)</f>
        <v/>
      </c>
      <c r="B418" s="147" t="str">
        <f>IF('Real Property'!B421=0,"",'Real Property'!B421)</f>
        <v/>
      </c>
      <c r="C418" s="148" t="str">
        <f>IF('Real Property'!E421=0,"",'Real Property'!E421)</f>
        <v/>
      </c>
      <c r="D418" s="149" t="str">
        <f>IF('Real Property'!I421=0,"",'Real Property'!I421)</f>
        <v/>
      </c>
      <c r="E418" s="150" t="str">
        <f>IFERROR(IF('Real Property'!AF421=0,"",'Real Property'!AF421),"")</f>
        <v/>
      </c>
      <c r="F418" s="150" t="str">
        <f>IFERROR(IF('Real Property'!AH421=0,"",'Real Property'!AH421),"")</f>
        <v/>
      </c>
      <c r="G418" s="156" t="str">
        <f>IF('Real Property'!AI421=0,"",'Real Property'!AI421)</f>
        <v/>
      </c>
    </row>
    <row r="419" spans="1:7">
      <c r="A419" s="149" t="str">
        <f>IF('Real Property'!A422=0,"",'Real Property'!A422)</f>
        <v/>
      </c>
      <c r="B419" s="147" t="str">
        <f>IF('Real Property'!B422=0,"",'Real Property'!B422)</f>
        <v/>
      </c>
      <c r="C419" s="148" t="str">
        <f>IF('Real Property'!E422=0,"",'Real Property'!E422)</f>
        <v/>
      </c>
      <c r="D419" s="149" t="str">
        <f>IF('Real Property'!I422=0,"",'Real Property'!I422)</f>
        <v/>
      </c>
      <c r="E419" s="150" t="str">
        <f>IFERROR(IF('Real Property'!AF422=0,"",'Real Property'!AF422),"")</f>
        <v/>
      </c>
      <c r="F419" s="150" t="str">
        <f>IFERROR(IF('Real Property'!AH422=0,"",'Real Property'!AH422),"")</f>
        <v/>
      </c>
      <c r="G419" s="156" t="str">
        <f>IF('Real Property'!AI422=0,"",'Real Property'!AI422)</f>
        <v/>
      </c>
    </row>
    <row r="420" spans="1:7">
      <c r="A420" s="149" t="str">
        <f>IF('Real Property'!A423=0,"",'Real Property'!A423)</f>
        <v/>
      </c>
      <c r="B420" s="147" t="str">
        <f>IF('Real Property'!B423=0,"",'Real Property'!B423)</f>
        <v/>
      </c>
      <c r="C420" s="148" t="str">
        <f>IF('Real Property'!E423=0,"",'Real Property'!E423)</f>
        <v/>
      </c>
      <c r="D420" s="149" t="str">
        <f>IF('Real Property'!I423=0,"",'Real Property'!I423)</f>
        <v/>
      </c>
      <c r="E420" s="150" t="str">
        <f>IFERROR(IF('Real Property'!AF423=0,"",'Real Property'!AF423),"")</f>
        <v/>
      </c>
      <c r="F420" s="150" t="str">
        <f>IFERROR(IF('Real Property'!AH423=0,"",'Real Property'!AH423),"")</f>
        <v/>
      </c>
      <c r="G420" s="156" t="str">
        <f>IF('Real Property'!AI423=0,"",'Real Property'!AI423)</f>
        <v/>
      </c>
    </row>
    <row r="421" spans="1:7">
      <c r="A421" s="149" t="str">
        <f>IF('Real Property'!A424=0,"",'Real Property'!A424)</f>
        <v/>
      </c>
      <c r="B421" s="147" t="str">
        <f>IF('Real Property'!B424=0,"",'Real Property'!B424)</f>
        <v/>
      </c>
      <c r="C421" s="148" t="str">
        <f>IF('Real Property'!E424=0,"",'Real Property'!E424)</f>
        <v/>
      </c>
      <c r="D421" s="149" t="str">
        <f>IF('Real Property'!I424=0,"",'Real Property'!I424)</f>
        <v/>
      </c>
      <c r="E421" s="150" t="str">
        <f>IFERROR(IF('Real Property'!AF424=0,"",'Real Property'!AF424),"")</f>
        <v/>
      </c>
      <c r="F421" s="150" t="str">
        <f>IFERROR(IF('Real Property'!AH424=0,"",'Real Property'!AH424),"")</f>
        <v/>
      </c>
      <c r="G421" s="156" t="str">
        <f>IF('Real Property'!AI424=0,"",'Real Property'!AI424)</f>
        <v/>
      </c>
    </row>
    <row r="422" spans="1:7">
      <c r="A422" s="149" t="str">
        <f>IF('Real Property'!A425=0,"",'Real Property'!A425)</f>
        <v/>
      </c>
      <c r="B422" s="147" t="str">
        <f>IF('Real Property'!B425=0,"",'Real Property'!B425)</f>
        <v/>
      </c>
      <c r="C422" s="148" t="str">
        <f>IF('Real Property'!E425=0,"",'Real Property'!E425)</f>
        <v/>
      </c>
      <c r="D422" s="149" t="str">
        <f>IF('Real Property'!I425=0,"",'Real Property'!I425)</f>
        <v/>
      </c>
      <c r="E422" s="150" t="str">
        <f>IFERROR(IF('Real Property'!AF425=0,"",'Real Property'!AF425),"")</f>
        <v/>
      </c>
      <c r="F422" s="150" t="str">
        <f>IFERROR(IF('Real Property'!AH425=0,"",'Real Property'!AH425),"")</f>
        <v/>
      </c>
      <c r="G422" s="156" t="str">
        <f>IF('Real Property'!AI425=0,"",'Real Property'!AI425)</f>
        <v/>
      </c>
    </row>
    <row r="423" spans="1:7">
      <c r="A423" s="149" t="str">
        <f>IF('Real Property'!A426=0,"",'Real Property'!A426)</f>
        <v/>
      </c>
      <c r="B423" s="147" t="str">
        <f>IF('Real Property'!B426=0,"",'Real Property'!B426)</f>
        <v/>
      </c>
      <c r="C423" s="148" t="str">
        <f>IF('Real Property'!E426=0,"",'Real Property'!E426)</f>
        <v/>
      </c>
      <c r="D423" s="149" t="str">
        <f>IF('Real Property'!I426=0,"",'Real Property'!I426)</f>
        <v/>
      </c>
      <c r="E423" s="150" t="str">
        <f>IFERROR(IF('Real Property'!AF426=0,"",'Real Property'!AF426),"")</f>
        <v/>
      </c>
      <c r="F423" s="150" t="str">
        <f>IFERROR(IF('Real Property'!AH426=0,"",'Real Property'!AH426),"")</f>
        <v/>
      </c>
      <c r="G423" s="156" t="str">
        <f>IF('Real Property'!AI426=0,"",'Real Property'!AI426)</f>
        <v/>
      </c>
    </row>
    <row r="424" spans="1:7">
      <c r="A424" s="149" t="str">
        <f>IF('Real Property'!A427=0,"",'Real Property'!A427)</f>
        <v/>
      </c>
      <c r="B424" s="147" t="str">
        <f>IF('Real Property'!B427=0,"",'Real Property'!B427)</f>
        <v/>
      </c>
      <c r="C424" s="148" t="str">
        <f>IF('Real Property'!E427=0,"",'Real Property'!E427)</f>
        <v/>
      </c>
      <c r="D424" s="149" t="str">
        <f>IF('Real Property'!I427=0,"",'Real Property'!I427)</f>
        <v/>
      </c>
      <c r="E424" s="150" t="str">
        <f>IFERROR(IF('Real Property'!AF427=0,"",'Real Property'!AF427),"")</f>
        <v/>
      </c>
      <c r="F424" s="150" t="str">
        <f>IFERROR(IF('Real Property'!AH427=0,"",'Real Property'!AH427),"")</f>
        <v/>
      </c>
      <c r="G424" s="156" t="str">
        <f>IF('Real Property'!AI427=0,"",'Real Property'!AI427)</f>
        <v/>
      </c>
    </row>
    <row r="425" spans="1:7">
      <c r="A425" s="149" t="str">
        <f>IF('Real Property'!A428=0,"",'Real Property'!A428)</f>
        <v/>
      </c>
      <c r="B425" s="147" t="str">
        <f>IF('Real Property'!B428=0,"",'Real Property'!B428)</f>
        <v/>
      </c>
      <c r="C425" s="148" t="str">
        <f>IF('Real Property'!E428=0,"",'Real Property'!E428)</f>
        <v/>
      </c>
      <c r="D425" s="149" t="str">
        <f>IF('Real Property'!I428=0,"",'Real Property'!I428)</f>
        <v/>
      </c>
      <c r="E425" s="150" t="str">
        <f>IFERROR(IF('Real Property'!AF428=0,"",'Real Property'!AF428),"")</f>
        <v/>
      </c>
      <c r="F425" s="150" t="str">
        <f>IFERROR(IF('Real Property'!AH428=0,"",'Real Property'!AH428),"")</f>
        <v/>
      </c>
      <c r="G425" s="156" t="str">
        <f>IF('Real Property'!AI428=0,"",'Real Property'!AI428)</f>
        <v/>
      </c>
    </row>
    <row r="426" spans="1:7">
      <c r="A426" s="149" t="str">
        <f>IF('Real Property'!A429=0,"",'Real Property'!A429)</f>
        <v/>
      </c>
      <c r="B426" s="147" t="str">
        <f>IF('Real Property'!B429=0,"",'Real Property'!B429)</f>
        <v/>
      </c>
      <c r="C426" s="148" t="str">
        <f>IF('Real Property'!E429=0,"",'Real Property'!E429)</f>
        <v/>
      </c>
      <c r="D426" s="149" t="str">
        <f>IF('Real Property'!I429=0,"",'Real Property'!I429)</f>
        <v/>
      </c>
      <c r="E426" s="150" t="str">
        <f>IFERROR(IF('Real Property'!AF429=0,"",'Real Property'!AF429),"")</f>
        <v/>
      </c>
      <c r="F426" s="150" t="str">
        <f>IFERROR(IF('Real Property'!AH429=0,"",'Real Property'!AH429),"")</f>
        <v/>
      </c>
      <c r="G426" s="156" t="str">
        <f>IF('Real Property'!AI429=0,"",'Real Property'!AI429)</f>
        <v/>
      </c>
    </row>
    <row r="427" spans="1:7">
      <c r="A427" s="149" t="str">
        <f>IF('Real Property'!A430=0,"",'Real Property'!A430)</f>
        <v/>
      </c>
      <c r="B427" s="147" t="str">
        <f>IF('Real Property'!B430=0,"",'Real Property'!B430)</f>
        <v/>
      </c>
      <c r="C427" s="148" t="str">
        <f>IF('Real Property'!E430=0,"",'Real Property'!E430)</f>
        <v/>
      </c>
      <c r="D427" s="149" t="str">
        <f>IF('Real Property'!I430=0,"",'Real Property'!I430)</f>
        <v/>
      </c>
      <c r="E427" s="150" t="str">
        <f>IFERROR(IF('Real Property'!AF430=0,"",'Real Property'!AF430),"")</f>
        <v/>
      </c>
      <c r="F427" s="150" t="str">
        <f>IFERROR(IF('Real Property'!AH430=0,"",'Real Property'!AH430),"")</f>
        <v/>
      </c>
      <c r="G427" s="156" t="str">
        <f>IF('Real Property'!AI430=0,"",'Real Property'!AI430)</f>
        <v/>
      </c>
    </row>
    <row r="428" spans="1:7">
      <c r="A428" s="149" t="str">
        <f>IF('Real Property'!A431=0,"",'Real Property'!A431)</f>
        <v/>
      </c>
      <c r="B428" s="147" t="str">
        <f>IF('Real Property'!B431=0,"",'Real Property'!B431)</f>
        <v/>
      </c>
      <c r="C428" s="148" t="str">
        <f>IF('Real Property'!E431=0,"",'Real Property'!E431)</f>
        <v/>
      </c>
      <c r="D428" s="149" t="str">
        <f>IF('Real Property'!I431=0,"",'Real Property'!I431)</f>
        <v/>
      </c>
      <c r="E428" s="150" t="str">
        <f>IFERROR(IF('Real Property'!AF431=0,"",'Real Property'!AF431),"")</f>
        <v/>
      </c>
      <c r="F428" s="150" t="str">
        <f>IFERROR(IF('Real Property'!AH431=0,"",'Real Property'!AH431),"")</f>
        <v/>
      </c>
      <c r="G428" s="156" t="str">
        <f>IF('Real Property'!AI431=0,"",'Real Property'!AI431)</f>
        <v/>
      </c>
    </row>
    <row r="429" spans="1:7">
      <c r="A429" s="149" t="str">
        <f>IF('Real Property'!A432=0,"",'Real Property'!A432)</f>
        <v/>
      </c>
      <c r="B429" s="147" t="str">
        <f>IF('Real Property'!B432=0,"",'Real Property'!B432)</f>
        <v/>
      </c>
      <c r="C429" s="148" t="str">
        <f>IF('Real Property'!E432=0,"",'Real Property'!E432)</f>
        <v/>
      </c>
      <c r="D429" s="149" t="str">
        <f>IF('Real Property'!I432=0,"",'Real Property'!I432)</f>
        <v/>
      </c>
      <c r="E429" s="150" t="str">
        <f>IFERROR(IF('Real Property'!AF432=0,"",'Real Property'!AF432),"")</f>
        <v/>
      </c>
      <c r="F429" s="150" t="str">
        <f>IFERROR(IF('Real Property'!AH432=0,"",'Real Property'!AH432),"")</f>
        <v/>
      </c>
      <c r="G429" s="156" t="str">
        <f>IF('Real Property'!AI432=0,"",'Real Property'!AI432)</f>
        <v/>
      </c>
    </row>
    <row r="430" spans="1:7">
      <c r="A430" s="149" t="str">
        <f>IF('Real Property'!A433=0,"",'Real Property'!A433)</f>
        <v/>
      </c>
      <c r="B430" s="147" t="str">
        <f>IF('Real Property'!B433=0,"",'Real Property'!B433)</f>
        <v/>
      </c>
      <c r="C430" s="148" t="str">
        <f>IF('Real Property'!E433=0,"",'Real Property'!E433)</f>
        <v/>
      </c>
      <c r="D430" s="149" t="str">
        <f>IF('Real Property'!I433=0,"",'Real Property'!I433)</f>
        <v/>
      </c>
      <c r="E430" s="150" t="str">
        <f>IFERROR(IF('Real Property'!AF433=0,"",'Real Property'!AF433),"")</f>
        <v/>
      </c>
      <c r="F430" s="150" t="str">
        <f>IFERROR(IF('Real Property'!AH433=0,"",'Real Property'!AH433),"")</f>
        <v/>
      </c>
      <c r="G430" s="156" t="str">
        <f>IF('Real Property'!AI433=0,"",'Real Property'!AI433)</f>
        <v/>
      </c>
    </row>
    <row r="431" spans="1:7">
      <c r="A431" s="149" t="str">
        <f>IF('Real Property'!A434=0,"",'Real Property'!A434)</f>
        <v/>
      </c>
      <c r="B431" s="147" t="str">
        <f>IF('Real Property'!B434=0,"",'Real Property'!B434)</f>
        <v/>
      </c>
      <c r="C431" s="148" t="str">
        <f>IF('Real Property'!E434=0,"",'Real Property'!E434)</f>
        <v/>
      </c>
      <c r="D431" s="149" t="str">
        <f>IF('Real Property'!I434=0,"",'Real Property'!I434)</f>
        <v/>
      </c>
      <c r="E431" s="150" t="str">
        <f>IFERROR(IF('Real Property'!AF434=0,"",'Real Property'!AF434),"")</f>
        <v/>
      </c>
      <c r="F431" s="150" t="str">
        <f>IFERROR(IF('Real Property'!AH434=0,"",'Real Property'!AH434),"")</f>
        <v/>
      </c>
      <c r="G431" s="156" t="str">
        <f>IF('Real Property'!AI434=0,"",'Real Property'!AI434)</f>
        <v/>
      </c>
    </row>
    <row r="432" spans="1:7">
      <c r="A432" s="149" t="str">
        <f>IF('Real Property'!A435=0,"",'Real Property'!A435)</f>
        <v/>
      </c>
      <c r="B432" s="147" t="str">
        <f>IF('Real Property'!B435=0,"",'Real Property'!B435)</f>
        <v/>
      </c>
      <c r="C432" s="148" t="str">
        <f>IF('Real Property'!E435=0,"",'Real Property'!E435)</f>
        <v/>
      </c>
      <c r="D432" s="149" t="str">
        <f>IF('Real Property'!I435=0,"",'Real Property'!I435)</f>
        <v/>
      </c>
      <c r="E432" s="150" t="str">
        <f>IFERROR(IF('Real Property'!AF435=0,"",'Real Property'!AF435),"")</f>
        <v/>
      </c>
      <c r="F432" s="150" t="str">
        <f>IFERROR(IF('Real Property'!AH435=0,"",'Real Property'!AH435),"")</f>
        <v/>
      </c>
      <c r="G432" s="156" t="str">
        <f>IF('Real Property'!AI435=0,"",'Real Property'!AI435)</f>
        <v/>
      </c>
    </row>
    <row r="433" spans="1:7">
      <c r="A433" s="149" t="str">
        <f>IF('Real Property'!A436=0,"",'Real Property'!A436)</f>
        <v/>
      </c>
      <c r="B433" s="147" t="str">
        <f>IF('Real Property'!B436=0,"",'Real Property'!B436)</f>
        <v/>
      </c>
      <c r="C433" s="148" t="str">
        <f>IF('Real Property'!E436=0,"",'Real Property'!E436)</f>
        <v/>
      </c>
      <c r="D433" s="149" t="str">
        <f>IF('Real Property'!I436=0,"",'Real Property'!I436)</f>
        <v/>
      </c>
      <c r="E433" s="150" t="str">
        <f>IFERROR(IF('Real Property'!AF436=0,"",'Real Property'!AF436),"")</f>
        <v/>
      </c>
      <c r="F433" s="150" t="str">
        <f>IFERROR(IF('Real Property'!AH436=0,"",'Real Property'!AH436),"")</f>
        <v/>
      </c>
      <c r="G433" s="156" t="str">
        <f>IF('Real Property'!AI436=0,"",'Real Property'!AI436)</f>
        <v/>
      </c>
    </row>
    <row r="434" spans="1:7">
      <c r="A434" s="149" t="str">
        <f>IF('Real Property'!A437=0,"",'Real Property'!A437)</f>
        <v/>
      </c>
      <c r="B434" s="147" t="str">
        <f>IF('Real Property'!B437=0,"",'Real Property'!B437)</f>
        <v/>
      </c>
      <c r="C434" s="148" t="str">
        <f>IF('Real Property'!E437=0,"",'Real Property'!E437)</f>
        <v/>
      </c>
      <c r="D434" s="149" t="str">
        <f>IF('Real Property'!I437=0,"",'Real Property'!I437)</f>
        <v/>
      </c>
      <c r="E434" s="150" t="str">
        <f>IFERROR(IF('Real Property'!AF437=0,"",'Real Property'!AF437),"")</f>
        <v/>
      </c>
      <c r="F434" s="150" t="str">
        <f>IFERROR(IF('Real Property'!AH437=0,"",'Real Property'!AH437),"")</f>
        <v/>
      </c>
      <c r="G434" s="156" t="str">
        <f>IF('Real Property'!AI437=0,"",'Real Property'!AI437)</f>
        <v/>
      </c>
    </row>
    <row r="435" spans="1:7">
      <c r="A435" s="149" t="str">
        <f>IF('Real Property'!A438=0,"",'Real Property'!A438)</f>
        <v/>
      </c>
      <c r="B435" s="147" t="str">
        <f>IF('Real Property'!B438=0,"",'Real Property'!B438)</f>
        <v/>
      </c>
      <c r="C435" s="148" t="str">
        <f>IF('Real Property'!E438=0,"",'Real Property'!E438)</f>
        <v/>
      </c>
      <c r="D435" s="149" t="str">
        <f>IF('Real Property'!I438=0,"",'Real Property'!I438)</f>
        <v/>
      </c>
      <c r="E435" s="150" t="str">
        <f>IFERROR(IF('Real Property'!AF438=0,"",'Real Property'!AF438),"")</f>
        <v/>
      </c>
      <c r="F435" s="150" t="str">
        <f>IFERROR(IF('Real Property'!AH438=0,"",'Real Property'!AH438),"")</f>
        <v/>
      </c>
      <c r="G435" s="156" t="str">
        <f>IF('Real Property'!AI438=0,"",'Real Property'!AI438)</f>
        <v/>
      </c>
    </row>
    <row r="436" spans="1:7">
      <c r="A436" s="149" t="str">
        <f>IF('Real Property'!A439=0,"",'Real Property'!A439)</f>
        <v/>
      </c>
      <c r="B436" s="147" t="str">
        <f>IF('Real Property'!B439=0,"",'Real Property'!B439)</f>
        <v/>
      </c>
      <c r="C436" s="148" t="str">
        <f>IF('Real Property'!E439=0,"",'Real Property'!E439)</f>
        <v/>
      </c>
      <c r="D436" s="149" t="str">
        <f>IF('Real Property'!I439=0,"",'Real Property'!I439)</f>
        <v/>
      </c>
      <c r="E436" s="150" t="str">
        <f>IFERROR(IF('Real Property'!AF439=0,"",'Real Property'!AF439),"")</f>
        <v/>
      </c>
      <c r="F436" s="150" t="str">
        <f>IFERROR(IF('Real Property'!AH439=0,"",'Real Property'!AH439),"")</f>
        <v/>
      </c>
      <c r="G436" s="156" t="str">
        <f>IF('Real Property'!AI439=0,"",'Real Property'!AI439)</f>
        <v/>
      </c>
    </row>
    <row r="437" spans="1:7">
      <c r="A437" s="149" t="str">
        <f>IF('Real Property'!A440=0,"",'Real Property'!A440)</f>
        <v/>
      </c>
      <c r="B437" s="147" t="str">
        <f>IF('Real Property'!B440=0,"",'Real Property'!B440)</f>
        <v/>
      </c>
      <c r="C437" s="148" t="str">
        <f>IF('Real Property'!E440=0,"",'Real Property'!E440)</f>
        <v/>
      </c>
      <c r="D437" s="149" t="str">
        <f>IF('Real Property'!I440=0,"",'Real Property'!I440)</f>
        <v/>
      </c>
      <c r="E437" s="150" t="str">
        <f>IFERROR(IF('Real Property'!AF440=0,"",'Real Property'!AF440),"")</f>
        <v/>
      </c>
      <c r="F437" s="150" t="str">
        <f>IFERROR(IF('Real Property'!AH440=0,"",'Real Property'!AH440),"")</f>
        <v/>
      </c>
      <c r="G437" s="156" t="str">
        <f>IF('Real Property'!AI440=0,"",'Real Property'!AI440)</f>
        <v/>
      </c>
    </row>
    <row r="438" spans="1:7">
      <c r="A438" s="149" t="str">
        <f>IF('Real Property'!A441=0,"",'Real Property'!A441)</f>
        <v/>
      </c>
      <c r="B438" s="147" t="str">
        <f>IF('Real Property'!B441=0,"",'Real Property'!B441)</f>
        <v/>
      </c>
      <c r="C438" s="148" t="str">
        <f>IF('Real Property'!E441=0,"",'Real Property'!E441)</f>
        <v/>
      </c>
      <c r="D438" s="149" t="str">
        <f>IF('Real Property'!I441=0,"",'Real Property'!I441)</f>
        <v/>
      </c>
      <c r="E438" s="150" t="str">
        <f>IFERROR(IF('Real Property'!AF441=0,"",'Real Property'!AF441),"")</f>
        <v/>
      </c>
      <c r="F438" s="150" t="str">
        <f>IFERROR(IF('Real Property'!AH441=0,"",'Real Property'!AH441),"")</f>
        <v/>
      </c>
      <c r="G438" s="156" t="str">
        <f>IF('Real Property'!AI441=0,"",'Real Property'!AI441)</f>
        <v/>
      </c>
    </row>
    <row r="439" spans="1:7">
      <c r="A439" s="149" t="str">
        <f>IF('Real Property'!A442=0,"",'Real Property'!A442)</f>
        <v/>
      </c>
      <c r="B439" s="147" t="str">
        <f>IF('Real Property'!B442=0,"",'Real Property'!B442)</f>
        <v/>
      </c>
      <c r="C439" s="148" t="str">
        <f>IF('Real Property'!E442=0,"",'Real Property'!E442)</f>
        <v/>
      </c>
      <c r="D439" s="149" t="str">
        <f>IF('Real Property'!I442=0,"",'Real Property'!I442)</f>
        <v/>
      </c>
      <c r="E439" s="150" t="str">
        <f>IFERROR(IF('Real Property'!AF442=0,"",'Real Property'!AF442),"")</f>
        <v/>
      </c>
      <c r="F439" s="150" t="str">
        <f>IFERROR(IF('Real Property'!AH442=0,"",'Real Property'!AH442),"")</f>
        <v/>
      </c>
      <c r="G439" s="156" t="str">
        <f>IF('Real Property'!AI442=0,"",'Real Property'!AI442)</f>
        <v/>
      </c>
    </row>
    <row r="440" spans="1:7">
      <c r="A440" s="149" t="str">
        <f>IF('Real Property'!A443=0,"",'Real Property'!A443)</f>
        <v/>
      </c>
      <c r="B440" s="147" t="str">
        <f>IF('Real Property'!B443=0,"",'Real Property'!B443)</f>
        <v/>
      </c>
      <c r="C440" s="148" t="str">
        <f>IF('Real Property'!E443=0,"",'Real Property'!E443)</f>
        <v/>
      </c>
      <c r="D440" s="149" t="str">
        <f>IF('Real Property'!I443=0,"",'Real Property'!I443)</f>
        <v/>
      </c>
      <c r="E440" s="150" t="str">
        <f>IFERROR(IF('Real Property'!AF443=0,"",'Real Property'!AF443),"")</f>
        <v/>
      </c>
      <c r="F440" s="150" t="str">
        <f>IFERROR(IF('Real Property'!AH443=0,"",'Real Property'!AH443),"")</f>
        <v/>
      </c>
      <c r="G440" s="156" t="str">
        <f>IF('Real Property'!AI443=0,"",'Real Property'!AI443)</f>
        <v/>
      </c>
    </row>
    <row r="441" spans="1:7">
      <c r="A441" s="149" t="str">
        <f>IF('Real Property'!A444=0,"",'Real Property'!A444)</f>
        <v/>
      </c>
      <c r="B441" s="147" t="str">
        <f>IF('Real Property'!B444=0,"",'Real Property'!B444)</f>
        <v/>
      </c>
      <c r="C441" s="148" t="str">
        <f>IF('Real Property'!E444=0,"",'Real Property'!E444)</f>
        <v/>
      </c>
      <c r="D441" s="149" t="str">
        <f>IF('Real Property'!I444=0,"",'Real Property'!I444)</f>
        <v/>
      </c>
      <c r="E441" s="150" t="str">
        <f>IFERROR(IF('Real Property'!AF444=0,"",'Real Property'!AF444),"")</f>
        <v/>
      </c>
      <c r="F441" s="150" t="str">
        <f>IFERROR(IF('Real Property'!AH444=0,"",'Real Property'!AH444),"")</f>
        <v/>
      </c>
      <c r="G441" s="156" t="str">
        <f>IF('Real Property'!AI444=0,"",'Real Property'!AI444)</f>
        <v/>
      </c>
    </row>
    <row r="442" spans="1:7">
      <c r="A442" s="149" t="str">
        <f>IF('Real Property'!A445=0,"",'Real Property'!A445)</f>
        <v/>
      </c>
      <c r="B442" s="147" t="str">
        <f>IF('Real Property'!B445=0,"",'Real Property'!B445)</f>
        <v/>
      </c>
      <c r="C442" s="148" t="str">
        <f>IF('Real Property'!E445=0,"",'Real Property'!E445)</f>
        <v/>
      </c>
      <c r="D442" s="149" t="str">
        <f>IF('Real Property'!I445=0,"",'Real Property'!I445)</f>
        <v/>
      </c>
      <c r="E442" s="150" t="str">
        <f>IFERROR(IF('Real Property'!AF445=0,"",'Real Property'!AF445),"")</f>
        <v/>
      </c>
      <c r="F442" s="150" t="str">
        <f>IFERROR(IF('Real Property'!AH445=0,"",'Real Property'!AH445),"")</f>
        <v/>
      </c>
      <c r="G442" s="156" t="str">
        <f>IF('Real Property'!AI445=0,"",'Real Property'!AI445)</f>
        <v/>
      </c>
    </row>
    <row r="443" spans="1:7">
      <c r="A443" s="149" t="str">
        <f>IF('Real Property'!A446=0,"",'Real Property'!A446)</f>
        <v/>
      </c>
      <c r="B443" s="147" t="str">
        <f>IF('Real Property'!B446=0,"",'Real Property'!B446)</f>
        <v/>
      </c>
      <c r="C443" s="148" t="str">
        <f>IF('Real Property'!E446=0,"",'Real Property'!E446)</f>
        <v/>
      </c>
      <c r="D443" s="149" t="str">
        <f>IF('Real Property'!I446=0,"",'Real Property'!I446)</f>
        <v/>
      </c>
      <c r="E443" s="150" t="str">
        <f>IFERROR(IF('Real Property'!AF446=0,"",'Real Property'!AF446),"")</f>
        <v/>
      </c>
      <c r="F443" s="150" t="str">
        <f>IFERROR(IF('Real Property'!AH446=0,"",'Real Property'!AH446),"")</f>
        <v/>
      </c>
      <c r="G443" s="156" t="str">
        <f>IF('Real Property'!AI446=0,"",'Real Property'!AI446)</f>
        <v/>
      </c>
    </row>
    <row r="444" spans="1:7">
      <c r="A444" s="149" t="str">
        <f>IF('Real Property'!A447=0,"",'Real Property'!A447)</f>
        <v/>
      </c>
      <c r="B444" s="147" t="str">
        <f>IF('Real Property'!B447=0,"",'Real Property'!B447)</f>
        <v/>
      </c>
      <c r="C444" s="148" t="str">
        <f>IF('Real Property'!E447=0,"",'Real Property'!E447)</f>
        <v/>
      </c>
      <c r="D444" s="149" t="str">
        <f>IF('Real Property'!I447=0,"",'Real Property'!I447)</f>
        <v/>
      </c>
      <c r="E444" s="150" t="str">
        <f>IFERROR(IF('Real Property'!AF447=0,"",'Real Property'!AF447),"")</f>
        <v/>
      </c>
      <c r="F444" s="150" t="str">
        <f>IFERROR(IF('Real Property'!AH447=0,"",'Real Property'!AH447),"")</f>
        <v/>
      </c>
      <c r="G444" s="156" t="str">
        <f>IF('Real Property'!AI447=0,"",'Real Property'!AI447)</f>
        <v/>
      </c>
    </row>
    <row r="445" spans="1:7">
      <c r="A445" s="149" t="str">
        <f>IF('Real Property'!A448=0,"",'Real Property'!A448)</f>
        <v/>
      </c>
      <c r="B445" s="147" t="str">
        <f>IF('Real Property'!B448=0,"",'Real Property'!B448)</f>
        <v/>
      </c>
      <c r="C445" s="148" t="str">
        <f>IF('Real Property'!E448=0,"",'Real Property'!E448)</f>
        <v/>
      </c>
      <c r="D445" s="149" t="str">
        <f>IF('Real Property'!I448=0,"",'Real Property'!I448)</f>
        <v/>
      </c>
      <c r="E445" s="150" t="str">
        <f>IFERROR(IF('Real Property'!AF448=0,"",'Real Property'!AF448),"")</f>
        <v/>
      </c>
      <c r="F445" s="150" t="str">
        <f>IFERROR(IF('Real Property'!AH448=0,"",'Real Property'!AH448),"")</f>
        <v/>
      </c>
      <c r="G445" s="156" t="str">
        <f>IF('Real Property'!AI448=0,"",'Real Property'!AI448)</f>
        <v/>
      </c>
    </row>
    <row r="446" spans="1:7">
      <c r="A446" s="149" t="str">
        <f>IF('Real Property'!A449=0,"",'Real Property'!A449)</f>
        <v/>
      </c>
      <c r="B446" s="147" t="str">
        <f>IF('Real Property'!B449=0,"",'Real Property'!B449)</f>
        <v/>
      </c>
      <c r="C446" s="148" t="str">
        <f>IF('Real Property'!E449=0,"",'Real Property'!E449)</f>
        <v/>
      </c>
      <c r="D446" s="149" t="str">
        <f>IF('Real Property'!I449=0,"",'Real Property'!I449)</f>
        <v/>
      </c>
      <c r="E446" s="150" t="str">
        <f>IFERROR(IF('Real Property'!AF449=0,"",'Real Property'!AF449),"")</f>
        <v/>
      </c>
      <c r="F446" s="150" t="str">
        <f>IFERROR(IF('Real Property'!AH449=0,"",'Real Property'!AH449),"")</f>
        <v/>
      </c>
      <c r="G446" s="156" t="str">
        <f>IF('Real Property'!AI449=0,"",'Real Property'!AI449)</f>
        <v/>
      </c>
    </row>
    <row r="447" spans="1:7">
      <c r="A447" s="149" t="str">
        <f>IF('Real Property'!A450=0,"",'Real Property'!A450)</f>
        <v/>
      </c>
      <c r="B447" s="147" t="str">
        <f>IF('Real Property'!B450=0,"",'Real Property'!B450)</f>
        <v/>
      </c>
      <c r="C447" s="148" t="str">
        <f>IF('Real Property'!E450=0,"",'Real Property'!E450)</f>
        <v/>
      </c>
      <c r="D447" s="149" t="str">
        <f>IF('Real Property'!I450=0,"",'Real Property'!I450)</f>
        <v/>
      </c>
      <c r="E447" s="150" t="str">
        <f>IFERROR(IF('Real Property'!AF450=0,"",'Real Property'!AF450),"")</f>
        <v/>
      </c>
      <c r="F447" s="150" t="str">
        <f>IFERROR(IF('Real Property'!AH450=0,"",'Real Property'!AH450),"")</f>
        <v/>
      </c>
      <c r="G447" s="156" t="str">
        <f>IF('Real Property'!AI450=0,"",'Real Property'!AI450)</f>
        <v/>
      </c>
    </row>
    <row r="448" spans="1:7">
      <c r="A448" s="149" t="str">
        <f>IF('Real Property'!A451=0,"",'Real Property'!A451)</f>
        <v/>
      </c>
      <c r="B448" s="147" t="str">
        <f>IF('Real Property'!B451=0,"",'Real Property'!B451)</f>
        <v/>
      </c>
      <c r="C448" s="148" t="str">
        <f>IF('Real Property'!E451=0,"",'Real Property'!E451)</f>
        <v/>
      </c>
      <c r="D448" s="149" t="str">
        <f>IF('Real Property'!I451=0,"",'Real Property'!I451)</f>
        <v/>
      </c>
      <c r="E448" s="150" t="str">
        <f>IFERROR(IF('Real Property'!AF451=0,"",'Real Property'!AF451),"")</f>
        <v/>
      </c>
      <c r="F448" s="150" t="str">
        <f>IFERROR(IF('Real Property'!AH451=0,"",'Real Property'!AH451),"")</f>
        <v/>
      </c>
      <c r="G448" s="156" t="str">
        <f>IF('Real Property'!AI451=0,"",'Real Property'!AI451)</f>
        <v/>
      </c>
    </row>
    <row r="449" spans="1:7">
      <c r="A449" s="149" t="str">
        <f>IF('Real Property'!A452=0,"",'Real Property'!A452)</f>
        <v/>
      </c>
      <c r="B449" s="147" t="str">
        <f>IF('Real Property'!B452=0,"",'Real Property'!B452)</f>
        <v/>
      </c>
      <c r="C449" s="148" t="str">
        <f>IF('Real Property'!E452=0,"",'Real Property'!E452)</f>
        <v/>
      </c>
      <c r="D449" s="149" t="str">
        <f>IF('Real Property'!I452=0,"",'Real Property'!I452)</f>
        <v/>
      </c>
      <c r="E449" s="150" t="str">
        <f>IFERROR(IF('Real Property'!AF452=0,"",'Real Property'!AF452),"")</f>
        <v/>
      </c>
      <c r="F449" s="150" t="str">
        <f>IFERROR(IF('Real Property'!AH452=0,"",'Real Property'!AH452),"")</f>
        <v/>
      </c>
      <c r="G449" s="156" t="str">
        <f>IF('Real Property'!AI452=0,"",'Real Property'!AI452)</f>
        <v/>
      </c>
    </row>
    <row r="450" spans="1:7">
      <c r="A450" s="149" t="str">
        <f>IF('Real Property'!A453=0,"",'Real Property'!A453)</f>
        <v/>
      </c>
      <c r="B450" s="147" t="str">
        <f>IF('Real Property'!B453=0,"",'Real Property'!B453)</f>
        <v/>
      </c>
      <c r="C450" s="148" t="str">
        <f>IF('Real Property'!E453=0,"",'Real Property'!E453)</f>
        <v/>
      </c>
      <c r="D450" s="149" t="str">
        <f>IF('Real Property'!I453=0,"",'Real Property'!I453)</f>
        <v/>
      </c>
      <c r="E450" s="150" t="str">
        <f>IFERROR(IF('Real Property'!AF453=0,"",'Real Property'!AF453),"")</f>
        <v/>
      </c>
      <c r="F450" s="150" t="str">
        <f>IFERROR(IF('Real Property'!AH453=0,"",'Real Property'!AH453),"")</f>
        <v/>
      </c>
      <c r="G450" s="156" t="str">
        <f>IF('Real Property'!AI453=0,"",'Real Property'!AI453)</f>
        <v/>
      </c>
    </row>
    <row r="451" spans="1:7">
      <c r="A451" s="149" t="str">
        <f>IF('Real Property'!A454=0,"",'Real Property'!A454)</f>
        <v/>
      </c>
      <c r="B451" s="147" t="str">
        <f>IF('Real Property'!B454=0,"",'Real Property'!B454)</f>
        <v/>
      </c>
      <c r="C451" s="148" t="str">
        <f>IF('Real Property'!E454=0,"",'Real Property'!E454)</f>
        <v/>
      </c>
      <c r="D451" s="149" t="str">
        <f>IF('Real Property'!I454=0,"",'Real Property'!I454)</f>
        <v/>
      </c>
      <c r="E451" s="150" t="str">
        <f>IFERROR(IF('Real Property'!AF454=0,"",'Real Property'!AF454),"")</f>
        <v/>
      </c>
      <c r="F451" s="150" t="str">
        <f>IFERROR(IF('Real Property'!AH454=0,"",'Real Property'!AH454),"")</f>
        <v/>
      </c>
      <c r="G451" s="156" t="str">
        <f>IF('Real Property'!AI454=0,"",'Real Property'!AI454)</f>
        <v/>
      </c>
    </row>
    <row r="452" spans="1:7">
      <c r="A452" s="149" t="str">
        <f>IF('Real Property'!A455=0,"",'Real Property'!A455)</f>
        <v/>
      </c>
      <c r="B452" s="147" t="str">
        <f>IF('Real Property'!B455=0,"",'Real Property'!B455)</f>
        <v/>
      </c>
      <c r="C452" s="148" t="str">
        <f>IF('Real Property'!E455=0,"",'Real Property'!E455)</f>
        <v/>
      </c>
      <c r="D452" s="149" t="str">
        <f>IF('Real Property'!I455=0,"",'Real Property'!I455)</f>
        <v/>
      </c>
      <c r="E452" s="150" t="str">
        <f>IFERROR(IF('Real Property'!AF455=0,"",'Real Property'!AF455),"")</f>
        <v/>
      </c>
      <c r="F452" s="150" t="str">
        <f>IFERROR(IF('Real Property'!AH455=0,"",'Real Property'!AH455),"")</f>
        <v/>
      </c>
      <c r="G452" s="156" t="str">
        <f>IF('Real Property'!AI455=0,"",'Real Property'!AI455)</f>
        <v/>
      </c>
    </row>
    <row r="453" spans="1:7">
      <c r="A453" s="149" t="str">
        <f>IF('Real Property'!A456=0,"",'Real Property'!A456)</f>
        <v/>
      </c>
      <c r="B453" s="147" t="str">
        <f>IF('Real Property'!B456=0,"",'Real Property'!B456)</f>
        <v/>
      </c>
      <c r="C453" s="148" t="str">
        <f>IF('Real Property'!E456=0,"",'Real Property'!E456)</f>
        <v/>
      </c>
      <c r="D453" s="149" t="str">
        <f>IF('Real Property'!I456=0,"",'Real Property'!I456)</f>
        <v/>
      </c>
      <c r="E453" s="150" t="str">
        <f>IFERROR(IF('Real Property'!AF456=0,"",'Real Property'!AF456),"")</f>
        <v/>
      </c>
      <c r="F453" s="150" t="str">
        <f>IFERROR(IF('Real Property'!AH456=0,"",'Real Property'!AH456),"")</f>
        <v/>
      </c>
      <c r="G453" s="156" t="str">
        <f>IF('Real Property'!AI456=0,"",'Real Property'!AI456)</f>
        <v/>
      </c>
    </row>
    <row r="454" spans="1:7">
      <c r="A454" s="149" t="str">
        <f>IF('Real Property'!A457=0,"",'Real Property'!A457)</f>
        <v/>
      </c>
      <c r="B454" s="147" t="str">
        <f>IF('Real Property'!B457=0,"",'Real Property'!B457)</f>
        <v/>
      </c>
      <c r="C454" s="148" t="str">
        <f>IF('Real Property'!E457=0,"",'Real Property'!E457)</f>
        <v/>
      </c>
      <c r="D454" s="149" t="str">
        <f>IF('Real Property'!I457=0,"",'Real Property'!I457)</f>
        <v/>
      </c>
      <c r="E454" s="150" t="str">
        <f>IFERROR(IF('Real Property'!AF457=0,"",'Real Property'!AF457),"")</f>
        <v/>
      </c>
      <c r="F454" s="150" t="str">
        <f>IFERROR(IF('Real Property'!AH457=0,"",'Real Property'!AH457),"")</f>
        <v/>
      </c>
      <c r="G454" s="156" t="str">
        <f>IF('Real Property'!AI457=0,"",'Real Property'!AI457)</f>
        <v/>
      </c>
    </row>
    <row r="455" spans="1:7">
      <c r="A455" s="149" t="str">
        <f>IF('Real Property'!A458=0,"",'Real Property'!A458)</f>
        <v/>
      </c>
      <c r="B455" s="147" t="str">
        <f>IF('Real Property'!B458=0,"",'Real Property'!B458)</f>
        <v/>
      </c>
      <c r="C455" s="148" t="str">
        <f>IF('Real Property'!E458=0,"",'Real Property'!E458)</f>
        <v/>
      </c>
      <c r="D455" s="149" t="str">
        <f>IF('Real Property'!I458=0,"",'Real Property'!I458)</f>
        <v/>
      </c>
      <c r="E455" s="150" t="str">
        <f>IFERROR(IF('Real Property'!AF458=0,"",'Real Property'!AF458),"")</f>
        <v/>
      </c>
      <c r="F455" s="150" t="str">
        <f>IFERROR(IF('Real Property'!AH458=0,"",'Real Property'!AH458),"")</f>
        <v/>
      </c>
      <c r="G455" s="156" t="str">
        <f>IF('Real Property'!AI458=0,"",'Real Property'!AI458)</f>
        <v/>
      </c>
    </row>
    <row r="456" spans="1:7">
      <c r="A456" s="149" t="str">
        <f>IF('Real Property'!A459=0,"",'Real Property'!A459)</f>
        <v/>
      </c>
      <c r="B456" s="147" t="str">
        <f>IF('Real Property'!B459=0,"",'Real Property'!B459)</f>
        <v/>
      </c>
      <c r="C456" s="148" t="str">
        <f>IF('Real Property'!E459=0,"",'Real Property'!E459)</f>
        <v/>
      </c>
      <c r="D456" s="149" t="str">
        <f>IF('Real Property'!I459=0,"",'Real Property'!I459)</f>
        <v/>
      </c>
      <c r="E456" s="150" t="str">
        <f>IFERROR(IF('Real Property'!AF459=0,"",'Real Property'!AF459),"")</f>
        <v/>
      </c>
      <c r="F456" s="150" t="str">
        <f>IFERROR(IF('Real Property'!AH459=0,"",'Real Property'!AH459),"")</f>
        <v/>
      </c>
      <c r="G456" s="156" t="str">
        <f>IF('Real Property'!AI459=0,"",'Real Property'!AI459)</f>
        <v/>
      </c>
    </row>
    <row r="457" spans="1:7">
      <c r="A457" s="149" t="str">
        <f>IF('Real Property'!A460=0,"",'Real Property'!A460)</f>
        <v/>
      </c>
      <c r="B457" s="147" t="str">
        <f>IF('Real Property'!B460=0,"",'Real Property'!B460)</f>
        <v/>
      </c>
      <c r="C457" s="148" t="str">
        <f>IF('Real Property'!E460=0,"",'Real Property'!E460)</f>
        <v/>
      </c>
      <c r="D457" s="149" t="str">
        <f>IF('Real Property'!I460=0,"",'Real Property'!I460)</f>
        <v/>
      </c>
      <c r="E457" s="150" t="str">
        <f>IFERROR(IF('Real Property'!AF460=0,"",'Real Property'!AF460),"")</f>
        <v/>
      </c>
      <c r="F457" s="150" t="str">
        <f>IFERROR(IF('Real Property'!AH460=0,"",'Real Property'!AH460),"")</f>
        <v/>
      </c>
      <c r="G457" s="156" t="str">
        <f>IF('Real Property'!AI460=0,"",'Real Property'!AI460)</f>
        <v/>
      </c>
    </row>
    <row r="458" spans="1:7">
      <c r="A458" s="149" t="str">
        <f>IF('Real Property'!A461=0,"",'Real Property'!A461)</f>
        <v/>
      </c>
      <c r="B458" s="147" t="str">
        <f>IF('Real Property'!B461=0,"",'Real Property'!B461)</f>
        <v/>
      </c>
      <c r="C458" s="148" t="str">
        <f>IF('Real Property'!E461=0,"",'Real Property'!E461)</f>
        <v/>
      </c>
      <c r="D458" s="149" t="str">
        <f>IF('Real Property'!I461=0,"",'Real Property'!I461)</f>
        <v/>
      </c>
      <c r="E458" s="150" t="str">
        <f>IFERROR(IF('Real Property'!AF461=0,"",'Real Property'!AF461),"")</f>
        <v/>
      </c>
      <c r="F458" s="150" t="str">
        <f>IFERROR(IF('Real Property'!AH461=0,"",'Real Property'!AH461),"")</f>
        <v/>
      </c>
      <c r="G458" s="156" t="str">
        <f>IF('Real Property'!AI461=0,"",'Real Property'!AI461)</f>
        <v/>
      </c>
    </row>
    <row r="459" spans="1:7">
      <c r="A459" s="149" t="str">
        <f>IF('Real Property'!A462=0,"",'Real Property'!A462)</f>
        <v/>
      </c>
      <c r="B459" s="147" t="str">
        <f>IF('Real Property'!B462=0,"",'Real Property'!B462)</f>
        <v/>
      </c>
      <c r="C459" s="148" t="str">
        <f>IF('Real Property'!E462=0,"",'Real Property'!E462)</f>
        <v/>
      </c>
      <c r="D459" s="149" t="str">
        <f>IF('Real Property'!I462=0,"",'Real Property'!I462)</f>
        <v/>
      </c>
      <c r="E459" s="150" t="str">
        <f>IFERROR(IF('Real Property'!AF462=0,"",'Real Property'!AF462),"")</f>
        <v/>
      </c>
      <c r="F459" s="150" t="str">
        <f>IFERROR(IF('Real Property'!AH462=0,"",'Real Property'!AH462),"")</f>
        <v/>
      </c>
      <c r="G459" s="156" t="str">
        <f>IF('Real Property'!AI462=0,"",'Real Property'!AI462)</f>
        <v/>
      </c>
    </row>
    <row r="460" spans="1:7">
      <c r="A460" s="149" t="str">
        <f>IF('Real Property'!A463=0,"",'Real Property'!A463)</f>
        <v/>
      </c>
      <c r="B460" s="147" t="str">
        <f>IF('Real Property'!B463=0,"",'Real Property'!B463)</f>
        <v/>
      </c>
      <c r="C460" s="148" t="str">
        <f>IF('Real Property'!E463=0,"",'Real Property'!E463)</f>
        <v/>
      </c>
      <c r="D460" s="149" t="str">
        <f>IF('Real Property'!I463=0,"",'Real Property'!I463)</f>
        <v/>
      </c>
      <c r="E460" s="150" t="str">
        <f>IFERROR(IF('Real Property'!AF463=0,"",'Real Property'!AF463),"")</f>
        <v/>
      </c>
      <c r="F460" s="150" t="str">
        <f>IFERROR(IF('Real Property'!AH463=0,"",'Real Property'!AH463),"")</f>
        <v/>
      </c>
      <c r="G460" s="156" t="str">
        <f>IF('Real Property'!AI463=0,"",'Real Property'!AI463)</f>
        <v/>
      </c>
    </row>
    <row r="461" spans="1:7">
      <c r="A461" s="149" t="str">
        <f>IF('Real Property'!A464=0,"",'Real Property'!A464)</f>
        <v/>
      </c>
      <c r="B461" s="147" t="str">
        <f>IF('Real Property'!B464=0,"",'Real Property'!B464)</f>
        <v/>
      </c>
      <c r="C461" s="148" t="str">
        <f>IF('Real Property'!E464=0,"",'Real Property'!E464)</f>
        <v/>
      </c>
      <c r="D461" s="149" t="str">
        <f>IF('Real Property'!I464=0,"",'Real Property'!I464)</f>
        <v/>
      </c>
      <c r="E461" s="150" t="str">
        <f>IFERROR(IF('Real Property'!AF464=0,"",'Real Property'!AF464),"")</f>
        <v/>
      </c>
      <c r="F461" s="150" t="str">
        <f>IFERROR(IF('Real Property'!AH464=0,"",'Real Property'!AH464),"")</f>
        <v/>
      </c>
      <c r="G461" s="156" t="str">
        <f>IF('Real Property'!AI464=0,"",'Real Property'!AI464)</f>
        <v/>
      </c>
    </row>
    <row r="462" spans="1:7">
      <c r="A462" s="149" t="str">
        <f>IF('Real Property'!A465=0,"",'Real Property'!A465)</f>
        <v/>
      </c>
      <c r="B462" s="147" t="str">
        <f>IF('Real Property'!B465=0,"",'Real Property'!B465)</f>
        <v/>
      </c>
      <c r="C462" s="148" t="str">
        <f>IF('Real Property'!E465=0,"",'Real Property'!E465)</f>
        <v/>
      </c>
      <c r="D462" s="149" t="str">
        <f>IF('Real Property'!I465=0,"",'Real Property'!I465)</f>
        <v/>
      </c>
      <c r="E462" s="150" t="str">
        <f>IFERROR(IF('Real Property'!AF465=0,"",'Real Property'!AF465),"")</f>
        <v/>
      </c>
      <c r="F462" s="150" t="str">
        <f>IFERROR(IF('Real Property'!AH465=0,"",'Real Property'!AH465),"")</f>
        <v/>
      </c>
      <c r="G462" s="156" t="str">
        <f>IF('Real Property'!AI465=0,"",'Real Property'!AI465)</f>
        <v/>
      </c>
    </row>
    <row r="463" spans="1:7">
      <c r="A463" s="149" t="str">
        <f>IF('Real Property'!A466=0,"",'Real Property'!A466)</f>
        <v/>
      </c>
      <c r="B463" s="147" t="str">
        <f>IF('Real Property'!B466=0,"",'Real Property'!B466)</f>
        <v/>
      </c>
      <c r="C463" s="148" t="str">
        <f>IF('Real Property'!E466=0,"",'Real Property'!E466)</f>
        <v/>
      </c>
      <c r="D463" s="149" t="str">
        <f>IF('Real Property'!I466=0,"",'Real Property'!I466)</f>
        <v/>
      </c>
      <c r="E463" s="150" t="str">
        <f>IFERROR(IF('Real Property'!AF466=0,"",'Real Property'!AF466),"")</f>
        <v/>
      </c>
      <c r="F463" s="150" t="str">
        <f>IFERROR(IF('Real Property'!AH466=0,"",'Real Property'!AH466),"")</f>
        <v/>
      </c>
      <c r="G463" s="156" t="str">
        <f>IF('Real Property'!AI466=0,"",'Real Property'!AI466)</f>
        <v/>
      </c>
    </row>
    <row r="464" spans="1:7">
      <c r="A464" s="149" t="str">
        <f>IF('Real Property'!A467=0,"",'Real Property'!A467)</f>
        <v/>
      </c>
      <c r="B464" s="147" t="str">
        <f>IF('Real Property'!B467=0,"",'Real Property'!B467)</f>
        <v/>
      </c>
      <c r="C464" s="148" t="str">
        <f>IF('Real Property'!E467=0,"",'Real Property'!E467)</f>
        <v/>
      </c>
      <c r="D464" s="149" t="str">
        <f>IF('Real Property'!I467=0,"",'Real Property'!I467)</f>
        <v/>
      </c>
      <c r="E464" s="150" t="str">
        <f>IFERROR(IF('Real Property'!AF467=0,"",'Real Property'!AF467),"")</f>
        <v/>
      </c>
      <c r="F464" s="150" t="str">
        <f>IFERROR(IF('Real Property'!AH467=0,"",'Real Property'!AH467),"")</f>
        <v/>
      </c>
      <c r="G464" s="156" t="str">
        <f>IF('Real Property'!AI467=0,"",'Real Property'!AI467)</f>
        <v/>
      </c>
    </row>
    <row r="465" spans="1:7">
      <c r="A465" s="149" t="str">
        <f>IF('Real Property'!A468=0,"",'Real Property'!A468)</f>
        <v/>
      </c>
      <c r="B465" s="147" t="str">
        <f>IF('Real Property'!B468=0,"",'Real Property'!B468)</f>
        <v/>
      </c>
      <c r="C465" s="148" t="str">
        <f>IF('Real Property'!E468=0,"",'Real Property'!E468)</f>
        <v/>
      </c>
      <c r="D465" s="149" t="str">
        <f>IF('Real Property'!I468=0,"",'Real Property'!I468)</f>
        <v/>
      </c>
      <c r="E465" s="150" t="str">
        <f>IFERROR(IF('Real Property'!AF468=0,"",'Real Property'!AF468),"")</f>
        <v/>
      </c>
      <c r="F465" s="150" t="str">
        <f>IFERROR(IF('Real Property'!AH468=0,"",'Real Property'!AH468),"")</f>
        <v/>
      </c>
      <c r="G465" s="156" t="str">
        <f>IF('Real Property'!AI468=0,"",'Real Property'!AI468)</f>
        <v/>
      </c>
    </row>
    <row r="466" spans="1:7">
      <c r="A466" s="149" t="str">
        <f>IF('Real Property'!A469=0,"",'Real Property'!A469)</f>
        <v/>
      </c>
      <c r="B466" s="147" t="str">
        <f>IF('Real Property'!B469=0,"",'Real Property'!B469)</f>
        <v/>
      </c>
      <c r="C466" s="148" t="str">
        <f>IF('Real Property'!E469=0,"",'Real Property'!E469)</f>
        <v/>
      </c>
      <c r="D466" s="149" t="str">
        <f>IF('Real Property'!I469=0,"",'Real Property'!I469)</f>
        <v/>
      </c>
      <c r="E466" s="150" t="str">
        <f>IFERROR(IF('Real Property'!AF469=0,"",'Real Property'!AF469),"")</f>
        <v/>
      </c>
      <c r="F466" s="150" t="str">
        <f>IFERROR(IF('Real Property'!AH469=0,"",'Real Property'!AH469),"")</f>
        <v/>
      </c>
      <c r="G466" s="156" t="str">
        <f>IF('Real Property'!AI469=0,"",'Real Property'!AI469)</f>
        <v/>
      </c>
    </row>
    <row r="467" spans="1:7">
      <c r="A467" s="149" t="str">
        <f>IF('Real Property'!A470=0,"",'Real Property'!A470)</f>
        <v/>
      </c>
      <c r="B467" s="147" t="str">
        <f>IF('Real Property'!B470=0,"",'Real Property'!B470)</f>
        <v/>
      </c>
      <c r="C467" s="148" t="str">
        <f>IF('Real Property'!E470=0,"",'Real Property'!E470)</f>
        <v/>
      </c>
      <c r="D467" s="149" t="str">
        <f>IF('Real Property'!I470=0,"",'Real Property'!I470)</f>
        <v/>
      </c>
      <c r="E467" s="150" t="str">
        <f>IFERROR(IF('Real Property'!AF470=0,"",'Real Property'!AF470),"")</f>
        <v/>
      </c>
      <c r="F467" s="150" t="str">
        <f>IFERROR(IF('Real Property'!AH470=0,"",'Real Property'!AH470),"")</f>
        <v/>
      </c>
      <c r="G467" s="156" t="str">
        <f>IF('Real Property'!AI470=0,"",'Real Property'!AI470)</f>
        <v/>
      </c>
    </row>
    <row r="468" spans="1:7">
      <c r="A468" s="149" t="str">
        <f>IF('Real Property'!A471=0,"",'Real Property'!A471)</f>
        <v/>
      </c>
      <c r="B468" s="147" t="str">
        <f>IF('Real Property'!B471=0,"",'Real Property'!B471)</f>
        <v/>
      </c>
      <c r="C468" s="148" t="str">
        <f>IF('Real Property'!E471=0,"",'Real Property'!E471)</f>
        <v/>
      </c>
      <c r="D468" s="149" t="str">
        <f>IF('Real Property'!I471=0,"",'Real Property'!I471)</f>
        <v/>
      </c>
      <c r="E468" s="150" t="str">
        <f>IFERROR(IF('Real Property'!AF471=0,"",'Real Property'!AF471),"")</f>
        <v/>
      </c>
      <c r="F468" s="150" t="str">
        <f>IFERROR(IF('Real Property'!AH471=0,"",'Real Property'!AH471),"")</f>
        <v/>
      </c>
      <c r="G468" s="156" t="str">
        <f>IF('Real Property'!AI471=0,"",'Real Property'!AI471)</f>
        <v/>
      </c>
    </row>
    <row r="469" spans="1:7">
      <c r="A469" s="149" t="str">
        <f>IF('Real Property'!A472=0,"",'Real Property'!A472)</f>
        <v/>
      </c>
      <c r="B469" s="147" t="str">
        <f>IF('Real Property'!B472=0,"",'Real Property'!B472)</f>
        <v/>
      </c>
      <c r="C469" s="148" t="str">
        <f>IF('Real Property'!E472=0,"",'Real Property'!E472)</f>
        <v/>
      </c>
      <c r="D469" s="149" t="str">
        <f>IF('Real Property'!I472=0,"",'Real Property'!I472)</f>
        <v/>
      </c>
      <c r="E469" s="150" t="str">
        <f>IFERROR(IF('Real Property'!AF472=0,"",'Real Property'!AF472),"")</f>
        <v/>
      </c>
      <c r="F469" s="150" t="str">
        <f>IFERROR(IF('Real Property'!AH472=0,"",'Real Property'!AH472),"")</f>
        <v/>
      </c>
      <c r="G469" s="156" t="str">
        <f>IF('Real Property'!AI472=0,"",'Real Property'!AI472)</f>
        <v/>
      </c>
    </row>
    <row r="470" spans="1:7">
      <c r="A470" s="149" t="str">
        <f>IF('Real Property'!A473=0,"",'Real Property'!A473)</f>
        <v/>
      </c>
      <c r="B470" s="147" t="str">
        <f>IF('Real Property'!B473=0,"",'Real Property'!B473)</f>
        <v/>
      </c>
      <c r="C470" s="148" t="str">
        <f>IF('Real Property'!E473=0,"",'Real Property'!E473)</f>
        <v/>
      </c>
      <c r="D470" s="149" t="str">
        <f>IF('Real Property'!I473=0,"",'Real Property'!I473)</f>
        <v/>
      </c>
      <c r="E470" s="150" t="str">
        <f>IFERROR(IF('Real Property'!AF473=0,"",'Real Property'!AF473),"")</f>
        <v/>
      </c>
      <c r="F470" s="150" t="str">
        <f>IFERROR(IF('Real Property'!AH473=0,"",'Real Property'!AH473),"")</f>
        <v/>
      </c>
      <c r="G470" s="156" t="str">
        <f>IF('Real Property'!AI473=0,"",'Real Property'!AI473)</f>
        <v/>
      </c>
    </row>
    <row r="471" spans="1:7">
      <c r="A471" s="149" t="str">
        <f>IF('Real Property'!A474=0,"",'Real Property'!A474)</f>
        <v/>
      </c>
      <c r="B471" s="147" t="str">
        <f>IF('Real Property'!B474=0,"",'Real Property'!B474)</f>
        <v/>
      </c>
      <c r="C471" s="148" t="str">
        <f>IF('Real Property'!E474=0,"",'Real Property'!E474)</f>
        <v/>
      </c>
      <c r="D471" s="149" t="str">
        <f>IF('Real Property'!I474=0,"",'Real Property'!I474)</f>
        <v/>
      </c>
      <c r="E471" s="150" t="str">
        <f>IFERROR(IF('Real Property'!AF474=0,"",'Real Property'!AF474),"")</f>
        <v/>
      </c>
      <c r="F471" s="150" t="str">
        <f>IFERROR(IF('Real Property'!AH474=0,"",'Real Property'!AH474),"")</f>
        <v/>
      </c>
      <c r="G471" s="156" t="str">
        <f>IF('Real Property'!AI474=0,"",'Real Property'!AI474)</f>
        <v/>
      </c>
    </row>
    <row r="472" spans="1:7">
      <c r="A472" s="149" t="str">
        <f>IF('Real Property'!A475=0,"",'Real Property'!A475)</f>
        <v/>
      </c>
      <c r="B472" s="147" t="str">
        <f>IF('Real Property'!B475=0,"",'Real Property'!B475)</f>
        <v/>
      </c>
      <c r="C472" s="148" t="str">
        <f>IF('Real Property'!E475=0,"",'Real Property'!E475)</f>
        <v/>
      </c>
      <c r="D472" s="149" t="str">
        <f>IF('Real Property'!I475=0,"",'Real Property'!I475)</f>
        <v/>
      </c>
      <c r="E472" s="150" t="str">
        <f>IFERROR(IF('Real Property'!AF475=0,"",'Real Property'!AF475),"")</f>
        <v/>
      </c>
      <c r="F472" s="150" t="str">
        <f>IFERROR(IF('Real Property'!AH475=0,"",'Real Property'!AH475),"")</f>
        <v/>
      </c>
      <c r="G472" s="156" t="str">
        <f>IF('Real Property'!AI475=0,"",'Real Property'!AI475)</f>
        <v/>
      </c>
    </row>
    <row r="473" spans="1:7">
      <c r="A473" s="149" t="str">
        <f>IF('Real Property'!A476=0,"",'Real Property'!A476)</f>
        <v/>
      </c>
      <c r="B473" s="147" t="str">
        <f>IF('Real Property'!B476=0,"",'Real Property'!B476)</f>
        <v/>
      </c>
      <c r="C473" s="148" t="str">
        <f>IF('Real Property'!E476=0,"",'Real Property'!E476)</f>
        <v/>
      </c>
      <c r="D473" s="149" t="str">
        <f>IF('Real Property'!I476=0,"",'Real Property'!I476)</f>
        <v/>
      </c>
      <c r="E473" s="150" t="str">
        <f>IFERROR(IF('Real Property'!AF476=0,"",'Real Property'!AF476),"")</f>
        <v/>
      </c>
      <c r="F473" s="150" t="str">
        <f>IFERROR(IF('Real Property'!AH476=0,"",'Real Property'!AH476),"")</f>
        <v/>
      </c>
      <c r="G473" s="156" t="str">
        <f>IF('Real Property'!AI476=0,"",'Real Property'!AI476)</f>
        <v/>
      </c>
    </row>
    <row r="474" spans="1:7">
      <c r="A474" s="149" t="str">
        <f>IF('Real Property'!A477=0,"",'Real Property'!A477)</f>
        <v/>
      </c>
      <c r="B474" s="147" t="str">
        <f>IF('Real Property'!B477=0,"",'Real Property'!B477)</f>
        <v/>
      </c>
      <c r="C474" s="148" t="str">
        <f>IF('Real Property'!E477=0,"",'Real Property'!E477)</f>
        <v/>
      </c>
      <c r="D474" s="149" t="str">
        <f>IF('Real Property'!I477=0,"",'Real Property'!I477)</f>
        <v/>
      </c>
      <c r="E474" s="150" t="str">
        <f>IFERROR(IF('Real Property'!AF477=0,"",'Real Property'!AF477),"")</f>
        <v/>
      </c>
      <c r="F474" s="150" t="str">
        <f>IFERROR(IF('Real Property'!AH477=0,"",'Real Property'!AH477),"")</f>
        <v/>
      </c>
      <c r="G474" s="156" t="str">
        <f>IF('Real Property'!AI477=0,"",'Real Property'!AI477)</f>
        <v/>
      </c>
    </row>
    <row r="475" spans="1:7">
      <c r="A475" s="149" t="str">
        <f>IF('Real Property'!A478=0,"",'Real Property'!A478)</f>
        <v/>
      </c>
      <c r="B475" s="147" t="str">
        <f>IF('Real Property'!B478=0,"",'Real Property'!B478)</f>
        <v/>
      </c>
      <c r="C475" s="148" t="str">
        <f>IF('Real Property'!E478=0,"",'Real Property'!E478)</f>
        <v/>
      </c>
      <c r="D475" s="149" t="str">
        <f>IF('Real Property'!I478=0,"",'Real Property'!I478)</f>
        <v/>
      </c>
      <c r="E475" s="150" t="str">
        <f>IFERROR(IF('Real Property'!AF478=0,"",'Real Property'!AF478),"")</f>
        <v/>
      </c>
      <c r="F475" s="150" t="str">
        <f>IFERROR(IF('Real Property'!AH478=0,"",'Real Property'!AH478),"")</f>
        <v/>
      </c>
      <c r="G475" s="156" t="str">
        <f>IF('Real Property'!AI478=0,"",'Real Property'!AI478)</f>
        <v/>
      </c>
    </row>
    <row r="476" spans="1:7">
      <c r="A476" s="149" t="str">
        <f>IF('Real Property'!A479=0,"",'Real Property'!A479)</f>
        <v/>
      </c>
      <c r="B476" s="147" t="str">
        <f>IF('Real Property'!B479=0,"",'Real Property'!B479)</f>
        <v/>
      </c>
      <c r="C476" s="148" t="str">
        <f>IF('Real Property'!E479=0,"",'Real Property'!E479)</f>
        <v/>
      </c>
      <c r="D476" s="149" t="str">
        <f>IF('Real Property'!I479=0,"",'Real Property'!I479)</f>
        <v/>
      </c>
      <c r="E476" s="150" t="str">
        <f>IFERROR(IF('Real Property'!AF479=0,"",'Real Property'!AF479),"")</f>
        <v/>
      </c>
      <c r="F476" s="150" t="str">
        <f>IFERROR(IF('Real Property'!AH479=0,"",'Real Property'!AH479),"")</f>
        <v/>
      </c>
      <c r="G476" s="156" t="str">
        <f>IF('Real Property'!AI479=0,"",'Real Property'!AI479)</f>
        <v/>
      </c>
    </row>
    <row r="477" spans="1:7">
      <c r="A477" s="149" t="str">
        <f>IF('Real Property'!A480=0,"",'Real Property'!A480)</f>
        <v/>
      </c>
      <c r="B477" s="147" t="str">
        <f>IF('Real Property'!B480=0,"",'Real Property'!B480)</f>
        <v/>
      </c>
      <c r="C477" s="148" t="str">
        <f>IF('Real Property'!E480=0,"",'Real Property'!E480)</f>
        <v/>
      </c>
      <c r="D477" s="149" t="str">
        <f>IF('Real Property'!I480=0,"",'Real Property'!I480)</f>
        <v/>
      </c>
      <c r="E477" s="150" t="str">
        <f>IFERROR(IF('Real Property'!AF480=0,"",'Real Property'!AF480),"")</f>
        <v/>
      </c>
      <c r="F477" s="150" t="str">
        <f>IFERROR(IF('Real Property'!AH480=0,"",'Real Property'!AH480),"")</f>
        <v/>
      </c>
      <c r="G477" s="156" t="str">
        <f>IF('Real Property'!AI480=0,"",'Real Property'!AI480)</f>
        <v/>
      </c>
    </row>
    <row r="478" spans="1:7">
      <c r="A478" s="149" t="str">
        <f>IF('Real Property'!A481=0,"",'Real Property'!A481)</f>
        <v/>
      </c>
      <c r="B478" s="147" t="str">
        <f>IF('Real Property'!B481=0,"",'Real Property'!B481)</f>
        <v/>
      </c>
      <c r="C478" s="148" t="str">
        <f>IF('Real Property'!E481=0,"",'Real Property'!E481)</f>
        <v/>
      </c>
      <c r="D478" s="149" t="str">
        <f>IF('Real Property'!I481=0,"",'Real Property'!I481)</f>
        <v/>
      </c>
      <c r="E478" s="150" t="str">
        <f>IFERROR(IF('Real Property'!AF481=0,"",'Real Property'!AF481),"")</f>
        <v/>
      </c>
      <c r="F478" s="150" t="str">
        <f>IFERROR(IF('Real Property'!AH481=0,"",'Real Property'!AH481),"")</f>
        <v/>
      </c>
      <c r="G478" s="156" t="str">
        <f>IF('Real Property'!AI481=0,"",'Real Property'!AI481)</f>
        <v/>
      </c>
    </row>
    <row r="479" spans="1:7">
      <c r="A479" s="149" t="str">
        <f>IF('Real Property'!A482=0,"",'Real Property'!A482)</f>
        <v/>
      </c>
      <c r="B479" s="147" t="str">
        <f>IF('Real Property'!B482=0,"",'Real Property'!B482)</f>
        <v/>
      </c>
      <c r="C479" s="148" t="str">
        <f>IF('Real Property'!E482=0,"",'Real Property'!E482)</f>
        <v/>
      </c>
      <c r="D479" s="149" t="str">
        <f>IF('Real Property'!I482=0,"",'Real Property'!I482)</f>
        <v/>
      </c>
      <c r="E479" s="150" t="str">
        <f>IFERROR(IF('Real Property'!AF482=0,"",'Real Property'!AF482),"")</f>
        <v/>
      </c>
      <c r="F479" s="150" t="str">
        <f>IFERROR(IF('Real Property'!AH482=0,"",'Real Property'!AH482),"")</f>
        <v/>
      </c>
      <c r="G479" s="156" t="str">
        <f>IF('Real Property'!AI482=0,"",'Real Property'!AI482)</f>
        <v/>
      </c>
    </row>
    <row r="480" spans="1:7">
      <c r="A480" s="149" t="str">
        <f>IF('Real Property'!A483=0,"",'Real Property'!A483)</f>
        <v/>
      </c>
      <c r="B480" s="147" t="str">
        <f>IF('Real Property'!B483=0,"",'Real Property'!B483)</f>
        <v/>
      </c>
      <c r="C480" s="148" t="str">
        <f>IF('Real Property'!E483=0,"",'Real Property'!E483)</f>
        <v/>
      </c>
      <c r="D480" s="149" t="str">
        <f>IF('Real Property'!I483=0,"",'Real Property'!I483)</f>
        <v/>
      </c>
      <c r="E480" s="150" t="str">
        <f>IFERROR(IF('Real Property'!AF483=0,"",'Real Property'!AF483),"")</f>
        <v/>
      </c>
      <c r="F480" s="150" t="str">
        <f>IFERROR(IF('Real Property'!AH483=0,"",'Real Property'!AH483),"")</f>
        <v/>
      </c>
      <c r="G480" s="156" t="str">
        <f>IF('Real Property'!AI483=0,"",'Real Property'!AI483)</f>
        <v/>
      </c>
    </row>
    <row r="481" spans="1:7">
      <c r="A481" s="149" t="str">
        <f>IF('Real Property'!A484=0,"",'Real Property'!A484)</f>
        <v/>
      </c>
      <c r="B481" s="147" t="str">
        <f>IF('Real Property'!B484=0,"",'Real Property'!B484)</f>
        <v/>
      </c>
      <c r="C481" s="148" t="str">
        <f>IF('Real Property'!E484=0,"",'Real Property'!E484)</f>
        <v/>
      </c>
      <c r="D481" s="149" t="str">
        <f>IF('Real Property'!I484=0,"",'Real Property'!I484)</f>
        <v/>
      </c>
      <c r="E481" s="150" t="str">
        <f>IFERROR(IF('Real Property'!AF484=0,"",'Real Property'!AF484),"")</f>
        <v/>
      </c>
      <c r="F481" s="150" t="str">
        <f>IFERROR(IF('Real Property'!AH484=0,"",'Real Property'!AH484),"")</f>
        <v/>
      </c>
      <c r="G481" s="156" t="str">
        <f>IF('Real Property'!AI484=0,"",'Real Property'!AI484)</f>
        <v/>
      </c>
    </row>
    <row r="482" spans="1:7">
      <c r="A482" s="149" t="str">
        <f>IF('Real Property'!A485=0,"",'Real Property'!A485)</f>
        <v/>
      </c>
      <c r="B482" s="147" t="str">
        <f>IF('Real Property'!B485=0,"",'Real Property'!B485)</f>
        <v/>
      </c>
      <c r="C482" s="148" t="str">
        <f>IF('Real Property'!E485=0,"",'Real Property'!E485)</f>
        <v/>
      </c>
      <c r="D482" s="149" t="str">
        <f>IF('Real Property'!I485=0,"",'Real Property'!I485)</f>
        <v/>
      </c>
      <c r="E482" s="150" t="str">
        <f>IFERROR(IF('Real Property'!AF485=0,"",'Real Property'!AF485),"")</f>
        <v/>
      </c>
      <c r="F482" s="150" t="str">
        <f>IFERROR(IF('Real Property'!AH485=0,"",'Real Property'!AH485),"")</f>
        <v/>
      </c>
      <c r="G482" s="156" t="str">
        <f>IF('Real Property'!AI485=0,"",'Real Property'!AI485)</f>
        <v/>
      </c>
    </row>
    <row r="483" spans="1:7">
      <c r="A483" s="149" t="str">
        <f>IF('Real Property'!A486=0,"",'Real Property'!A486)</f>
        <v/>
      </c>
      <c r="B483" s="147" t="str">
        <f>IF('Real Property'!B486=0,"",'Real Property'!B486)</f>
        <v/>
      </c>
      <c r="C483" s="148" t="str">
        <f>IF('Real Property'!E486=0,"",'Real Property'!E486)</f>
        <v/>
      </c>
      <c r="D483" s="149" t="str">
        <f>IF('Real Property'!I486=0,"",'Real Property'!I486)</f>
        <v/>
      </c>
      <c r="E483" s="150" t="str">
        <f>IFERROR(IF('Real Property'!AF486=0,"",'Real Property'!AF486),"")</f>
        <v/>
      </c>
      <c r="F483" s="150" t="str">
        <f>IFERROR(IF('Real Property'!AH486=0,"",'Real Property'!AH486),"")</f>
        <v/>
      </c>
      <c r="G483" s="156" t="str">
        <f>IF('Real Property'!AI486=0,"",'Real Property'!AI486)</f>
        <v/>
      </c>
    </row>
    <row r="484" spans="1:7">
      <c r="A484" s="149" t="str">
        <f>IF('Real Property'!A487=0,"",'Real Property'!A487)</f>
        <v/>
      </c>
      <c r="B484" s="147" t="str">
        <f>IF('Real Property'!B487=0,"",'Real Property'!B487)</f>
        <v/>
      </c>
      <c r="C484" s="148" t="str">
        <f>IF('Real Property'!E487=0,"",'Real Property'!E487)</f>
        <v/>
      </c>
      <c r="D484" s="149" t="str">
        <f>IF('Real Property'!I487=0,"",'Real Property'!I487)</f>
        <v/>
      </c>
      <c r="E484" s="150" t="str">
        <f>IFERROR(IF('Real Property'!AF487=0,"",'Real Property'!AF487),"")</f>
        <v/>
      </c>
      <c r="F484" s="150" t="str">
        <f>IFERROR(IF('Real Property'!AH487=0,"",'Real Property'!AH487),"")</f>
        <v/>
      </c>
      <c r="G484" s="156" t="str">
        <f>IF('Real Property'!AI487=0,"",'Real Property'!AI487)</f>
        <v/>
      </c>
    </row>
    <row r="485" spans="1:7">
      <c r="A485" s="149" t="str">
        <f>IF('Real Property'!A488=0,"",'Real Property'!A488)</f>
        <v/>
      </c>
      <c r="B485" s="147" t="str">
        <f>IF('Real Property'!B488=0,"",'Real Property'!B488)</f>
        <v/>
      </c>
      <c r="C485" s="148" t="str">
        <f>IF('Real Property'!E488=0,"",'Real Property'!E488)</f>
        <v/>
      </c>
      <c r="D485" s="149" t="str">
        <f>IF('Real Property'!I488=0,"",'Real Property'!I488)</f>
        <v/>
      </c>
      <c r="E485" s="150" t="str">
        <f>IFERROR(IF('Real Property'!AF488=0,"",'Real Property'!AF488),"")</f>
        <v/>
      </c>
      <c r="F485" s="150" t="str">
        <f>IFERROR(IF('Real Property'!AH488=0,"",'Real Property'!AH488),"")</f>
        <v/>
      </c>
      <c r="G485" s="156" t="str">
        <f>IF('Real Property'!AI488=0,"",'Real Property'!AI488)</f>
        <v/>
      </c>
    </row>
    <row r="486" spans="1:7">
      <c r="A486" s="149" t="str">
        <f>IF('Real Property'!A489=0,"",'Real Property'!A489)</f>
        <v/>
      </c>
      <c r="B486" s="147" t="str">
        <f>IF('Real Property'!B489=0,"",'Real Property'!B489)</f>
        <v/>
      </c>
      <c r="C486" s="148" t="str">
        <f>IF('Real Property'!E489=0,"",'Real Property'!E489)</f>
        <v/>
      </c>
      <c r="D486" s="149" t="str">
        <f>IF('Real Property'!I489=0,"",'Real Property'!I489)</f>
        <v/>
      </c>
      <c r="E486" s="150" t="str">
        <f>IFERROR(IF('Real Property'!AF489=0,"",'Real Property'!AF489),"")</f>
        <v/>
      </c>
      <c r="F486" s="150" t="str">
        <f>IFERROR(IF('Real Property'!AH489=0,"",'Real Property'!AH489),"")</f>
        <v/>
      </c>
      <c r="G486" s="156" t="str">
        <f>IF('Real Property'!AI489=0,"",'Real Property'!AI489)</f>
        <v/>
      </c>
    </row>
    <row r="487" spans="1:7">
      <c r="A487" s="149" t="str">
        <f>IF('Real Property'!A490=0,"",'Real Property'!A490)</f>
        <v/>
      </c>
      <c r="B487" s="147" t="str">
        <f>IF('Real Property'!B490=0,"",'Real Property'!B490)</f>
        <v/>
      </c>
      <c r="C487" s="148" t="str">
        <f>IF('Real Property'!E490=0,"",'Real Property'!E490)</f>
        <v/>
      </c>
      <c r="D487" s="149" t="str">
        <f>IF('Real Property'!I490=0,"",'Real Property'!I490)</f>
        <v/>
      </c>
      <c r="E487" s="150" t="str">
        <f>IFERROR(IF('Real Property'!AF490=0,"",'Real Property'!AF490),"")</f>
        <v/>
      </c>
      <c r="F487" s="150" t="str">
        <f>IFERROR(IF('Real Property'!AH490=0,"",'Real Property'!AH490),"")</f>
        <v/>
      </c>
      <c r="G487" s="156" t="str">
        <f>IF('Real Property'!AI490=0,"",'Real Property'!AI490)</f>
        <v/>
      </c>
    </row>
    <row r="488" spans="1:7">
      <c r="A488" s="149" t="str">
        <f>IF('Real Property'!A491=0,"",'Real Property'!A491)</f>
        <v/>
      </c>
      <c r="B488" s="147" t="str">
        <f>IF('Real Property'!B491=0,"",'Real Property'!B491)</f>
        <v/>
      </c>
      <c r="C488" s="148" t="str">
        <f>IF('Real Property'!E491=0,"",'Real Property'!E491)</f>
        <v/>
      </c>
      <c r="D488" s="149" t="str">
        <f>IF('Real Property'!I491=0,"",'Real Property'!I491)</f>
        <v/>
      </c>
      <c r="E488" s="150" t="str">
        <f>IFERROR(IF('Real Property'!AF491=0,"",'Real Property'!AF491),"")</f>
        <v/>
      </c>
      <c r="F488" s="150" t="str">
        <f>IFERROR(IF('Real Property'!AH491=0,"",'Real Property'!AH491),"")</f>
        <v/>
      </c>
      <c r="G488" s="156" t="str">
        <f>IF('Real Property'!AI491=0,"",'Real Property'!AI491)</f>
        <v/>
      </c>
    </row>
    <row r="489" spans="1:7">
      <c r="A489" s="149" t="str">
        <f>IF('Real Property'!A492=0,"",'Real Property'!A492)</f>
        <v/>
      </c>
      <c r="B489" s="147" t="str">
        <f>IF('Real Property'!B492=0,"",'Real Property'!B492)</f>
        <v/>
      </c>
      <c r="C489" s="148" t="str">
        <f>IF('Real Property'!E492=0,"",'Real Property'!E492)</f>
        <v/>
      </c>
      <c r="D489" s="149" t="str">
        <f>IF('Real Property'!I492=0,"",'Real Property'!I492)</f>
        <v/>
      </c>
      <c r="E489" s="150" t="str">
        <f>IFERROR(IF('Real Property'!AF492=0,"",'Real Property'!AF492),"")</f>
        <v/>
      </c>
      <c r="F489" s="150" t="str">
        <f>IFERROR(IF('Real Property'!AH492=0,"",'Real Property'!AH492),"")</f>
        <v/>
      </c>
      <c r="G489" s="156" t="str">
        <f>IF('Real Property'!AI492=0,"",'Real Property'!AI492)</f>
        <v/>
      </c>
    </row>
    <row r="490" spans="1:7">
      <c r="A490" s="149" t="str">
        <f>IF('Real Property'!A493=0,"",'Real Property'!A493)</f>
        <v/>
      </c>
      <c r="B490" s="147" t="str">
        <f>IF('Real Property'!B493=0,"",'Real Property'!B493)</f>
        <v/>
      </c>
      <c r="C490" s="148" t="str">
        <f>IF('Real Property'!E493=0,"",'Real Property'!E493)</f>
        <v/>
      </c>
      <c r="D490" s="149" t="str">
        <f>IF('Real Property'!I493=0,"",'Real Property'!I493)</f>
        <v/>
      </c>
      <c r="E490" s="150" t="str">
        <f>IFERROR(IF('Real Property'!AF493=0,"",'Real Property'!AF493),"")</f>
        <v/>
      </c>
      <c r="F490" s="150" t="str">
        <f>IFERROR(IF('Real Property'!AH493=0,"",'Real Property'!AH493),"")</f>
        <v/>
      </c>
      <c r="G490" s="156" t="str">
        <f>IF('Real Property'!AI493=0,"",'Real Property'!AI493)</f>
        <v/>
      </c>
    </row>
    <row r="491" spans="1:7">
      <c r="A491" s="149" t="str">
        <f>IF('Real Property'!A494=0,"",'Real Property'!A494)</f>
        <v/>
      </c>
      <c r="B491" s="147" t="str">
        <f>IF('Real Property'!B494=0,"",'Real Property'!B494)</f>
        <v/>
      </c>
      <c r="C491" s="148" t="str">
        <f>IF('Real Property'!E494=0,"",'Real Property'!E494)</f>
        <v/>
      </c>
      <c r="D491" s="149" t="str">
        <f>IF('Real Property'!I494=0,"",'Real Property'!I494)</f>
        <v/>
      </c>
      <c r="E491" s="150" t="str">
        <f>IFERROR(IF('Real Property'!AF494=0,"",'Real Property'!AF494),"")</f>
        <v/>
      </c>
      <c r="F491" s="150" t="str">
        <f>IFERROR(IF('Real Property'!AH494=0,"",'Real Property'!AH494),"")</f>
        <v/>
      </c>
      <c r="G491" s="156" t="str">
        <f>IF('Real Property'!AI494=0,"",'Real Property'!AI494)</f>
        <v/>
      </c>
    </row>
    <row r="492" spans="1:7">
      <c r="A492" s="149" t="str">
        <f>IF('Real Property'!A495=0,"",'Real Property'!A495)</f>
        <v/>
      </c>
      <c r="B492" s="147" t="str">
        <f>IF('Real Property'!B495=0,"",'Real Property'!B495)</f>
        <v/>
      </c>
      <c r="C492" s="148" t="str">
        <f>IF('Real Property'!E495=0,"",'Real Property'!E495)</f>
        <v/>
      </c>
      <c r="D492" s="149" t="str">
        <f>IF('Real Property'!I495=0,"",'Real Property'!I495)</f>
        <v/>
      </c>
      <c r="E492" s="150" t="str">
        <f>IFERROR(IF('Real Property'!AF495=0,"",'Real Property'!AF495),"")</f>
        <v/>
      </c>
      <c r="F492" s="150" t="str">
        <f>IFERROR(IF('Real Property'!AH495=0,"",'Real Property'!AH495),"")</f>
        <v/>
      </c>
      <c r="G492" s="156" t="str">
        <f>IF('Real Property'!AI495=0,"",'Real Property'!AI495)</f>
        <v/>
      </c>
    </row>
    <row r="493" spans="1:7">
      <c r="A493" s="149" t="str">
        <f>IF('Real Property'!A496=0,"",'Real Property'!A496)</f>
        <v/>
      </c>
      <c r="B493" s="147" t="str">
        <f>IF('Real Property'!B496=0,"",'Real Property'!B496)</f>
        <v/>
      </c>
      <c r="C493" s="148" t="str">
        <f>IF('Real Property'!E496=0,"",'Real Property'!E496)</f>
        <v/>
      </c>
      <c r="D493" s="149" t="str">
        <f>IF('Real Property'!I496=0,"",'Real Property'!I496)</f>
        <v/>
      </c>
      <c r="E493" s="150" t="str">
        <f>IFERROR(IF('Real Property'!AF496=0,"",'Real Property'!AF496),"")</f>
        <v/>
      </c>
      <c r="F493" s="150" t="str">
        <f>IFERROR(IF('Real Property'!AH496=0,"",'Real Property'!AH496),"")</f>
        <v/>
      </c>
      <c r="G493" s="156" t="str">
        <f>IF('Real Property'!AI496=0,"",'Real Property'!AI496)</f>
        <v/>
      </c>
    </row>
    <row r="494" spans="1:7">
      <c r="A494" s="149" t="str">
        <f>IF('Real Property'!A497=0,"",'Real Property'!A497)</f>
        <v/>
      </c>
      <c r="B494" s="147" t="str">
        <f>IF('Real Property'!B497=0,"",'Real Property'!B497)</f>
        <v/>
      </c>
      <c r="C494" s="148" t="str">
        <f>IF('Real Property'!E497=0,"",'Real Property'!E497)</f>
        <v/>
      </c>
      <c r="D494" s="149" t="str">
        <f>IF('Real Property'!I497=0,"",'Real Property'!I497)</f>
        <v/>
      </c>
      <c r="E494" s="150" t="str">
        <f>IFERROR(IF('Real Property'!AF497=0,"",'Real Property'!AF497),"")</f>
        <v/>
      </c>
      <c r="F494" s="150" t="str">
        <f>IFERROR(IF('Real Property'!AH497=0,"",'Real Property'!AH497),"")</f>
        <v/>
      </c>
      <c r="G494" s="156" t="str">
        <f>IF('Real Property'!AI497=0,"",'Real Property'!AI497)</f>
        <v/>
      </c>
    </row>
    <row r="495" spans="1:7">
      <c r="A495" s="149" t="str">
        <f>IF('Real Property'!A498=0,"",'Real Property'!A498)</f>
        <v/>
      </c>
      <c r="B495" s="147" t="str">
        <f>IF('Real Property'!B498=0,"",'Real Property'!B498)</f>
        <v/>
      </c>
      <c r="C495" s="148" t="str">
        <f>IF('Real Property'!E498=0,"",'Real Property'!E498)</f>
        <v/>
      </c>
      <c r="D495" s="149" t="str">
        <f>IF('Real Property'!I498=0,"",'Real Property'!I498)</f>
        <v/>
      </c>
      <c r="E495" s="150" t="str">
        <f>IFERROR(IF('Real Property'!AF498=0,"",'Real Property'!AF498),"")</f>
        <v/>
      </c>
      <c r="F495" s="150" t="str">
        <f>IFERROR(IF('Real Property'!AH498=0,"",'Real Property'!AH498),"")</f>
        <v/>
      </c>
      <c r="G495" s="156" t="str">
        <f>IF('Real Property'!AI498=0,"",'Real Property'!AI498)</f>
        <v/>
      </c>
    </row>
    <row r="496" spans="1:7">
      <c r="A496" s="149" t="str">
        <f>IF('Real Property'!A499=0,"",'Real Property'!A499)</f>
        <v/>
      </c>
      <c r="B496" s="147" t="str">
        <f>IF('Real Property'!B499=0,"",'Real Property'!B499)</f>
        <v/>
      </c>
      <c r="C496" s="148" t="str">
        <f>IF('Real Property'!E499=0,"",'Real Property'!E499)</f>
        <v/>
      </c>
      <c r="D496" s="149" t="str">
        <f>IF('Real Property'!I499=0,"",'Real Property'!I499)</f>
        <v/>
      </c>
      <c r="E496" s="150" t="str">
        <f>IFERROR(IF('Real Property'!AF499=0,"",'Real Property'!AF499),"")</f>
        <v/>
      </c>
      <c r="F496" s="150" t="str">
        <f>IFERROR(IF('Real Property'!AH499=0,"",'Real Property'!AH499),"")</f>
        <v/>
      </c>
      <c r="G496" s="156" t="str">
        <f>IF('Real Property'!AI499=0,"",'Real Property'!AI499)</f>
        <v/>
      </c>
    </row>
    <row r="497" spans="1:7">
      <c r="A497" s="149" t="str">
        <f>IF('Real Property'!A500=0,"",'Real Property'!A500)</f>
        <v/>
      </c>
      <c r="B497" s="147" t="str">
        <f>IF('Real Property'!B500=0,"",'Real Property'!B500)</f>
        <v/>
      </c>
      <c r="C497" s="148" t="str">
        <f>IF('Real Property'!E500=0,"",'Real Property'!E500)</f>
        <v/>
      </c>
      <c r="D497" s="149" t="str">
        <f>IF('Real Property'!I500=0,"",'Real Property'!I500)</f>
        <v/>
      </c>
      <c r="E497" s="150" t="str">
        <f>IFERROR(IF('Real Property'!AF500=0,"",'Real Property'!AF500),"")</f>
        <v/>
      </c>
      <c r="F497" s="150" t="str">
        <f>IFERROR(IF('Real Property'!AH500=0,"",'Real Property'!AH500),"")</f>
        <v/>
      </c>
      <c r="G497" s="156" t="str">
        <f>IF('Real Property'!AI500=0,"",'Real Property'!AI500)</f>
        <v/>
      </c>
    </row>
    <row r="498" spans="1:7">
      <c r="A498" s="149" t="str">
        <f>IF('Real Property'!A501=0,"",'Real Property'!A501)</f>
        <v/>
      </c>
      <c r="B498" s="147" t="str">
        <f>IF('Real Property'!B501=0,"",'Real Property'!B501)</f>
        <v/>
      </c>
      <c r="C498" s="148" t="str">
        <f>IF('Real Property'!E501=0,"",'Real Property'!E501)</f>
        <v/>
      </c>
      <c r="D498" s="149" t="str">
        <f>IF('Real Property'!I501=0,"",'Real Property'!I501)</f>
        <v/>
      </c>
      <c r="E498" s="150" t="str">
        <f>IFERROR(IF('Real Property'!AF501=0,"",'Real Property'!AF501),"")</f>
        <v/>
      </c>
      <c r="F498" s="150" t="str">
        <f>IFERROR(IF('Real Property'!AH501=0,"",'Real Property'!AH501),"")</f>
        <v/>
      </c>
      <c r="G498" s="156" t="str">
        <f>IF('Real Property'!AI501=0,"",'Real Property'!AI501)</f>
        <v/>
      </c>
    </row>
    <row r="499" spans="1:7">
      <c r="A499" s="149" t="str">
        <f>IF('Real Property'!A502=0,"",'Real Property'!A502)</f>
        <v/>
      </c>
      <c r="B499" s="147" t="str">
        <f>IF('Real Property'!B502=0,"",'Real Property'!B502)</f>
        <v/>
      </c>
      <c r="C499" s="148" t="str">
        <f>IF('Real Property'!E502=0,"",'Real Property'!E502)</f>
        <v/>
      </c>
      <c r="D499" s="149" t="str">
        <f>IF('Real Property'!I502=0,"",'Real Property'!I502)</f>
        <v/>
      </c>
      <c r="E499" s="150" t="str">
        <f>IFERROR(IF('Real Property'!AF502=0,"",'Real Property'!AF502),"")</f>
        <v/>
      </c>
      <c r="F499" s="150" t="str">
        <f>IFERROR(IF('Real Property'!AH502=0,"",'Real Property'!AH502),"")</f>
        <v/>
      </c>
      <c r="G499" s="156" t="str">
        <f>IF('Real Property'!AI502=0,"",'Real Property'!AI502)</f>
        <v/>
      </c>
    </row>
    <row r="500" spans="1:7">
      <c r="A500" s="149" t="str">
        <f>IF('Real Property'!A503=0,"",'Real Property'!A503)</f>
        <v/>
      </c>
      <c r="B500" s="147" t="str">
        <f>IF('Real Property'!B503=0,"",'Real Property'!B503)</f>
        <v/>
      </c>
      <c r="C500" s="148" t="str">
        <f>IF('Real Property'!E503=0,"",'Real Property'!E503)</f>
        <v/>
      </c>
      <c r="D500" s="149" t="str">
        <f>IF('Real Property'!I503=0,"",'Real Property'!I503)</f>
        <v/>
      </c>
      <c r="E500" s="150" t="str">
        <f>IFERROR(IF('Real Property'!AF503=0,"",'Real Property'!AF503),"")</f>
        <v/>
      </c>
      <c r="F500" s="150" t="str">
        <f>IFERROR(IF('Real Property'!AH503=0,"",'Real Property'!AH503),"")</f>
        <v/>
      </c>
      <c r="G500" s="156" t="str">
        <f>IF('Real Property'!AI503=0,"",'Real Property'!AI503)</f>
        <v/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4CC62-D6E6-9145-8464-5892F5C2908B}">
  <sheetPr codeName="Sheet15"/>
  <dimension ref="A1:G500"/>
  <sheetViews>
    <sheetView showGridLines="0" workbookViewId="0">
      <selection activeCell="K36" sqref="K36"/>
    </sheetView>
  </sheetViews>
  <sheetFormatPr defaultColWidth="11.5" defaultRowHeight="13.8"/>
  <cols>
    <col min="1" max="1" width="11.796875" style="147" customWidth="1"/>
    <col min="2" max="2" width="20.19921875" style="147" customWidth="1"/>
    <col min="3" max="3" width="71.69921875" style="148" customWidth="1"/>
    <col min="4" max="4" width="13" style="149" customWidth="1"/>
    <col min="5" max="6" width="12.796875" style="150" customWidth="1"/>
    <col min="7" max="7" width="14" style="147" customWidth="1"/>
    <col min="8" max="16384" width="11.5" style="128"/>
  </cols>
  <sheetData>
    <row r="1" spans="1:7" ht="15.6">
      <c r="A1" s="146" t="str">
        <f>'Client Summary'!G29&amp;" Years Property Summary"</f>
        <v>15 Years Property Summary</v>
      </c>
    </row>
    <row r="2" spans="1:7" ht="15.6">
      <c r="A2" s="146" t="str">
        <f>LEFT('Client Summary'!G12,FIND(",",'Client Summary'!G12)-1)</f>
        <v>861 E 800 S</v>
      </c>
    </row>
    <row r="4" spans="1:7">
      <c r="A4" s="151" t="s">
        <v>275</v>
      </c>
    </row>
    <row r="5" spans="1:7" s="155" customFormat="1" ht="14.4" thickBot="1">
      <c r="A5" s="152" t="s">
        <v>270</v>
      </c>
      <c r="B5" s="152" t="s">
        <v>271</v>
      </c>
      <c r="C5" s="153" t="s">
        <v>272</v>
      </c>
      <c r="D5" s="152" t="s">
        <v>273</v>
      </c>
      <c r="E5" s="154" t="s">
        <v>268</v>
      </c>
      <c r="F5" s="154" t="s">
        <v>266</v>
      </c>
      <c r="G5" s="152" t="s">
        <v>274</v>
      </c>
    </row>
    <row r="6" spans="1:7">
      <c r="A6" s="149" t="str">
        <f>IF('15 yr'!A9=0,"",'15 yr'!A9)</f>
        <v/>
      </c>
      <c r="B6" s="147" t="str">
        <f>IF('15 yr'!B9=0,"",'15 yr'!B9)</f>
        <v/>
      </c>
      <c r="C6" s="148" t="str">
        <f>IF('15 yr'!E9=0,"",'15 yr'!E9)</f>
        <v/>
      </c>
      <c r="D6" s="149" t="str">
        <f>IF('15 yr'!I9=0,"",'15 yr'!I9)</f>
        <v/>
      </c>
      <c r="E6" s="150" t="str">
        <f>IFERROR(IF('15 yr'!AF9=0,"",'15 yr'!AF9),"")</f>
        <v/>
      </c>
      <c r="F6" s="150" t="str">
        <f>IFERROR(IF('15 yr'!AH9=0,"",'15 yr'!AH9),"")</f>
        <v/>
      </c>
      <c r="G6" s="156" t="str">
        <f>IFERROR(IF('15 yr'!AI9=0,"",'15 yr'!AI9),"")</f>
        <v/>
      </c>
    </row>
    <row r="7" spans="1:7">
      <c r="A7" s="149" t="str">
        <f>IF('15 yr'!A10=0,"",'15 yr'!A10)</f>
        <v/>
      </c>
      <c r="B7" s="147" t="str">
        <f>IF('15 yr'!B10=0,"",'15 yr'!B10)</f>
        <v/>
      </c>
      <c r="C7" s="148" t="str">
        <f>IF('15 yr'!E10=0,"",'15 yr'!E10)</f>
        <v/>
      </c>
      <c r="D7" s="149" t="str">
        <f>IF('15 yr'!I10=0,"",'15 yr'!I10)</f>
        <v/>
      </c>
      <c r="E7" s="150" t="str">
        <f>IFERROR(IF('15 yr'!AF10=0,"",'15 yr'!AF10),"")</f>
        <v/>
      </c>
      <c r="F7" s="150" t="str">
        <f>IFERROR(IF('15 yr'!AH10=0,"",'15 yr'!AH10),"")</f>
        <v/>
      </c>
      <c r="G7" s="156" t="str">
        <f>IFERROR(IF('15 yr'!AI10=0,"",'15 yr'!AI10),"")</f>
        <v/>
      </c>
    </row>
    <row r="8" spans="1:7">
      <c r="A8" s="149" t="str">
        <f>IF('15 yr'!A11=0,"",'15 yr'!A11)</f>
        <v/>
      </c>
      <c r="B8" s="147" t="str">
        <f>IF('15 yr'!B11=0,"",'15 yr'!B11)</f>
        <v/>
      </c>
      <c r="C8" s="148" t="str">
        <f>IF('15 yr'!E11=0,"",'15 yr'!E11)</f>
        <v/>
      </c>
      <c r="D8" s="149" t="str">
        <f>IF('15 yr'!I11=0,"",'15 yr'!I11)</f>
        <v/>
      </c>
      <c r="E8" s="150" t="str">
        <f>IFERROR(IF('15 yr'!AF11=0,"",'15 yr'!AF11),"")</f>
        <v/>
      </c>
      <c r="F8" s="150" t="str">
        <f>IFERROR(IF('15 yr'!AH11=0,"",'15 yr'!AH11),"")</f>
        <v/>
      </c>
      <c r="G8" s="156" t="str">
        <f>IFERROR(IF('15 yr'!AI11=0,"",'15 yr'!AI11),"")</f>
        <v/>
      </c>
    </row>
    <row r="9" spans="1:7">
      <c r="A9" s="149" t="str">
        <f>IF('15 yr'!A12=0,"",'15 yr'!A12)</f>
        <v/>
      </c>
      <c r="B9" s="147" t="str">
        <f>IF('15 yr'!B12=0,"",'15 yr'!B12)</f>
        <v/>
      </c>
      <c r="C9" s="148" t="str">
        <f>IF('15 yr'!E12=0,"",'15 yr'!E12)</f>
        <v/>
      </c>
      <c r="D9" s="149" t="str">
        <f>IF('15 yr'!I12=0,"",'15 yr'!I12)</f>
        <v/>
      </c>
      <c r="E9" s="150" t="str">
        <f>IFERROR(IF('15 yr'!AF12=0,"",'15 yr'!AF12),"")</f>
        <v/>
      </c>
      <c r="F9" s="150" t="str">
        <f>IFERROR(IF('15 yr'!AH12=0,"",'15 yr'!AH12),"")</f>
        <v/>
      </c>
      <c r="G9" s="156" t="str">
        <f>IFERROR(IF('15 yr'!AI12=0,"",'15 yr'!AI12),"")</f>
        <v/>
      </c>
    </row>
    <row r="10" spans="1:7">
      <c r="A10" s="149" t="str">
        <f>IF('15 yr'!A13=0,"",'15 yr'!A13)</f>
        <v/>
      </c>
      <c r="B10" s="147" t="str">
        <f>IF('15 yr'!B13=0,"",'15 yr'!B13)</f>
        <v/>
      </c>
      <c r="C10" s="148" t="str">
        <f>IF('15 yr'!E13=0,"",'15 yr'!E13)</f>
        <v/>
      </c>
      <c r="D10" s="149" t="str">
        <f>IF('15 yr'!I13=0,"",'15 yr'!I13)</f>
        <v/>
      </c>
      <c r="E10" s="150" t="str">
        <f>IFERROR(IF('15 yr'!AF13=0,"",'15 yr'!AF13),"")</f>
        <v/>
      </c>
      <c r="F10" s="150" t="str">
        <f>IFERROR(IF('15 yr'!AH13=0,"",'15 yr'!AH13),"")</f>
        <v/>
      </c>
      <c r="G10" s="156" t="str">
        <f>IFERROR(IF('15 yr'!AI13=0,"",'15 yr'!AI13),"")</f>
        <v/>
      </c>
    </row>
    <row r="11" spans="1:7">
      <c r="A11" s="149" t="str">
        <f>IF('15 yr'!A14=0,"",'15 yr'!A14)</f>
        <v/>
      </c>
      <c r="B11" s="147" t="str">
        <f>IF('15 yr'!B14=0,"",'15 yr'!B14)</f>
        <v/>
      </c>
      <c r="C11" s="148" t="str">
        <f>IF('15 yr'!E14=0,"",'15 yr'!E14)</f>
        <v/>
      </c>
      <c r="D11" s="149" t="str">
        <f>IF('15 yr'!I14=0,"",'15 yr'!I14)</f>
        <v/>
      </c>
      <c r="E11" s="150" t="str">
        <f>IFERROR(IF('15 yr'!AF14=0,"",'15 yr'!AF14),"")</f>
        <v/>
      </c>
      <c r="F11" s="150" t="str">
        <f>IFERROR(IF('15 yr'!AH14=0,"",'15 yr'!AH14),"")</f>
        <v/>
      </c>
      <c r="G11" s="156" t="str">
        <f>IFERROR(IF('15 yr'!AI14=0,"",'15 yr'!AI14),"")</f>
        <v/>
      </c>
    </row>
    <row r="12" spans="1:7">
      <c r="A12" s="149" t="str">
        <f>IF('15 yr'!A15=0,"",'15 yr'!A15)</f>
        <v/>
      </c>
      <c r="B12" s="147" t="str">
        <f>IF('15 yr'!B15=0,"",'15 yr'!B15)</f>
        <v/>
      </c>
      <c r="C12" s="148" t="str">
        <f>IF('15 yr'!E15=0,"",'15 yr'!E15)</f>
        <v/>
      </c>
      <c r="D12" s="149" t="str">
        <f>IF('15 yr'!I15=0,"",'15 yr'!I15)</f>
        <v/>
      </c>
      <c r="E12" s="150" t="str">
        <f>IFERROR(IF('15 yr'!AF15=0,"",'15 yr'!AF15),"")</f>
        <v/>
      </c>
      <c r="F12" s="150" t="str">
        <f>IFERROR(IF('15 yr'!AH15=0,"",'15 yr'!AH15),"")</f>
        <v/>
      </c>
      <c r="G12" s="156" t="str">
        <f>IFERROR(IF('15 yr'!AI15=0,"",'15 yr'!AI15),"")</f>
        <v/>
      </c>
    </row>
    <row r="13" spans="1:7">
      <c r="A13" s="149" t="str">
        <f>IF('15 yr'!A16=0,"",'15 yr'!A16)</f>
        <v/>
      </c>
      <c r="B13" s="147" t="str">
        <f>IF('15 yr'!B16=0,"",'15 yr'!B16)</f>
        <v/>
      </c>
      <c r="C13" s="148" t="str">
        <f>IF('15 yr'!E16=0,"",'15 yr'!E16)</f>
        <v/>
      </c>
      <c r="D13" s="149" t="str">
        <f>IF('15 yr'!I16=0,"",'15 yr'!I16)</f>
        <v/>
      </c>
      <c r="E13" s="150" t="str">
        <f>IFERROR(IF('15 yr'!AF16=0,"",'15 yr'!AF16),"")</f>
        <v/>
      </c>
      <c r="F13" s="150" t="str">
        <f>IFERROR(IF('15 yr'!AH16=0,"",'15 yr'!AH16),"")</f>
        <v/>
      </c>
      <c r="G13" s="156" t="str">
        <f>IFERROR(IF('15 yr'!AI16=0,"",'15 yr'!AI16),"")</f>
        <v/>
      </c>
    </row>
    <row r="14" spans="1:7">
      <c r="A14" s="149" t="str">
        <f>IF('15 yr'!A17=0,"",'15 yr'!A17)</f>
        <v/>
      </c>
      <c r="B14" s="147" t="str">
        <f>IF('15 yr'!B17=0,"",'15 yr'!B17)</f>
        <v/>
      </c>
      <c r="C14" s="148" t="str">
        <f>IF('15 yr'!E17=0,"",'15 yr'!E17)</f>
        <v/>
      </c>
      <c r="D14" s="149" t="str">
        <f>IF('15 yr'!I17=0,"",'15 yr'!I17)</f>
        <v/>
      </c>
      <c r="E14" s="150" t="str">
        <f>IFERROR(IF('15 yr'!AF17=0,"",'15 yr'!AF17),"")</f>
        <v/>
      </c>
      <c r="F14" s="150" t="str">
        <f>IFERROR(IF('15 yr'!AH17=0,"",'15 yr'!AH17),"")</f>
        <v/>
      </c>
      <c r="G14" s="156" t="str">
        <f>IFERROR(IF('15 yr'!AI17=0,"",'15 yr'!AI17),"")</f>
        <v/>
      </c>
    </row>
    <row r="15" spans="1:7">
      <c r="A15" s="149" t="str">
        <f>IF('15 yr'!A18=0,"",'15 yr'!A18)</f>
        <v/>
      </c>
      <c r="B15" s="147" t="str">
        <f>IF('15 yr'!B18=0,"",'15 yr'!B18)</f>
        <v/>
      </c>
      <c r="C15" s="148" t="str">
        <f>IF('15 yr'!E18=0,"",'15 yr'!E18)</f>
        <v/>
      </c>
      <c r="D15" s="149" t="str">
        <f>IF('15 yr'!I18=0,"",'15 yr'!I18)</f>
        <v/>
      </c>
      <c r="E15" s="150" t="str">
        <f>IFERROR(IF('15 yr'!AF18=0,"",'15 yr'!AF18),"")</f>
        <v/>
      </c>
      <c r="F15" s="150" t="str">
        <f>IFERROR(IF('15 yr'!AH18=0,"",'15 yr'!AH18),"")</f>
        <v/>
      </c>
      <c r="G15" s="156" t="str">
        <f>IFERROR(IF('15 yr'!AI18=0,"",'15 yr'!AI18),"")</f>
        <v/>
      </c>
    </row>
    <row r="16" spans="1:7">
      <c r="A16" s="149" t="str">
        <f>IF('15 yr'!A19=0,"",'15 yr'!A19)</f>
        <v/>
      </c>
      <c r="B16" s="147" t="str">
        <f>IF('15 yr'!B19=0,"",'15 yr'!B19)</f>
        <v/>
      </c>
      <c r="C16" s="148" t="str">
        <f>IF('15 yr'!E19=0,"",'15 yr'!E19)</f>
        <v/>
      </c>
      <c r="D16" s="149" t="str">
        <f>IF('15 yr'!I19=0,"",'15 yr'!I19)</f>
        <v/>
      </c>
      <c r="E16" s="150" t="str">
        <f>IFERROR(IF('15 yr'!AF19=0,"",'15 yr'!AF19),"")</f>
        <v/>
      </c>
      <c r="F16" s="150" t="str">
        <f>IFERROR(IF('15 yr'!AH19=0,"",'15 yr'!AH19),"")</f>
        <v/>
      </c>
      <c r="G16" s="156" t="str">
        <f>IFERROR(IF('15 yr'!AI19=0,"",'15 yr'!AI19),"")</f>
        <v/>
      </c>
    </row>
    <row r="17" spans="1:7">
      <c r="A17" s="149" t="str">
        <f>IF('15 yr'!A20=0,"",'15 yr'!A20)</f>
        <v/>
      </c>
      <c r="B17" s="147" t="str">
        <f>IF('15 yr'!B20=0,"",'15 yr'!B20)</f>
        <v/>
      </c>
      <c r="C17" s="148" t="str">
        <f>IF('15 yr'!E20=0,"",'15 yr'!E20)</f>
        <v/>
      </c>
      <c r="D17" s="149" t="str">
        <f>IF('15 yr'!I20=0,"",'15 yr'!I20)</f>
        <v/>
      </c>
      <c r="E17" s="150" t="str">
        <f>IFERROR(IF('15 yr'!AF20=0,"",'15 yr'!AF20),"")</f>
        <v/>
      </c>
      <c r="F17" s="150" t="str">
        <f>IFERROR(IF('15 yr'!AH20=0,"",'15 yr'!AH20),"")</f>
        <v/>
      </c>
      <c r="G17" s="156" t="str">
        <f>IFERROR(IF('15 yr'!AI20=0,"",'15 yr'!AI20),"")</f>
        <v/>
      </c>
    </row>
    <row r="18" spans="1:7">
      <c r="A18" s="149" t="str">
        <f>IF('15 yr'!A21=0,"",'15 yr'!A21)</f>
        <v/>
      </c>
      <c r="B18" s="147" t="str">
        <f>IF('15 yr'!B21=0,"",'15 yr'!B21)</f>
        <v/>
      </c>
      <c r="C18" s="148" t="str">
        <f>IF('15 yr'!E21=0,"",'15 yr'!E21)</f>
        <v/>
      </c>
      <c r="D18" s="149" t="str">
        <f>IF('15 yr'!I21=0,"",'15 yr'!I21)</f>
        <v/>
      </c>
      <c r="E18" s="150" t="str">
        <f>IFERROR(IF('15 yr'!AF21=0,"",'15 yr'!AF21),"")</f>
        <v/>
      </c>
      <c r="F18" s="150" t="str">
        <f>IFERROR(IF('15 yr'!AH21=0,"",'15 yr'!AH21),"")</f>
        <v/>
      </c>
      <c r="G18" s="156" t="str">
        <f>IFERROR(IF('15 yr'!AI21=0,"",'15 yr'!AI21),"")</f>
        <v/>
      </c>
    </row>
    <row r="19" spans="1:7">
      <c r="A19" s="149" t="str">
        <f>IF('15 yr'!A22=0,"",'15 yr'!A22)</f>
        <v/>
      </c>
      <c r="B19" s="147" t="str">
        <f>IF('15 yr'!B22=0,"",'15 yr'!B22)</f>
        <v/>
      </c>
      <c r="C19" s="148" t="str">
        <f>IF('15 yr'!E22=0,"",'15 yr'!E22)</f>
        <v/>
      </c>
      <c r="D19" s="149" t="str">
        <f>IF('15 yr'!I22=0,"",'15 yr'!I22)</f>
        <v/>
      </c>
      <c r="E19" s="150" t="str">
        <f>IFERROR(IF('15 yr'!AF22=0,"",'15 yr'!AF22),"")</f>
        <v/>
      </c>
      <c r="F19" s="150" t="str">
        <f>IFERROR(IF('15 yr'!AH22=0,"",'15 yr'!AH22),"")</f>
        <v/>
      </c>
      <c r="G19" s="156" t="str">
        <f>IFERROR(IF('15 yr'!AI22=0,"",'15 yr'!AI22),"")</f>
        <v/>
      </c>
    </row>
    <row r="20" spans="1:7">
      <c r="A20" s="149" t="str">
        <f>IF('15 yr'!A23=0,"",'15 yr'!A23)</f>
        <v/>
      </c>
      <c r="B20" s="147" t="str">
        <f>IF('15 yr'!B23=0,"",'15 yr'!B23)</f>
        <v/>
      </c>
      <c r="C20" s="148" t="str">
        <f>IF('15 yr'!E23=0,"",'15 yr'!E23)</f>
        <v/>
      </c>
      <c r="D20" s="149" t="str">
        <f>IF('15 yr'!I23=0,"",'15 yr'!I23)</f>
        <v/>
      </c>
      <c r="E20" s="150" t="str">
        <f>IFERROR(IF('15 yr'!AF23=0,"",'15 yr'!AF23),"")</f>
        <v/>
      </c>
      <c r="F20" s="150" t="str">
        <f>IFERROR(IF('15 yr'!AH23=0,"",'15 yr'!AH23),"")</f>
        <v/>
      </c>
      <c r="G20" s="156" t="str">
        <f>IFERROR(IF('15 yr'!AI23=0,"",'15 yr'!AI23),"")</f>
        <v/>
      </c>
    </row>
    <row r="21" spans="1:7">
      <c r="A21" s="149" t="str">
        <f>IF('15 yr'!A24=0,"",'15 yr'!A24)</f>
        <v/>
      </c>
      <c r="B21" s="147" t="str">
        <f>IF('15 yr'!B24=0,"",'15 yr'!B24)</f>
        <v/>
      </c>
      <c r="C21" s="148" t="str">
        <f>IF('15 yr'!E24=0,"",'15 yr'!E24)</f>
        <v/>
      </c>
      <c r="D21" s="149" t="str">
        <f>IF('15 yr'!I24=0,"",'15 yr'!I24)</f>
        <v/>
      </c>
      <c r="E21" s="150" t="str">
        <f>IFERROR(IF('15 yr'!AF24=0,"",'15 yr'!AF24),"")</f>
        <v/>
      </c>
      <c r="F21" s="150" t="str">
        <f>IFERROR(IF('15 yr'!AH24=0,"",'15 yr'!AH24),"")</f>
        <v/>
      </c>
      <c r="G21" s="156" t="str">
        <f>IFERROR(IF('15 yr'!AI24=0,"",'15 yr'!AI24),"")</f>
        <v/>
      </c>
    </row>
    <row r="22" spans="1:7">
      <c r="A22" s="149" t="str">
        <f>IF('15 yr'!A25=0,"",'15 yr'!A25)</f>
        <v/>
      </c>
      <c r="B22" s="147" t="str">
        <f>IF('15 yr'!B25=0,"",'15 yr'!B25)</f>
        <v/>
      </c>
      <c r="C22" s="148" t="str">
        <f>IF('15 yr'!E25=0,"",'15 yr'!E25)</f>
        <v/>
      </c>
      <c r="D22" s="149" t="str">
        <f>IF('15 yr'!I25=0,"",'15 yr'!I25)</f>
        <v/>
      </c>
      <c r="E22" s="150" t="str">
        <f>IFERROR(IF('15 yr'!AF25=0,"",'15 yr'!AF25),"")</f>
        <v/>
      </c>
      <c r="F22" s="150" t="str">
        <f>IFERROR(IF('15 yr'!AH25=0,"",'15 yr'!AH25),"")</f>
        <v/>
      </c>
      <c r="G22" s="156" t="str">
        <f>IFERROR(IF('15 yr'!AI25=0,"",'15 yr'!AI25),"")</f>
        <v/>
      </c>
    </row>
    <row r="23" spans="1:7">
      <c r="A23" s="149" t="str">
        <f>IF('15 yr'!A26=0,"",'15 yr'!A26)</f>
        <v/>
      </c>
      <c r="B23" s="147" t="str">
        <f>IF('15 yr'!B26=0,"",'15 yr'!B26)</f>
        <v/>
      </c>
      <c r="C23" s="148" t="str">
        <f>IF('15 yr'!E26=0,"",'15 yr'!E26)</f>
        <v/>
      </c>
      <c r="D23" s="149" t="str">
        <f>IF('15 yr'!I26=0,"",'15 yr'!I26)</f>
        <v/>
      </c>
      <c r="E23" s="150" t="str">
        <f>IFERROR(IF('15 yr'!AF26=0,"",'15 yr'!AF26),"")</f>
        <v/>
      </c>
      <c r="F23" s="150" t="str">
        <f>IFERROR(IF('15 yr'!AH26=0,"",'15 yr'!AH26),"")</f>
        <v/>
      </c>
      <c r="G23" s="156" t="str">
        <f>IFERROR(IF('15 yr'!AI26=0,"",'15 yr'!AI26),"")</f>
        <v/>
      </c>
    </row>
    <row r="24" spans="1:7">
      <c r="A24" s="149" t="str">
        <f>IF('15 yr'!A27=0,"",'15 yr'!A27)</f>
        <v/>
      </c>
      <c r="B24" s="147" t="str">
        <f>IF('15 yr'!B27=0,"",'15 yr'!B27)</f>
        <v/>
      </c>
      <c r="C24" s="148" t="str">
        <f>IF('15 yr'!E27=0,"",'15 yr'!E27)</f>
        <v/>
      </c>
      <c r="D24" s="149" t="str">
        <f>IF('15 yr'!I27=0,"",'15 yr'!I27)</f>
        <v/>
      </c>
      <c r="E24" s="150" t="str">
        <f>IFERROR(IF('15 yr'!AF27=0,"",'15 yr'!AF27),"")</f>
        <v/>
      </c>
      <c r="F24" s="150" t="str">
        <f>IFERROR(IF('15 yr'!AH27=0,"",'15 yr'!AH27),"")</f>
        <v/>
      </c>
      <c r="G24" s="156" t="str">
        <f>IFERROR(IF('15 yr'!AI27=0,"",'15 yr'!AI27),"")</f>
        <v/>
      </c>
    </row>
    <row r="25" spans="1:7">
      <c r="A25" s="149" t="str">
        <f>IF('15 yr'!A28=0,"",'15 yr'!A28)</f>
        <v/>
      </c>
      <c r="B25" s="147" t="str">
        <f>IF('15 yr'!B28=0,"",'15 yr'!B28)</f>
        <v/>
      </c>
      <c r="C25" s="148" t="str">
        <f>IF('15 yr'!E28=0,"",'15 yr'!E28)</f>
        <v/>
      </c>
      <c r="D25" s="149" t="str">
        <f>IF('15 yr'!I28=0,"",'15 yr'!I28)</f>
        <v/>
      </c>
      <c r="E25" s="150" t="str">
        <f>IFERROR(IF('15 yr'!AF28=0,"",'15 yr'!AF28),"")</f>
        <v/>
      </c>
      <c r="F25" s="150" t="str">
        <f>IFERROR(IF('15 yr'!AH28=0,"",'15 yr'!AH28),"")</f>
        <v/>
      </c>
      <c r="G25" s="156" t="str">
        <f>IFERROR(IF('15 yr'!AI28=0,"",'15 yr'!AI28),"")</f>
        <v/>
      </c>
    </row>
    <row r="26" spans="1:7">
      <c r="A26" s="149" t="str">
        <f>IF('15 yr'!A29=0,"",'15 yr'!A29)</f>
        <v/>
      </c>
      <c r="B26" s="147" t="str">
        <f>IF('15 yr'!B29=0,"",'15 yr'!B29)</f>
        <v/>
      </c>
      <c r="C26" s="148" t="str">
        <f>IF('15 yr'!E29=0,"",'15 yr'!E29)</f>
        <v/>
      </c>
      <c r="D26" s="149" t="str">
        <f>IF('15 yr'!I29=0,"",'15 yr'!I29)</f>
        <v/>
      </c>
      <c r="E26" s="150" t="str">
        <f>IFERROR(IF('15 yr'!AF29=0,"",'15 yr'!AF29),"")</f>
        <v/>
      </c>
      <c r="F26" s="150" t="str">
        <f>IFERROR(IF('15 yr'!AH29=0,"",'15 yr'!AH29),"")</f>
        <v/>
      </c>
      <c r="G26" s="156" t="str">
        <f>IFERROR(IF('15 yr'!AI29=0,"",'15 yr'!AI29),"")</f>
        <v/>
      </c>
    </row>
    <row r="27" spans="1:7">
      <c r="A27" s="149" t="str">
        <f>IF('15 yr'!A30=0,"",'15 yr'!A30)</f>
        <v/>
      </c>
      <c r="B27" s="147" t="str">
        <f>IF('15 yr'!B30=0,"",'15 yr'!B30)</f>
        <v/>
      </c>
      <c r="C27" s="148" t="str">
        <f>IF('15 yr'!E30=0,"",'15 yr'!E30)</f>
        <v/>
      </c>
      <c r="D27" s="149" t="str">
        <f>IF('15 yr'!I30=0,"",'15 yr'!I30)</f>
        <v/>
      </c>
      <c r="E27" s="150" t="str">
        <f>IFERROR(IF('15 yr'!AF30=0,"",'15 yr'!AF30),"")</f>
        <v/>
      </c>
      <c r="F27" s="150" t="str">
        <f>IFERROR(IF('15 yr'!AH30=0,"",'15 yr'!AH30),"")</f>
        <v/>
      </c>
      <c r="G27" s="156" t="str">
        <f>IFERROR(IF('15 yr'!AI30=0,"",'15 yr'!AI30),"")</f>
        <v/>
      </c>
    </row>
    <row r="28" spans="1:7">
      <c r="A28" s="149" t="str">
        <f>IF('15 yr'!A31=0,"",'15 yr'!A31)</f>
        <v/>
      </c>
      <c r="B28" s="147" t="str">
        <f>IF('15 yr'!B31=0,"",'15 yr'!B31)</f>
        <v/>
      </c>
      <c r="C28" s="148" t="str">
        <f>IF('15 yr'!E31=0,"",'15 yr'!E31)</f>
        <v/>
      </c>
      <c r="D28" s="149" t="str">
        <f>IF('15 yr'!I31=0,"",'15 yr'!I31)</f>
        <v/>
      </c>
      <c r="E28" s="150" t="str">
        <f>IFERROR(IF('15 yr'!AF31=0,"",'15 yr'!AF31),"")</f>
        <v/>
      </c>
      <c r="F28" s="150" t="str">
        <f>IFERROR(IF('15 yr'!AH31=0,"",'15 yr'!AH31),"")</f>
        <v/>
      </c>
      <c r="G28" s="156" t="str">
        <f>IFERROR(IF('15 yr'!AI31=0,"",'15 yr'!AI31),"")</f>
        <v/>
      </c>
    </row>
    <row r="29" spans="1:7">
      <c r="A29" s="149" t="str">
        <f>IF('15 yr'!A32=0,"",'15 yr'!A32)</f>
        <v/>
      </c>
      <c r="B29" s="147" t="str">
        <f>IF('15 yr'!B32=0,"",'15 yr'!B32)</f>
        <v/>
      </c>
      <c r="C29" s="148" t="str">
        <f>IF('15 yr'!E32=0,"",'15 yr'!E32)</f>
        <v/>
      </c>
      <c r="D29" s="149" t="str">
        <f>IF('15 yr'!I32=0,"",'15 yr'!I32)</f>
        <v/>
      </c>
      <c r="E29" s="150" t="str">
        <f>IFERROR(IF('15 yr'!AF32=0,"",'15 yr'!AF32),"")</f>
        <v/>
      </c>
      <c r="F29" s="150" t="str">
        <f>IFERROR(IF('15 yr'!AH32=0,"",'15 yr'!AH32),"")</f>
        <v/>
      </c>
      <c r="G29" s="156" t="str">
        <f>IFERROR(IF('15 yr'!AI32=0,"",'15 yr'!AI32),"")</f>
        <v/>
      </c>
    </row>
    <row r="30" spans="1:7">
      <c r="A30" s="149" t="str">
        <f>IF('15 yr'!A33=0,"",'15 yr'!A33)</f>
        <v/>
      </c>
      <c r="B30" s="147" t="str">
        <f>IF('15 yr'!B33=0,"",'15 yr'!B33)</f>
        <v/>
      </c>
      <c r="C30" s="148" t="str">
        <f>IF('15 yr'!E33=0,"",'15 yr'!E33)</f>
        <v/>
      </c>
      <c r="D30" s="149" t="str">
        <f>IF('15 yr'!I33=0,"",'15 yr'!I33)</f>
        <v/>
      </c>
      <c r="E30" s="150" t="str">
        <f>IFERROR(IF('15 yr'!AF33=0,"",'15 yr'!AF33),"")</f>
        <v/>
      </c>
      <c r="F30" s="150" t="str">
        <f>IFERROR(IF('15 yr'!AH33=0,"",'15 yr'!AH33),"")</f>
        <v/>
      </c>
      <c r="G30" s="156" t="str">
        <f>IFERROR(IF('15 yr'!AI33=0,"",'15 yr'!AI33),"")</f>
        <v/>
      </c>
    </row>
    <row r="31" spans="1:7">
      <c r="A31" s="149" t="str">
        <f>IF('15 yr'!A34=0,"",'15 yr'!A34)</f>
        <v/>
      </c>
      <c r="B31" s="147" t="str">
        <f>IF('15 yr'!B34=0,"",'15 yr'!B34)</f>
        <v/>
      </c>
      <c r="C31" s="148" t="str">
        <f>IF('15 yr'!E34=0,"",'15 yr'!E34)</f>
        <v/>
      </c>
      <c r="D31" s="149" t="str">
        <f>IF('15 yr'!I34=0,"",'15 yr'!I34)</f>
        <v/>
      </c>
      <c r="E31" s="150" t="str">
        <f>IFERROR(IF('15 yr'!AF34=0,"",'15 yr'!AF34),"")</f>
        <v/>
      </c>
      <c r="F31" s="150" t="str">
        <f>IFERROR(IF('15 yr'!AH34=0,"",'15 yr'!AH34),"")</f>
        <v/>
      </c>
      <c r="G31" s="156" t="str">
        <f>IFERROR(IF('15 yr'!AI34=0,"",'15 yr'!AI34),"")</f>
        <v/>
      </c>
    </row>
    <row r="32" spans="1:7">
      <c r="A32" s="149" t="str">
        <f>IF('15 yr'!A35=0,"",'15 yr'!A35)</f>
        <v/>
      </c>
      <c r="B32" s="147" t="str">
        <f>IF('15 yr'!B35=0,"",'15 yr'!B35)</f>
        <v/>
      </c>
      <c r="C32" s="148" t="str">
        <f>IF('15 yr'!E35=0,"",'15 yr'!E35)</f>
        <v/>
      </c>
      <c r="D32" s="149" t="str">
        <f>IF('15 yr'!I35=0,"",'15 yr'!I35)</f>
        <v/>
      </c>
      <c r="E32" s="150" t="str">
        <f>IFERROR(IF('15 yr'!AF35=0,"",'15 yr'!AF35),"")</f>
        <v/>
      </c>
      <c r="F32" s="150" t="str">
        <f>IFERROR(IF('15 yr'!AH35=0,"",'15 yr'!AH35),"")</f>
        <v/>
      </c>
      <c r="G32" s="156" t="str">
        <f>IFERROR(IF('15 yr'!AI35=0,"",'15 yr'!AI35),"")</f>
        <v/>
      </c>
    </row>
    <row r="33" spans="1:7">
      <c r="A33" s="149" t="str">
        <f>IF('15 yr'!A36=0,"",'15 yr'!A36)</f>
        <v/>
      </c>
      <c r="B33" s="147" t="str">
        <f>IF('15 yr'!B36=0,"",'15 yr'!B36)</f>
        <v/>
      </c>
      <c r="C33" s="148" t="str">
        <f>IF('15 yr'!E36=0,"",'15 yr'!E36)</f>
        <v/>
      </c>
      <c r="D33" s="149" t="str">
        <f>IF('15 yr'!I36=0,"",'15 yr'!I36)</f>
        <v/>
      </c>
      <c r="E33" s="150" t="str">
        <f>IFERROR(IF('15 yr'!AF36=0,"",'15 yr'!AF36),"")</f>
        <v/>
      </c>
      <c r="F33" s="150" t="str">
        <f>IFERROR(IF('15 yr'!AH36=0,"",'15 yr'!AH36),"")</f>
        <v/>
      </c>
      <c r="G33" s="156" t="str">
        <f>IFERROR(IF('15 yr'!AI36=0,"",'15 yr'!AI36),"")</f>
        <v/>
      </c>
    </row>
    <row r="34" spans="1:7">
      <c r="A34" s="149" t="str">
        <f>IF('15 yr'!A37=0,"",'15 yr'!A37)</f>
        <v/>
      </c>
      <c r="B34" s="147" t="str">
        <f>IF('15 yr'!B37=0,"",'15 yr'!B37)</f>
        <v/>
      </c>
      <c r="C34" s="148" t="str">
        <f>IF('15 yr'!E37=0,"",'15 yr'!E37)</f>
        <v/>
      </c>
      <c r="D34" s="149" t="str">
        <f>IF('15 yr'!I37=0,"",'15 yr'!I37)</f>
        <v/>
      </c>
      <c r="E34" s="150" t="str">
        <f>IFERROR(IF('15 yr'!AF37=0,"",'15 yr'!AF37),"")</f>
        <v/>
      </c>
      <c r="F34" s="150" t="str">
        <f>IFERROR(IF('15 yr'!AH37=0,"",'15 yr'!AH37),"")</f>
        <v/>
      </c>
      <c r="G34" s="156" t="str">
        <f>IFERROR(IF('15 yr'!AI37=0,"",'15 yr'!AI37),"")</f>
        <v/>
      </c>
    </row>
    <row r="35" spans="1:7">
      <c r="A35" s="149" t="str">
        <f>IF('15 yr'!A38=0,"",'15 yr'!A38)</f>
        <v/>
      </c>
      <c r="B35" s="147" t="str">
        <f>IF('15 yr'!B38=0,"",'15 yr'!B38)</f>
        <v/>
      </c>
      <c r="C35" s="148" t="str">
        <f>IF('15 yr'!E38=0,"",'15 yr'!E38)</f>
        <v/>
      </c>
      <c r="D35" s="149" t="str">
        <f>IF('15 yr'!I38=0,"",'15 yr'!I38)</f>
        <v/>
      </c>
      <c r="E35" s="150" t="str">
        <f>IFERROR(IF('15 yr'!AF38=0,"",'15 yr'!AF38),"")</f>
        <v/>
      </c>
      <c r="F35" s="150" t="str">
        <f>IFERROR(IF('15 yr'!AH38=0,"",'15 yr'!AH38),"")</f>
        <v/>
      </c>
      <c r="G35" s="156" t="str">
        <f>IFERROR(IF('15 yr'!AI38=0,"",'15 yr'!AI38),"")</f>
        <v/>
      </c>
    </row>
    <row r="36" spans="1:7">
      <c r="A36" s="149" t="str">
        <f>IF('15 yr'!A39=0,"",'15 yr'!A39)</f>
        <v/>
      </c>
      <c r="B36" s="147" t="str">
        <f>IF('15 yr'!B39=0,"",'15 yr'!B39)</f>
        <v/>
      </c>
      <c r="C36" s="148" t="str">
        <f>IF('15 yr'!E39=0,"",'15 yr'!E39)</f>
        <v/>
      </c>
      <c r="D36" s="149" t="str">
        <f>IF('15 yr'!I39=0,"",'15 yr'!I39)</f>
        <v/>
      </c>
      <c r="E36" s="150" t="str">
        <f>IFERROR(IF('15 yr'!AF39=0,"",'15 yr'!AF39),"")</f>
        <v/>
      </c>
      <c r="F36" s="150" t="str">
        <f>IFERROR(IF('15 yr'!AH39=0,"",'15 yr'!AH39),"")</f>
        <v/>
      </c>
      <c r="G36" s="156" t="str">
        <f>IFERROR(IF('15 yr'!AI39=0,"",'15 yr'!AI39),"")</f>
        <v/>
      </c>
    </row>
    <row r="37" spans="1:7">
      <c r="A37" s="149" t="str">
        <f>IF('15 yr'!A40=0,"",'15 yr'!A40)</f>
        <v/>
      </c>
      <c r="B37" s="147" t="str">
        <f>IF('15 yr'!B40=0,"",'15 yr'!B40)</f>
        <v/>
      </c>
      <c r="C37" s="148" t="str">
        <f>IF('15 yr'!E40=0,"",'15 yr'!E40)</f>
        <v/>
      </c>
      <c r="D37" s="149" t="str">
        <f>IF('15 yr'!I40=0,"",'15 yr'!I40)</f>
        <v/>
      </c>
      <c r="E37" s="150" t="str">
        <f>IFERROR(IF('15 yr'!AF40=0,"",'15 yr'!AF40),"")</f>
        <v/>
      </c>
      <c r="F37" s="150" t="str">
        <f>IFERROR(IF('15 yr'!AH40=0,"",'15 yr'!AH40),"")</f>
        <v/>
      </c>
      <c r="G37" s="156" t="str">
        <f>IFERROR(IF('15 yr'!AI40=0,"",'15 yr'!AI40),"")</f>
        <v/>
      </c>
    </row>
    <row r="38" spans="1:7">
      <c r="A38" s="149" t="str">
        <f>IF('15 yr'!A41=0,"",'15 yr'!A41)</f>
        <v/>
      </c>
      <c r="B38" s="147" t="str">
        <f>IF('15 yr'!B41=0,"",'15 yr'!B41)</f>
        <v/>
      </c>
      <c r="C38" s="148" t="str">
        <f>IF('15 yr'!E41=0,"",'15 yr'!E41)</f>
        <v/>
      </c>
      <c r="D38" s="149" t="str">
        <f>IF('15 yr'!I41=0,"",'15 yr'!I41)</f>
        <v/>
      </c>
      <c r="E38" s="150" t="str">
        <f>IFERROR(IF('15 yr'!AF41=0,"",'15 yr'!AF41),"")</f>
        <v/>
      </c>
      <c r="F38" s="150" t="str">
        <f>IFERROR(IF('15 yr'!AH41=0,"",'15 yr'!AH41),"")</f>
        <v/>
      </c>
      <c r="G38" s="156" t="str">
        <f>IFERROR(IF('15 yr'!AI41=0,"",'15 yr'!AI41),"")</f>
        <v/>
      </c>
    </row>
    <row r="39" spans="1:7">
      <c r="A39" s="149" t="str">
        <f>IF('15 yr'!A42=0,"",'15 yr'!A42)</f>
        <v/>
      </c>
      <c r="B39" s="147" t="str">
        <f>IF('15 yr'!B42=0,"",'15 yr'!B42)</f>
        <v/>
      </c>
      <c r="C39" s="148" t="str">
        <f>IF('15 yr'!E42=0,"",'15 yr'!E42)</f>
        <v/>
      </c>
      <c r="D39" s="149" t="str">
        <f>IF('15 yr'!I42=0,"",'15 yr'!I42)</f>
        <v/>
      </c>
      <c r="E39" s="150" t="str">
        <f>IFERROR(IF('15 yr'!AF42=0,"",'15 yr'!AF42),"")</f>
        <v/>
      </c>
      <c r="F39" s="150" t="str">
        <f>IFERROR(IF('15 yr'!AH42=0,"",'15 yr'!AH42),"")</f>
        <v/>
      </c>
      <c r="G39" s="156" t="str">
        <f>IFERROR(IF('15 yr'!AI42=0,"",'15 yr'!AI42),"")</f>
        <v/>
      </c>
    </row>
    <row r="40" spans="1:7">
      <c r="A40" s="149" t="str">
        <f>IF('15 yr'!A43=0,"",'15 yr'!A43)</f>
        <v/>
      </c>
      <c r="B40" s="147" t="str">
        <f>IF('15 yr'!B43=0,"",'15 yr'!B43)</f>
        <v/>
      </c>
      <c r="C40" s="148" t="str">
        <f>IF('15 yr'!E43=0,"",'15 yr'!E43)</f>
        <v/>
      </c>
      <c r="D40" s="149" t="str">
        <f>IF('15 yr'!I43=0,"",'15 yr'!I43)</f>
        <v/>
      </c>
      <c r="E40" s="150" t="str">
        <f>IFERROR(IF('15 yr'!AF43=0,"",'15 yr'!AF43),"")</f>
        <v/>
      </c>
      <c r="F40" s="150" t="str">
        <f>IFERROR(IF('15 yr'!AH43=0,"",'15 yr'!AH43),"")</f>
        <v/>
      </c>
      <c r="G40" s="156" t="str">
        <f>IFERROR(IF('15 yr'!AI43=0,"",'15 yr'!AI43),"")</f>
        <v/>
      </c>
    </row>
    <row r="41" spans="1:7">
      <c r="A41" s="149" t="str">
        <f>IF('15 yr'!A44=0,"",'15 yr'!A44)</f>
        <v/>
      </c>
      <c r="B41" s="147" t="str">
        <f>IF('15 yr'!B44=0,"",'15 yr'!B44)</f>
        <v/>
      </c>
      <c r="C41" s="148" t="str">
        <f>IF('15 yr'!E44=0,"",'15 yr'!E44)</f>
        <v/>
      </c>
      <c r="D41" s="149" t="str">
        <f>IF('15 yr'!I44=0,"",'15 yr'!I44)</f>
        <v/>
      </c>
      <c r="E41" s="150" t="str">
        <f>IFERROR(IF('15 yr'!AF44=0,"",'15 yr'!AF44),"")</f>
        <v/>
      </c>
      <c r="F41" s="150" t="str">
        <f>IFERROR(IF('15 yr'!AH44=0,"",'15 yr'!AH44),"")</f>
        <v/>
      </c>
      <c r="G41" s="156" t="str">
        <f>IFERROR(IF('15 yr'!AI44=0,"",'15 yr'!AI44),"")</f>
        <v/>
      </c>
    </row>
    <row r="42" spans="1:7">
      <c r="A42" s="149" t="str">
        <f>IF('15 yr'!A45=0,"",'15 yr'!A45)</f>
        <v/>
      </c>
      <c r="B42" s="147" t="str">
        <f>IF('15 yr'!B45=0,"",'15 yr'!B45)</f>
        <v/>
      </c>
      <c r="C42" s="148" t="str">
        <f>IF('15 yr'!E45=0,"",'15 yr'!E45)</f>
        <v/>
      </c>
      <c r="D42" s="149" t="str">
        <f>IF('15 yr'!I45=0,"",'15 yr'!I45)</f>
        <v/>
      </c>
      <c r="E42" s="150" t="str">
        <f>IFERROR(IF('15 yr'!AF45=0,"",'15 yr'!AF45),"")</f>
        <v/>
      </c>
      <c r="F42" s="150" t="str">
        <f>IFERROR(IF('15 yr'!AH45=0,"",'15 yr'!AH45),"")</f>
        <v/>
      </c>
      <c r="G42" s="156" t="str">
        <f>IFERROR(IF('15 yr'!AI45=0,"",'15 yr'!AI45),"")</f>
        <v/>
      </c>
    </row>
    <row r="43" spans="1:7">
      <c r="A43" s="149" t="str">
        <f>IF('15 yr'!A46=0,"",'15 yr'!A46)</f>
        <v/>
      </c>
      <c r="B43" s="147" t="str">
        <f>IF('15 yr'!B46=0,"",'15 yr'!B46)</f>
        <v/>
      </c>
      <c r="C43" s="148" t="str">
        <f>IF('15 yr'!E46=0,"",'15 yr'!E46)</f>
        <v/>
      </c>
      <c r="D43" s="149" t="str">
        <f>IF('15 yr'!I46=0,"",'15 yr'!I46)</f>
        <v/>
      </c>
      <c r="E43" s="150" t="str">
        <f>IFERROR(IF('15 yr'!AF46=0,"",'15 yr'!AF46),"")</f>
        <v/>
      </c>
      <c r="F43" s="150" t="str">
        <f>IFERROR(IF('15 yr'!AH46=0,"",'15 yr'!AH46),"")</f>
        <v/>
      </c>
      <c r="G43" s="156" t="str">
        <f>IFERROR(IF('15 yr'!AI46=0,"",'15 yr'!AI46),"")</f>
        <v/>
      </c>
    </row>
    <row r="44" spans="1:7">
      <c r="A44" s="149" t="str">
        <f>IF('15 yr'!A47=0,"",'15 yr'!A47)</f>
        <v/>
      </c>
      <c r="B44" s="147" t="str">
        <f>IF('15 yr'!B47=0,"",'15 yr'!B47)</f>
        <v/>
      </c>
      <c r="C44" s="148" t="str">
        <f>IF('15 yr'!E47=0,"",'15 yr'!E47)</f>
        <v/>
      </c>
      <c r="D44" s="149" t="str">
        <f>IF('15 yr'!I47=0,"",'15 yr'!I47)</f>
        <v/>
      </c>
      <c r="E44" s="150" t="str">
        <f>IFERROR(IF('15 yr'!AF47=0,"",'15 yr'!AF47),"")</f>
        <v/>
      </c>
      <c r="F44" s="150" t="str">
        <f>IFERROR(IF('15 yr'!AH47=0,"",'15 yr'!AH47),"")</f>
        <v/>
      </c>
      <c r="G44" s="156" t="str">
        <f>IFERROR(IF('15 yr'!AI47=0,"",'15 yr'!AI47),"")</f>
        <v/>
      </c>
    </row>
    <row r="45" spans="1:7">
      <c r="A45" s="149" t="str">
        <f>IF('15 yr'!A48=0,"",'15 yr'!A48)</f>
        <v/>
      </c>
      <c r="B45" s="147" t="str">
        <f>IF('15 yr'!B48=0,"",'15 yr'!B48)</f>
        <v/>
      </c>
      <c r="C45" s="148" t="str">
        <f>IF('15 yr'!E48=0,"",'15 yr'!E48)</f>
        <v/>
      </c>
      <c r="D45" s="149" t="str">
        <f>IF('15 yr'!I48=0,"",'15 yr'!I48)</f>
        <v/>
      </c>
      <c r="E45" s="150" t="str">
        <f>IFERROR(IF('15 yr'!AF48=0,"",'15 yr'!AF48),"")</f>
        <v/>
      </c>
      <c r="F45" s="150" t="str">
        <f>IFERROR(IF('15 yr'!AH48=0,"",'15 yr'!AH48),"")</f>
        <v/>
      </c>
      <c r="G45" s="156" t="str">
        <f>IFERROR(IF('15 yr'!AI48=0,"",'15 yr'!AI48),"")</f>
        <v/>
      </c>
    </row>
    <row r="46" spans="1:7">
      <c r="A46" s="149" t="str">
        <f>IF('15 yr'!A49=0,"",'15 yr'!A49)</f>
        <v/>
      </c>
      <c r="B46" s="147" t="str">
        <f>IF('15 yr'!B49=0,"",'15 yr'!B49)</f>
        <v/>
      </c>
      <c r="C46" s="148" t="str">
        <f>IF('15 yr'!E49=0,"",'15 yr'!E49)</f>
        <v/>
      </c>
      <c r="D46" s="149" t="str">
        <f>IF('15 yr'!I49=0,"",'15 yr'!I49)</f>
        <v/>
      </c>
      <c r="E46" s="150" t="str">
        <f>IFERROR(IF('15 yr'!AF49=0,"",'15 yr'!AF49),"")</f>
        <v/>
      </c>
      <c r="F46" s="150" t="str">
        <f>IFERROR(IF('15 yr'!AH49=0,"",'15 yr'!AH49),"")</f>
        <v/>
      </c>
      <c r="G46" s="156" t="str">
        <f>IFERROR(IF('15 yr'!AI49=0,"",'15 yr'!AI49),"")</f>
        <v/>
      </c>
    </row>
    <row r="47" spans="1:7">
      <c r="A47" s="149" t="str">
        <f>IF('15 yr'!A50=0,"",'15 yr'!A50)</f>
        <v/>
      </c>
      <c r="B47" s="147" t="str">
        <f>IF('15 yr'!B50=0,"",'15 yr'!B50)</f>
        <v/>
      </c>
      <c r="C47" s="148" t="str">
        <f>IF('15 yr'!E50=0,"",'15 yr'!E50)</f>
        <v/>
      </c>
      <c r="D47" s="149" t="str">
        <f>IF('15 yr'!I50=0,"",'15 yr'!I50)</f>
        <v/>
      </c>
      <c r="E47" s="150" t="str">
        <f>IFERROR(IF('15 yr'!AF50=0,"",'15 yr'!AF50),"")</f>
        <v/>
      </c>
      <c r="F47" s="150" t="str">
        <f>IFERROR(IF('15 yr'!AH50=0,"",'15 yr'!AH50),"")</f>
        <v/>
      </c>
      <c r="G47" s="156" t="str">
        <f>IFERROR(IF('15 yr'!AI50=0,"",'15 yr'!AI50),"")</f>
        <v/>
      </c>
    </row>
    <row r="48" spans="1:7">
      <c r="A48" s="149" t="str">
        <f>IF('15 yr'!A51=0,"",'15 yr'!A51)</f>
        <v/>
      </c>
      <c r="B48" s="147" t="str">
        <f>IF('15 yr'!B51=0,"",'15 yr'!B51)</f>
        <v/>
      </c>
      <c r="C48" s="148" t="str">
        <f>IF('15 yr'!E51=0,"",'15 yr'!E51)</f>
        <v/>
      </c>
      <c r="D48" s="149" t="str">
        <f>IF('15 yr'!I51=0,"",'15 yr'!I51)</f>
        <v/>
      </c>
      <c r="E48" s="150" t="str">
        <f>IFERROR(IF('15 yr'!AF51=0,"",'15 yr'!AF51),"")</f>
        <v/>
      </c>
      <c r="F48" s="150" t="str">
        <f>IFERROR(IF('15 yr'!AH51=0,"",'15 yr'!AH51),"")</f>
        <v/>
      </c>
      <c r="G48" s="156" t="str">
        <f>IFERROR(IF('15 yr'!AI51=0,"",'15 yr'!AI51),"")</f>
        <v/>
      </c>
    </row>
    <row r="49" spans="1:7">
      <c r="A49" s="149" t="str">
        <f>IF('15 yr'!A52=0,"",'15 yr'!A52)</f>
        <v/>
      </c>
      <c r="B49" s="147" t="str">
        <f>IF('15 yr'!B52=0,"",'15 yr'!B52)</f>
        <v/>
      </c>
      <c r="C49" s="148" t="str">
        <f>IF('15 yr'!E52=0,"",'15 yr'!E52)</f>
        <v/>
      </c>
      <c r="D49" s="149" t="str">
        <f>IF('15 yr'!I52=0,"",'15 yr'!I52)</f>
        <v/>
      </c>
      <c r="E49" s="150" t="str">
        <f>IFERROR(IF('15 yr'!AF52=0,"",'15 yr'!AF52),"")</f>
        <v/>
      </c>
      <c r="F49" s="150" t="str">
        <f>IFERROR(IF('15 yr'!AH52=0,"",'15 yr'!AH52),"")</f>
        <v/>
      </c>
      <c r="G49" s="156" t="str">
        <f>IFERROR(IF('15 yr'!AI52=0,"",'15 yr'!AI52),"")</f>
        <v/>
      </c>
    </row>
    <row r="50" spans="1:7">
      <c r="A50" s="149" t="str">
        <f>IF('15 yr'!A53=0,"",'15 yr'!A53)</f>
        <v/>
      </c>
      <c r="B50" s="147" t="str">
        <f>IF('15 yr'!B53=0,"",'15 yr'!B53)</f>
        <v/>
      </c>
      <c r="C50" s="148" t="str">
        <f>IF('15 yr'!E53=0,"",'15 yr'!E53)</f>
        <v/>
      </c>
      <c r="D50" s="149" t="str">
        <f>IF('15 yr'!I53=0,"",'15 yr'!I53)</f>
        <v/>
      </c>
      <c r="E50" s="150" t="str">
        <f>IFERROR(IF('15 yr'!AF53=0,"",'15 yr'!AF53),"")</f>
        <v/>
      </c>
      <c r="F50" s="150" t="str">
        <f>IFERROR(IF('15 yr'!AH53=0,"",'15 yr'!AH53),"")</f>
        <v/>
      </c>
      <c r="G50" s="156" t="str">
        <f>IFERROR(IF('15 yr'!AI53=0,"",'15 yr'!AI53),"")</f>
        <v/>
      </c>
    </row>
    <row r="51" spans="1:7">
      <c r="A51" s="149" t="str">
        <f>IF('15 yr'!A54=0,"",'15 yr'!A54)</f>
        <v/>
      </c>
      <c r="B51" s="147" t="str">
        <f>IF('15 yr'!B54=0,"",'15 yr'!B54)</f>
        <v/>
      </c>
      <c r="C51" s="148" t="str">
        <f>IF('15 yr'!E54=0,"",'15 yr'!E54)</f>
        <v/>
      </c>
      <c r="D51" s="149" t="str">
        <f>IF('15 yr'!I54=0,"",'15 yr'!I54)</f>
        <v/>
      </c>
      <c r="E51" s="150" t="str">
        <f>IFERROR(IF('15 yr'!AF54=0,"",'15 yr'!AF54),"")</f>
        <v/>
      </c>
      <c r="F51" s="150" t="str">
        <f>IFERROR(IF('15 yr'!AH54=0,"",'15 yr'!AH54),"")</f>
        <v/>
      </c>
      <c r="G51" s="156" t="str">
        <f>IFERROR(IF('15 yr'!AI54=0,"",'15 yr'!AI54),"")</f>
        <v/>
      </c>
    </row>
    <row r="52" spans="1:7">
      <c r="A52" s="149" t="str">
        <f>IF('15 yr'!A55=0,"",'15 yr'!A55)</f>
        <v/>
      </c>
      <c r="B52" s="147" t="str">
        <f>IF('15 yr'!B55=0,"",'15 yr'!B55)</f>
        <v/>
      </c>
      <c r="C52" s="148" t="str">
        <f>IF('15 yr'!E55=0,"",'15 yr'!E55)</f>
        <v/>
      </c>
      <c r="D52" s="149" t="str">
        <f>IF('15 yr'!I55=0,"",'15 yr'!I55)</f>
        <v/>
      </c>
      <c r="E52" s="150" t="str">
        <f>IFERROR(IF('15 yr'!AF55=0,"",'15 yr'!AF55),"")</f>
        <v/>
      </c>
      <c r="F52" s="150" t="str">
        <f>IFERROR(IF('15 yr'!AH55=0,"",'15 yr'!AH55),"")</f>
        <v/>
      </c>
      <c r="G52" s="156" t="str">
        <f>IFERROR(IF('15 yr'!AI55=0,"",'15 yr'!AI55),"")</f>
        <v/>
      </c>
    </row>
    <row r="53" spans="1:7">
      <c r="A53" s="149" t="str">
        <f>IF('15 yr'!A56=0,"",'15 yr'!A56)</f>
        <v/>
      </c>
      <c r="B53" s="147" t="str">
        <f>IF('15 yr'!B56=0,"",'15 yr'!B56)</f>
        <v/>
      </c>
      <c r="C53" s="148" t="str">
        <f>IF('15 yr'!E56=0,"",'15 yr'!E56)</f>
        <v/>
      </c>
      <c r="D53" s="149" t="str">
        <f>IF('15 yr'!I56=0,"",'15 yr'!I56)</f>
        <v/>
      </c>
      <c r="E53" s="150" t="str">
        <f>IFERROR(IF('15 yr'!AF56=0,"",'15 yr'!AF56),"")</f>
        <v/>
      </c>
      <c r="F53" s="150" t="str">
        <f>IFERROR(IF('15 yr'!AH56=0,"",'15 yr'!AH56),"")</f>
        <v/>
      </c>
      <c r="G53" s="156" t="str">
        <f>IFERROR(IF('15 yr'!AI56=0,"",'15 yr'!AI56),"")</f>
        <v/>
      </c>
    </row>
    <row r="54" spans="1:7">
      <c r="A54" s="149" t="str">
        <f>IF('15 yr'!A57=0,"",'15 yr'!A57)</f>
        <v/>
      </c>
      <c r="B54" s="147" t="str">
        <f>IF('15 yr'!B57=0,"",'15 yr'!B57)</f>
        <v/>
      </c>
      <c r="C54" s="148" t="str">
        <f>IF('15 yr'!E57=0,"",'15 yr'!E57)</f>
        <v/>
      </c>
      <c r="D54" s="149" t="str">
        <f>IF('15 yr'!I57=0,"",'15 yr'!I57)</f>
        <v/>
      </c>
      <c r="E54" s="150" t="str">
        <f>IFERROR(IF('15 yr'!AF57=0,"",'15 yr'!AF57),"")</f>
        <v/>
      </c>
      <c r="F54" s="150" t="str">
        <f>IFERROR(IF('15 yr'!AH57=0,"",'15 yr'!AH57),"")</f>
        <v/>
      </c>
      <c r="G54" s="156" t="str">
        <f>IFERROR(IF('15 yr'!AI57=0,"",'15 yr'!AI57),"")</f>
        <v/>
      </c>
    </row>
    <row r="55" spans="1:7">
      <c r="A55" s="149" t="str">
        <f>IF('15 yr'!A58=0,"",'15 yr'!A58)</f>
        <v/>
      </c>
      <c r="B55" s="147" t="str">
        <f>IF('15 yr'!B58=0,"",'15 yr'!B58)</f>
        <v/>
      </c>
      <c r="C55" s="148" t="str">
        <f>IF('15 yr'!E58=0,"",'15 yr'!E58)</f>
        <v/>
      </c>
      <c r="D55" s="149" t="str">
        <f>IF('15 yr'!I58=0,"",'15 yr'!I58)</f>
        <v/>
      </c>
      <c r="E55" s="150" t="str">
        <f>IFERROR(IF('15 yr'!AF58=0,"",'15 yr'!AF58),"")</f>
        <v/>
      </c>
      <c r="F55" s="150" t="str">
        <f>IFERROR(IF('15 yr'!AH58=0,"",'15 yr'!AH58),"")</f>
        <v/>
      </c>
      <c r="G55" s="156" t="str">
        <f>IFERROR(IF('15 yr'!AI58=0,"",'15 yr'!AI58),"")</f>
        <v/>
      </c>
    </row>
    <row r="56" spans="1:7">
      <c r="A56" s="149" t="str">
        <f>IF('15 yr'!A59=0,"",'15 yr'!A59)</f>
        <v/>
      </c>
      <c r="B56" s="147" t="str">
        <f>IF('15 yr'!B59=0,"",'15 yr'!B59)</f>
        <v/>
      </c>
      <c r="C56" s="148" t="str">
        <f>IF('15 yr'!E59=0,"",'15 yr'!E59)</f>
        <v/>
      </c>
      <c r="D56" s="149" t="str">
        <f>IF('15 yr'!I59=0,"",'15 yr'!I59)</f>
        <v/>
      </c>
      <c r="E56" s="150" t="str">
        <f>IFERROR(IF('15 yr'!AF59=0,"",'15 yr'!AF59),"")</f>
        <v/>
      </c>
      <c r="F56" s="150" t="str">
        <f>IFERROR(IF('15 yr'!AH59=0,"",'15 yr'!AH59),"")</f>
        <v/>
      </c>
      <c r="G56" s="156" t="str">
        <f>IFERROR(IF('15 yr'!AI59=0,"",'15 yr'!AI59),"")</f>
        <v/>
      </c>
    </row>
    <row r="57" spans="1:7">
      <c r="A57" s="149" t="str">
        <f>IF('15 yr'!A60=0,"",'15 yr'!A60)</f>
        <v/>
      </c>
      <c r="B57" s="147" t="str">
        <f>IF('15 yr'!B60=0,"",'15 yr'!B60)</f>
        <v/>
      </c>
      <c r="C57" s="148" t="str">
        <f>IF('15 yr'!E60=0,"",'15 yr'!E60)</f>
        <v/>
      </c>
      <c r="D57" s="149" t="str">
        <f>IF('15 yr'!I60=0,"",'15 yr'!I60)</f>
        <v/>
      </c>
      <c r="E57" s="150" t="str">
        <f>IFERROR(IF('15 yr'!AF60=0,"",'15 yr'!AF60),"")</f>
        <v/>
      </c>
      <c r="F57" s="150" t="str">
        <f>IFERROR(IF('15 yr'!AH60=0,"",'15 yr'!AH60),"")</f>
        <v/>
      </c>
      <c r="G57" s="156" t="str">
        <f>IFERROR(IF('15 yr'!AI60=0,"",'15 yr'!AI60),"")</f>
        <v/>
      </c>
    </row>
    <row r="58" spans="1:7">
      <c r="A58" s="149" t="str">
        <f>IF('15 yr'!A61=0,"",'15 yr'!A61)</f>
        <v/>
      </c>
      <c r="B58" s="147" t="str">
        <f>IF('15 yr'!B61=0,"",'15 yr'!B61)</f>
        <v/>
      </c>
      <c r="C58" s="148" t="str">
        <f>IF('15 yr'!E61=0,"",'15 yr'!E61)</f>
        <v/>
      </c>
      <c r="D58" s="149" t="str">
        <f>IF('15 yr'!I61=0,"",'15 yr'!I61)</f>
        <v/>
      </c>
      <c r="E58" s="150" t="str">
        <f>IFERROR(IF('15 yr'!AF61=0,"",'15 yr'!AF61),"")</f>
        <v/>
      </c>
      <c r="F58" s="150" t="str">
        <f>IFERROR(IF('15 yr'!AH61=0,"",'15 yr'!AH61),"")</f>
        <v/>
      </c>
      <c r="G58" s="156" t="str">
        <f>IFERROR(IF('15 yr'!AI61=0,"",'15 yr'!AI61),"")</f>
        <v/>
      </c>
    </row>
    <row r="59" spans="1:7">
      <c r="A59" s="149" t="str">
        <f>IF('15 yr'!A62=0,"",'15 yr'!A62)</f>
        <v/>
      </c>
      <c r="B59" s="147" t="str">
        <f>IF('15 yr'!B62=0,"",'15 yr'!B62)</f>
        <v/>
      </c>
      <c r="C59" s="148" t="str">
        <f>IF('15 yr'!E62=0,"",'15 yr'!E62)</f>
        <v/>
      </c>
      <c r="D59" s="149" t="str">
        <f>IF('15 yr'!I62=0,"",'15 yr'!I62)</f>
        <v/>
      </c>
      <c r="E59" s="150" t="str">
        <f>IFERROR(IF('15 yr'!AF62=0,"",'15 yr'!AF62),"")</f>
        <v/>
      </c>
      <c r="F59" s="150" t="str">
        <f>IFERROR(IF('15 yr'!AH62=0,"",'15 yr'!AH62),"")</f>
        <v/>
      </c>
      <c r="G59" s="156" t="str">
        <f>IFERROR(IF('15 yr'!AI62=0,"",'15 yr'!AI62),"")</f>
        <v/>
      </c>
    </row>
    <row r="60" spans="1:7">
      <c r="A60" s="149" t="str">
        <f>IF('15 yr'!A63=0,"",'15 yr'!A63)</f>
        <v/>
      </c>
      <c r="B60" s="147" t="str">
        <f>IF('15 yr'!B63=0,"",'15 yr'!B63)</f>
        <v/>
      </c>
      <c r="C60" s="148" t="str">
        <f>IF('15 yr'!E63=0,"",'15 yr'!E63)</f>
        <v/>
      </c>
      <c r="D60" s="149" t="str">
        <f>IF('15 yr'!I63=0,"",'15 yr'!I63)</f>
        <v/>
      </c>
      <c r="E60" s="150" t="str">
        <f>IFERROR(IF('15 yr'!AF63=0,"",'15 yr'!AF63),"")</f>
        <v/>
      </c>
      <c r="F60" s="150" t="str">
        <f>IFERROR(IF('15 yr'!AH63=0,"",'15 yr'!AH63),"")</f>
        <v/>
      </c>
      <c r="G60" s="156" t="str">
        <f>IFERROR(IF('15 yr'!AI63=0,"",'15 yr'!AI63),"")</f>
        <v/>
      </c>
    </row>
    <row r="61" spans="1:7">
      <c r="A61" s="149" t="str">
        <f>IF('15 yr'!A64=0,"",'15 yr'!A64)</f>
        <v/>
      </c>
      <c r="B61" s="147" t="str">
        <f>IF('15 yr'!B64=0,"",'15 yr'!B64)</f>
        <v/>
      </c>
      <c r="C61" s="148" t="str">
        <f>IF('15 yr'!E64=0,"",'15 yr'!E64)</f>
        <v/>
      </c>
      <c r="D61" s="149" t="str">
        <f>IF('15 yr'!I64=0,"",'15 yr'!I64)</f>
        <v/>
      </c>
      <c r="E61" s="150" t="str">
        <f>IFERROR(IF('15 yr'!AF64=0,"",'15 yr'!AF64),"")</f>
        <v/>
      </c>
      <c r="F61" s="150" t="str">
        <f>IFERROR(IF('15 yr'!AH64=0,"",'15 yr'!AH64),"")</f>
        <v/>
      </c>
      <c r="G61" s="156" t="str">
        <f>IFERROR(IF('15 yr'!AI64=0,"",'15 yr'!AI64),"")</f>
        <v/>
      </c>
    </row>
    <row r="62" spans="1:7">
      <c r="A62" s="149" t="str">
        <f>IF('15 yr'!A65=0,"",'15 yr'!A65)</f>
        <v/>
      </c>
      <c r="B62" s="147" t="str">
        <f>IF('15 yr'!B65=0,"",'15 yr'!B65)</f>
        <v/>
      </c>
      <c r="C62" s="148" t="str">
        <f>IF('15 yr'!E65=0,"",'15 yr'!E65)</f>
        <v/>
      </c>
      <c r="D62" s="149" t="str">
        <f>IF('15 yr'!I65=0,"",'15 yr'!I65)</f>
        <v/>
      </c>
      <c r="E62" s="150" t="str">
        <f>IFERROR(IF('15 yr'!AF65=0,"",'15 yr'!AF65),"")</f>
        <v/>
      </c>
      <c r="F62" s="150" t="str">
        <f>IFERROR(IF('15 yr'!AH65=0,"",'15 yr'!AH65),"")</f>
        <v/>
      </c>
      <c r="G62" s="156" t="str">
        <f>IFERROR(IF('15 yr'!AI65=0,"",'15 yr'!AI65),"")</f>
        <v/>
      </c>
    </row>
    <row r="63" spans="1:7">
      <c r="A63" s="149" t="str">
        <f>IF('15 yr'!A66=0,"",'15 yr'!A66)</f>
        <v/>
      </c>
      <c r="B63" s="147" t="str">
        <f>IF('15 yr'!B66=0,"",'15 yr'!B66)</f>
        <v/>
      </c>
      <c r="C63" s="148" t="str">
        <f>IF('15 yr'!E66=0,"",'15 yr'!E66)</f>
        <v/>
      </c>
      <c r="D63" s="149" t="str">
        <f>IF('15 yr'!I66=0,"",'15 yr'!I66)</f>
        <v/>
      </c>
      <c r="E63" s="150" t="str">
        <f>IFERROR(IF('15 yr'!AF66=0,"",'15 yr'!AF66),"")</f>
        <v/>
      </c>
      <c r="F63" s="150" t="str">
        <f>IFERROR(IF('15 yr'!AH66=0,"",'15 yr'!AH66),"")</f>
        <v/>
      </c>
      <c r="G63" s="156" t="str">
        <f>IFERROR(IF('15 yr'!AI66=0,"",'15 yr'!AI66),"")</f>
        <v/>
      </c>
    </row>
    <row r="64" spans="1:7">
      <c r="A64" s="149" t="str">
        <f>IF('15 yr'!A67=0,"",'15 yr'!A67)</f>
        <v/>
      </c>
      <c r="B64" s="147" t="str">
        <f>IF('15 yr'!B67=0,"",'15 yr'!B67)</f>
        <v/>
      </c>
      <c r="C64" s="148" t="str">
        <f>IF('15 yr'!E67=0,"",'15 yr'!E67)</f>
        <v/>
      </c>
      <c r="D64" s="149" t="str">
        <f>IF('15 yr'!I67=0,"",'15 yr'!I67)</f>
        <v/>
      </c>
      <c r="E64" s="150" t="str">
        <f>IFERROR(IF('15 yr'!AF67=0,"",'15 yr'!AF67),"")</f>
        <v/>
      </c>
      <c r="F64" s="150" t="str">
        <f>IFERROR(IF('15 yr'!AH67=0,"",'15 yr'!AH67),"")</f>
        <v/>
      </c>
      <c r="G64" s="156" t="str">
        <f>IFERROR(IF('15 yr'!AI67=0,"",'15 yr'!AI67),"")</f>
        <v/>
      </c>
    </row>
    <row r="65" spans="1:7">
      <c r="A65" s="149" t="str">
        <f>IF('15 yr'!A68=0,"",'15 yr'!A68)</f>
        <v/>
      </c>
      <c r="B65" s="147" t="str">
        <f>IF('15 yr'!B68=0,"",'15 yr'!B68)</f>
        <v/>
      </c>
      <c r="C65" s="148" t="str">
        <f>IF('15 yr'!E68=0,"",'15 yr'!E68)</f>
        <v/>
      </c>
      <c r="D65" s="149" t="str">
        <f>IF('15 yr'!I68=0,"",'15 yr'!I68)</f>
        <v/>
      </c>
      <c r="E65" s="150" t="str">
        <f>IFERROR(IF('15 yr'!AF68=0,"",'15 yr'!AF68),"")</f>
        <v/>
      </c>
      <c r="F65" s="150" t="str">
        <f>IFERROR(IF('15 yr'!AH68=0,"",'15 yr'!AH68),"")</f>
        <v/>
      </c>
      <c r="G65" s="156" t="str">
        <f>IFERROR(IF('15 yr'!AI68=0,"",'15 yr'!AI68),"")</f>
        <v/>
      </c>
    </row>
    <row r="66" spans="1:7">
      <c r="A66" s="149" t="str">
        <f>IF('15 yr'!A69=0,"",'15 yr'!A69)</f>
        <v/>
      </c>
      <c r="B66" s="147" t="str">
        <f>IF('15 yr'!B69=0,"",'15 yr'!B69)</f>
        <v/>
      </c>
      <c r="C66" s="148" t="str">
        <f>IF('15 yr'!E69=0,"",'15 yr'!E69)</f>
        <v/>
      </c>
      <c r="D66" s="149" t="str">
        <f>IF('15 yr'!I69=0,"",'15 yr'!I69)</f>
        <v/>
      </c>
      <c r="E66" s="150" t="str">
        <f>IFERROR(IF('15 yr'!AF69=0,"",'15 yr'!AF69),"")</f>
        <v/>
      </c>
      <c r="F66" s="150" t="str">
        <f>IFERROR(IF('15 yr'!AH69=0,"",'15 yr'!AH69),"")</f>
        <v/>
      </c>
      <c r="G66" s="156" t="str">
        <f>IFERROR(IF('15 yr'!AI69=0,"",'15 yr'!AI69),"")</f>
        <v/>
      </c>
    </row>
    <row r="67" spans="1:7">
      <c r="A67" s="149" t="str">
        <f>IF('15 yr'!A70=0,"",'15 yr'!A70)</f>
        <v/>
      </c>
      <c r="B67" s="147" t="str">
        <f>IF('15 yr'!B70=0,"",'15 yr'!B70)</f>
        <v/>
      </c>
      <c r="C67" s="148" t="str">
        <f>IF('15 yr'!E70=0,"",'15 yr'!E70)</f>
        <v/>
      </c>
      <c r="D67" s="149" t="str">
        <f>IF('15 yr'!I70=0,"",'15 yr'!I70)</f>
        <v/>
      </c>
      <c r="E67" s="150" t="str">
        <f>IFERROR(IF('15 yr'!AF70=0,"",'15 yr'!AF70),"")</f>
        <v/>
      </c>
      <c r="F67" s="150" t="str">
        <f>IFERROR(IF('15 yr'!AH70=0,"",'15 yr'!AH70),"")</f>
        <v/>
      </c>
      <c r="G67" s="156" t="str">
        <f>IFERROR(IF('15 yr'!AI70=0,"",'15 yr'!AI70),"")</f>
        <v/>
      </c>
    </row>
    <row r="68" spans="1:7">
      <c r="A68" s="149" t="str">
        <f>IF('15 yr'!A71=0,"",'15 yr'!A71)</f>
        <v/>
      </c>
      <c r="B68" s="147" t="str">
        <f>IF('15 yr'!B71=0,"",'15 yr'!B71)</f>
        <v/>
      </c>
      <c r="C68" s="148" t="str">
        <f>IF('15 yr'!E71=0,"",'15 yr'!E71)</f>
        <v/>
      </c>
      <c r="D68" s="149" t="str">
        <f>IF('15 yr'!I71=0,"",'15 yr'!I71)</f>
        <v/>
      </c>
      <c r="E68" s="150" t="str">
        <f>IFERROR(IF('15 yr'!AF71=0,"",'15 yr'!AF71),"")</f>
        <v/>
      </c>
      <c r="F68" s="150" t="str">
        <f>IFERROR(IF('15 yr'!AH71=0,"",'15 yr'!AH71),"")</f>
        <v/>
      </c>
      <c r="G68" s="156" t="str">
        <f>IFERROR(IF('15 yr'!AI71=0,"",'15 yr'!AI71),"")</f>
        <v/>
      </c>
    </row>
    <row r="69" spans="1:7">
      <c r="A69" s="149" t="str">
        <f>IF('15 yr'!A72=0,"",'15 yr'!A72)</f>
        <v/>
      </c>
      <c r="B69" s="147" t="str">
        <f>IF('15 yr'!B72=0,"",'15 yr'!B72)</f>
        <v/>
      </c>
      <c r="C69" s="148" t="str">
        <f>IF('15 yr'!E72=0,"",'15 yr'!E72)</f>
        <v/>
      </c>
      <c r="D69" s="149" t="str">
        <f>IF('15 yr'!I72=0,"",'15 yr'!I72)</f>
        <v/>
      </c>
      <c r="E69" s="150" t="str">
        <f>IFERROR(IF('15 yr'!AF72=0,"",'15 yr'!AF72),"")</f>
        <v/>
      </c>
      <c r="F69" s="150" t="str">
        <f>IFERROR(IF('15 yr'!AH72=0,"",'15 yr'!AH72),"")</f>
        <v/>
      </c>
      <c r="G69" s="156" t="str">
        <f>IFERROR(IF('15 yr'!AI72=0,"",'15 yr'!AI72),"")</f>
        <v/>
      </c>
    </row>
    <row r="70" spans="1:7">
      <c r="A70" s="149" t="str">
        <f>IF('15 yr'!A73=0,"",'15 yr'!A73)</f>
        <v/>
      </c>
      <c r="B70" s="147" t="str">
        <f>IF('15 yr'!B73=0,"",'15 yr'!B73)</f>
        <v/>
      </c>
      <c r="C70" s="148" t="str">
        <f>IF('15 yr'!E73=0,"",'15 yr'!E73)</f>
        <v/>
      </c>
      <c r="D70" s="149" t="str">
        <f>IF('15 yr'!I73=0,"",'15 yr'!I73)</f>
        <v/>
      </c>
      <c r="E70" s="150" t="str">
        <f>IFERROR(IF('15 yr'!AF73=0,"",'15 yr'!AF73),"")</f>
        <v/>
      </c>
      <c r="F70" s="150" t="str">
        <f>IFERROR(IF('15 yr'!AH73=0,"",'15 yr'!AH73),"")</f>
        <v/>
      </c>
      <c r="G70" s="156" t="str">
        <f>IFERROR(IF('15 yr'!AI73=0,"",'15 yr'!AI73),"")</f>
        <v/>
      </c>
    </row>
    <row r="71" spans="1:7">
      <c r="A71" s="149" t="str">
        <f>IF('15 yr'!A74=0,"",'15 yr'!A74)</f>
        <v/>
      </c>
      <c r="B71" s="147" t="str">
        <f>IF('15 yr'!B74=0,"",'15 yr'!B74)</f>
        <v/>
      </c>
      <c r="C71" s="148" t="str">
        <f>IF('15 yr'!E74=0,"",'15 yr'!E74)</f>
        <v/>
      </c>
      <c r="D71" s="149" t="str">
        <f>IF('15 yr'!I74=0,"",'15 yr'!I74)</f>
        <v/>
      </c>
      <c r="E71" s="150" t="str">
        <f>IFERROR(IF('15 yr'!AF74=0,"",'15 yr'!AF74),"")</f>
        <v/>
      </c>
      <c r="F71" s="150" t="str">
        <f>IFERROR(IF('15 yr'!AH74=0,"",'15 yr'!AH74),"")</f>
        <v/>
      </c>
      <c r="G71" s="156" t="str">
        <f>IFERROR(IF('15 yr'!AI74=0,"",'15 yr'!AI74),"")</f>
        <v/>
      </c>
    </row>
    <row r="72" spans="1:7">
      <c r="A72" s="149" t="str">
        <f>IF('15 yr'!A75=0,"",'15 yr'!A75)</f>
        <v/>
      </c>
      <c r="B72" s="147" t="str">
        <f>IF('15 yr'!B75=0,"",'15 yr'!B75)</f>
        <v/>
      </c>
      <c r="C72" s="148" t="str">
        <f>IF('15 yr'!E75=0,"",'15 yr'!E75)</f>
        <v/>
      </c>
      <c r="D72" s="149" t="str">
        <f>IF('15 yr'!I75=0,"",'15 yr'!I75)</f>
        <v/>
      </c>
      <c r="E72" s="150" t="str">
        <f>IFERROR(IF('15 yr'!AF75=0,"",'15 yr'!AF75),"")</f>
        <v/>
      </c>
      <c r="F72" s="150" t="str">
        <f>IFERROR(IF('15 yr'!AH75=0,"",'15 yr'!AH75),"")</f>
        <v/>
      </c>
      <c r="G72" s="156" t="str">
        <f>IFERROR(IF('15 yr'!AI75=0,"",'15 yr'!AI75),"")</f>
        <v/>
      </c>
    </row>
    <row r="73" spans="1:7">
      <c r="A73" s="149" t="str">
        <f>IF('15 yr'!A76=0,"",'15 yr'!A76)</f>
        <v/>
      </c>
      <c r="B73" s="147" t="str">
        <f>IF('15 yr'!B76=0,"",'15 yr'!B76)</f>
        <v/>
      </c>
      <c r="C73" s="148" t="str">
        <f>IF('15 yr'!E76=0,"",'15 yr'!E76)</f>
        <v/>
      </c>
      <c r="D73" s="149" t="str">
        <f>IF('15 yr'!I76=0,"",'15 yr'!I76)</f>
        <v/>
      </c>
      <c r="E73" s="150" t="str">
        <f>IFERROR(IF('15 yr'!AF76=0,"",'15 yr'!AF76),"")</f>
        <v/>
      </c>
      <c r="F73" s="150" t="str">
        <f>IFERROR(IF('15 yr'!AH76=0,"",'15 yr'!AH76),"")</f>
        <v/>
      </c>
      <c r="G73" s="156" t="str">
        <f>IFERROR(IF('15 yr'!AI76=0,"",'15 yr'!AI76),"")</f>
        <v/>
      </c>
    </row>
    <row r="74" spans="1:7">
      <c r="A74" s="149" t="str">
        <f>IF('15 yr'!A77=0,"",'15 yr'!A77)</f>
        <v/>
      </c>
      <c r="B74" s="147" t="str">
        <f>IF('15 yr'!B77=0,"",'15 yr'!B77)</f>
        <v/>
      </c>
      <c r="C74" s="148" t="str">
        <f>IF('15 yr'!E77=0,"",'15 yr'!E77)</f>
        <v/>
      </c>
      <c r="D74" s="149" t="str">
        <f>IF('15 yr'!I77=0,"",'15 yr'!I77)</f>
        <v/>
      </c>
      <c r="E74" s="150" t="str">
        <f>IFERROR(IF('15 yr'!AF77=0,"",'15 yr'!AF77),"")</f>
        <v/>
      </c>
      <c r="F74" s="150" t="str">
        <f>IFERROR(IF('15 yr'!AH77=0,"",'15 yr'!AH77),"")</f>
        <v/>
      </c>
      <c r="G74" s="156" t="str">
        <f>IFERROR(IF('15 yr'!AI77=0,"",'15 yr'!AI77),"")</f>
        <v/>
      </c>
    </row>
    <row r="75" spans="1:7">
      <c r="A75" s="149" t="str">
        <f>IF('15 yr'!A78=0,"",'15 yr'!A78)</f>
        <v/>
      </c>
      <c r="B75" s="147" t="str">
        <f>IF('15 yr'!B78=0,"",'15 yr'!B78)</f>
        <v/>
      </c>
      <c r="C75" s="148" t="str">
        <f>IF('15 yr'!E78=0,"",'15 yr'!E78)</f>
        <v/>
      </c>
      <c r="D75" s="149" t="str">
        <f>IF('15 yr'!I78=0,"",'15 yr'!I78)</f>
        <v/>
      </c>
      <c r="E75" s="150" t="str">
        <f>IFERROR(IF('15 yr'!AF78=0,"",'15 yr'!AF78),"")</f>
        <v/>
      </c>
      <c r="F75" s="150" t="str">
        <f>IFERROR(IF('15 yr'!AH78=0,"",'15 yr'!AH78),"")</f>
        <v/>
      </c>
      <c r="G75" s="156" t="str">
        <f>IFERROR(IF('15 yr'!AI78=0,"",'15 yr'!AI78),"")</f>
        <v/>
      </c>
    </row>
    <row r="76" spans="1:7">
      <c r="A76" s="149" t="str">
        <f>IF('15 yr'!A79=0,"",'15 yr'!A79)</f>
        <v/>
      </c>
      <c r="B76" s="147" t="str">
        <f>IF('15 yr'!B79=0,"",'15 yr'!B79)</f>
        <v/>
      </c>
      <c r="C76" s="148" t="str">
        <f>IF('15 yr'!E79=0,"",'15 yr'!E79)</f>
        <v/>
      </c>
      <c r="D76" s="149" t="str">
        <f>IF('15 yr'!I79=0,"",'15 yr'!I79)</f>
        <v/>
      </c>
      <c r="E76" s="150" t="str">
        <f>IFERROR(IF('15 yr'!AF79=0,"",'15 yr'!AF79),"")</f>
        <v/>
      </c>
      <c r="F76" s="150" t="str">
        <f>IFERROR(IF('15 yr'!AH79=0,"",'15 yr'!AH79),"")</f>
        <v/>
      </c>
      <c r="G76" s="156" t="str">
        <f>IFERROR(IF('15 yr'!AI79=0,"",'15 yr'!AI79),"")</f>
        <v/>
      </c>
    </row>
    <row r="77" spans="1:7">
      <c r="A77" s="149" t="str">
        <f>IF('15 yr'!A80=0,"",'15 yr'!A80)</f>
        <v/>
      </c>
      <c r="B77" s="147" t="str">
        <f>IF('15 yr'!B80=0,"",'15 yr'!B80)</f>
        <v/>
      </c>
      <c r="C77" s="148" t="str">
        <f>IF('15 yr'!E80=0,"",'15 yr'!E80)</f>
        <v/>
      </c>
      <c r="D77" s="149" t="str">
        <f>IF('15 yr'!I80=0,"",'15 yr'!I80)</f>
        <v/>
      </c>
      <c r="E77" s="150" t="str">
        <f>IFERROR(IF('15 yr'!AF80=0,"",'15 yr'!AF80),"")</f>
        <v/>
      </c>
      <c r="F77" s="150" t="str">
        <f>IFERROR(IF('15 yr'!AH80=0,"",'15 yr'!AH80),"")</f>
        <v/>
      </c>
      <c r="G77" s="156" t="str">
        <f>IFERROR(IF('15 yr'!AI80=0,"",'15 yr'!AI80),"")</f>
        <v/>
      </c>
    </row>
    <row r="78" spans="1:7">
      <c r="A78" s="149" t="str">
        <f>IF('15 yr'!A81=0,"",'15 yr'!A81)</f>
        <v/>
      </c>
      <c r="B78" s="147" t="str">
        <f>IF('15 yr'!B81=0,"",'15 yr'!B81)</f>
        <v/>
      </c>
      <c r="C78" s="148" t="str">
        <f>IF('15 yr'!E81=0,"",'15 yr'!E81)</f>
        <v/>
      </c>
      <c r="D78" s="149" t="str">
        <f>IF('15 yr'!I81=0,"",'15 yr'!I81)</f>
        <v/>
      </c>
      <c r="E78" s="150" t="str">
        <f>IFERROR(IF('15 yr'!AF81=0,"",'15 yr'!AF81),"")</f>
        <v/>
      </c>
      <c r="F78" s="150" t="str">
        <f>IFERROR(IF('15 yr'!AH81=0,"",'15 yr'!AH81),"")</f>
        <v/>
      </c>
      <c r="G78" s="156" t="str">
        <f>IFERROR(IF('15 yr'!AI81=0,"",'15 yr'!AI81),"")</f>
        <v/>
      </c>
    </row>
    <row r="79" spans="1:7">
      <c r="A79" s="149" t="str">
        <f>IF('15 yr'!A82=0,"",'15 yr'!A82)</f>
        <v/>
      </c>
      <c r="B79" s="147" t="str">
        <f>IF('15 yr'!B82=0,"",'15 yr'!B82)</f>
        <v/>
      </c>
      <c r="C79" s="148" t="str">
        <f>IF('15 yr'!E82=0,"",'15 yr'!E82)</f>
        <v/>
      </c>
      <c r="D79" s="149" t="str">
        <f>IF('15 yr'!I82=0,"",'15 yr'!I82)</f>
        <v/>
      </c>
      <c r="E79" s="150" t="str">
        <f>IFERROR(IF('15 yr'!AF82=0,"",'15 yr'!AF82),"")</f>
        <v/>
      </c>
      <c r="F79" s="150" t="str">
        <f>IFERROR(IF('15 yr'!AH82=0,"",'15 yr'!AH82),"")</f>
        <v/>
      </c>
      <c r="G79" s="156" t="str">
        <f>IFERROR(IF('15 yr'!AI82=0,"",'15 yr'!AI82),"")</f>
        <v/>
      </c>
    </row>
    <row r="80" spans="1:7">
      <c r="A80" s="149" t="str">
        <f>IF('15 yr'!A83=0,"",'15 yr'!A83)</f>
        <v/>
      </c>
      <c r="B80" s="147" t="str">
        <f>IF('15 yr'!B83=0,"",'15 yr'!B83)</f>
        <v/>
      </c>
      <c r="C80" s="148" t="str">
        <f>IF('15 yr'!E83=0,"",'15 yr'!E83)</f>
        <v/>
      </c>
      <c r="D80" s="149" t="str">
        <f>IF('15 yr'!I83=0,"",'15 yr'!I83)</f>
        <v/>
      </c>
      <c r="E80" s="150" t="str">
        <f>IFERROR(IF('15 yr'!AF83=0,"",'15 yr'!AF83),"")</f>
        <v/>
      </c>
      <c r="F80" s="150" t="str">
        <f>IFERROR(IF('15 yr'!AH83=0,"",'15 yr'!AH83),"")</f>
        <v/>
      </c>
      <c r="G80" s="156" t="str">
        <f>IFERROR(IF('15 yr'!AI83=0,"",'15 yr'!AI83),"")</f>
        <v/>
      </c>
    </row>
    <row r="81" spans="1:7">
      <c r="A81" s="149" t="str">
        <f>IF('15 yr'!A84=0,"",'15 yr'!A84)</f>
        <v/>
      </c>
      <c r="B81" s="147" t="str">
        <f>IF('15 yr'!B84=0,"",'15 yr'!B84)</f>
        <v/>
      </c>
      <c r="C81" s="148" t="str">
        <f>IF('15 yr'!E84=0,"",'15 yr'!E84)</f>
        <v/>
      </c>
      <c r="D81" s="149" t="str">
        <f>IF('15 yr'!I84=0,"",'15 yr'!I84)</f>
        <v/>
      </c>
      <c r="E81" s="150" t="str">
        <f>IFERROR(IF('15 yr'!AF84=0,"",'15 yr'!AF84),"")</f>
        <v/>
      </c>
      <c r="F81" s="150" t="str">
        <f>IFERROR(IF('15 yr'!AH84=0,"",'15 yr'!AH84),"")</f>
        <v/>
      </c>
      <c r="G81" s="156" t="str">
        <f>IFERROR(IF('15 yr'!AI84=0,"",'15 yr'!AI84),"")</f>
        <v/>
      </c>
    </row>
    <row r="82" spans="1:7">
      <c r="A82" s="149" t="str">
        <f>IF('15 yr'!A85=0,"",'15 yr'!A85)</f>
        <v/>
      </c>
      <c r="B82" s="147" t="str">
        <f>IF('15 yr'!B85=0,"",'15 yr'!B85)</f>
        <v/>
      </c>
      <c r="C82" s="148" t="str">
        <f>IF('15 yr'!E85=0,"",'15 yr'!E85)</f>
        <v/>
      </c>
      <c r="D82" s="149" t="str">
        <f>IF('15 yr'!I85=0,"",'15 yr'!I85)</f>
        <v/>
      </c>
      <c r="E82" s="150" t="str">
        <f>IFERROR(IF('15 yr'!AF85=0,"",'15 yr'!AF85),"")</f>
        <v/>
      </c>
      <c r="F82" s="150" t="str">
        <f>IFERROR(IF('15 yr'!AH85=0,"",'15 yr'!AH85),"")</f>
        <v/>
      </c>
      <c r="G82" s="156" t="str">
        <f>IFERROR(IF('15 yr'!AI85=0,"",'15 yr'!AI85),"")</f>
        <v/>
      </c>
    </row>
    <row r="83" spans="1:7">
      <c r="A83" s="149" t="str">
        <f>IF('15 yr'!A86=0,"",'15 yr'!A86)</f>
        <v/>
      </c>
      <c r="B83" s="147" t="str">
        <f>IF('15 yr'!B86=0,"",'15 yr'!B86)</f>
        <v/>
      </c>
      <c r="C83" s="148" t="str">
        <f>IF('15 yr'!E86=0,"",'15 yr'!E86)</f>
        <v/>
      </c>
      <c r="D83" s="149" t="str">
        <f>IF('15 yr'!I86=0,"",'15 yr'!I86)</f>
        <v/>
      </c>
      <c r="E83" s="150" t="str">
        <f>IFERROR(IF('15 yr'!AF86=0,"",'15 yr'!AF86),"")</f>
        <v/>
      </c>
      <c r="F83" s="150" t="str">
        <f>IFERROR(IF('15 yr'!AH86=0,"",'15 yr'!AH86),"")</f>
        <v/>
      </c>
      <c r="G83" s="156" t="str">
        <f>IFERROR(IF('15 yr'!AI86=0,"",'15 yr'!AI86),"")</f>
        <v/>
      </c>
    </row>
    <row r="84" spans="1:7">
      <c r="A84" s="149" t="str">
        <f>IF('15 yr'!A87=0,"",'15 yr'!A87)</f>
        <v/>
      </c>
      <c r="B84" s="147" t="str">
        <f>IF('15 yr'!B87=0,"",'15 yr'!B87)</f>
        <v/>
      </c>
      <c r="C84" s="148" t="str">
        <f>IF('15 yr'!E87=0,"",'15 yr'!E87)</f>
        <v/>
      </c>
      <c r="D84" s="149" t="str">
        <f>IF('15 yr'!I87=0,"",'15 yr'!I87)</f>
        <v/>
      </c>
      <c r="E84" s="150" t="str">
        <f>IFERROR(IF('15 yr'!AF87=0,"",'15 yr'!AF87),"")</f>
        <v/>
      </c>
      <c r="F84" s="150" t="str">
        <f>IFERROR(IF('15 yr'!AH87=0,"",'15 yr'!AH87),"")</f>
        <v/>
      </c>
      <c r="G84" s="156" t="str">
        <f>IFERROR(IF('15 yr'!AI87=0,"",'15 yr'!AI87),"")</f>
        <v/>
      </c>
    </row>
    <row r="85" spans="1:7">
      <c r="A85" s="149" t="str">
        <f>IF('15 yr'!A88=0,"",'15 yr'!A88)</f>
        <v/>
      </c>
      <c r="B85" s="147" t="str">
        <f>IF('15 yr'!B88=0,"",'15 yr'!B88)</f>
        <v/>
      </c>
      <c r="C85" s="148" t="str">
        <f>IF('15 yr'!E88=0,"",'15 yr'!E88)</f>
        <v/>
      </c>
      <c r="D85" s="149" t="str">
        <f>IF('15 yr'!I88=0,"",'15 yr'!I88)</f>
        <v/>
      </c>
      <c r="E85" s="150" t="str">
        <f>IFERROR(IF('15 yr'!AF88=0,"",'15 yr'!AF88),"")</f>
        <v/>
      </c>
      <c r="F85" s="150" t="str">
        <f>IFERROR(IF('15 yr'!AH88=0,"",'15 yr'!AH88),"")</f>
        <v/>
      </c>
      <c r="G85" s="156" t="str">
        <f>IFERROR(IF('15 yr'!AI88=0,"",'15 yr'!AI88),"")</f>
        <v/>
      </c>
    </row>
    <row r="86" spans="1:7">
      <c r="A86" s="149" t="str">
        <f>IF('15 yr'!A89=0,"",'15 yr'!A89)</f>
        <v/>
      </c>
      <c r="B86" s="147" t="str">
        <f>IF('15 yr'!B89=0,"",'15 yr'!B89)</f>
        <v/>
      </c>
      <c r="C86" s="148" t="str">
        <f>IF('15 yr'!E89=0,"",'15 yr'!E89)</f>
        <v/>
      </c>
      <c r="D86" s="149" t="str">
        <f>IF('15 yr'!I89=0,"",'15 yr'!I89)</f>
        <v/>
      </c>
      <c r="E86" s="150" t="str">
        <f>IFERROR(IF('15 yr'!AF89=0,"",'15 yr'!AF89),"")</f>
        <v/>
      </c>
      <c r="F86" s="150" t="str">
        <f>IFERROR(IF('15 yr'!AH89=0,"",'15 yr'!AH89),"")</f>
        <v/>
      </c>
      <c r="G86" s="156" t="str">
        <f>IFERROR(IF('15 yr'!AI89=0,"",'15 yr'!AI89),"")</f>
        <v/>
      </c>
    </row>
    <row r="87" spans="1:7">
      <c r="A87" s="149" t="str">
        <f>IF('15 yr'!A90=0,"",'15 yr'!A90)</f>
        <v/>
      </c>
      <c r="B87" s="147" t="str">
        <f>IF('15 yr'!B90=0,"",'15 yr'!B90)</f>
        <v/>
      </c>
      <c r="C87" s="148" t="str">
        <f>IF('15 yr'!E90=0,"",'15 yr'!E90)</f>
        <v/>
      </c>
      <c r="D87" s="149" t="str">
        <f>IF('15 yr'!I90=0,"",'15 yr'!I90)</f>
        <v/>
      </c>
      <c r="E87" s="150" t="str">
        <f>IFERROR(IF('15 yr'!AF90=0,"",'15 yr'!AF90),"")</f>
        <v/>
      </c>
      <c r="F87" s="150" t="str">
        <f>IFERROR(IF('15 yr'!AH90=0,"",'15 yr'!AH90),"")</f>
        <v/>
      </c>
      <c r="G87" s="156" t="str">
        <f>IFERROR(IF('15 yr'!AI90=0,"",'15 yr'!AI90),"")</f>
        <v/>
      </c>
    </row>
    <row r="88" spans="1:7">
      <c r="A88" s="149" t="str">
        <f>IF('15 yr'!A91=0,"",'15 yr'!A91)</f>
        <v/>
      </c>
      <c r="B88" s="147" t="str">
        <f>IF('15 yr'!B91=0,"",'15 yr'!B91)</f>
        <v/>
      </c>
      <c r="C88" s="148" t="str">
        <f>IF('15 yr'!E91=0,"",'15 yr'!E91)</f>
        <v/>
      </c>
      <c r="D88" s="149" t="str">
        <f>IF('15 yr'!I91=0,"",'15 yr'!I91)</f>
        <v/>
      </c>
      <c r="E88" s="150" t="str">
        <f>IFERROR(IF('15 yr'!AF91=0,"",'15 yr'!AF91),"")</f>
        <v/>
      </c>
      <c r="F88" s="150" t="str">
        <f>IFERROR(IF('15 yr'!AH91=0,"",'15 yr'!AH91),"")</f>
        <v/>
      </c>
      <c r="G88" s="156" t="str">
        <f>IFERROR(IF('15 yr'!AI91=0,"",'15 yr'!AI91),"")</f>
        <v/>
      </c>
    </row>
    <row r="89" spans="1:7">
      <c r="A89" s="149" t="str">
        <f>IF('15 yr'!A92=0,"",'15 yr'!A92)</f>
        <v/>
      </c>
      <c r="B89" s="147" t="str">
        <f>IF('15 yr'!B92=0,"",'15 yr'!B92)</f>
        <v/>
      </c>
      <c r="C89" s="148" t="str">
        <f>IF('15 yr'!E92=0,"",'15 yr'!E92)</f>
        <v/>
      </c>
      <c r="D89" s="149" t="str">
        <f>IF('15 yr'!I92=0,"",'15 yr'!I92)</f>
        <v/>
      </c>
      <c r="E89" s="150" t="str">
        <f>IFERROR(IF('15 yr'!AF92=0,"",'15 yr'!AF92),"")</f>
        <v/>
      </c>
      <c r="F89" s="150" t="str">
        <f>IFERROR(IF('15 yr'!AH92=0,"",'15 yr'!AH92),"")</f>
        <v/>
      </c>
      <c r="G89" s="156" t="str">
        <f>IFERROR(IF('15 yr'!AI92=0,"",'15 yr'!AI92),"")</f>
        <v/>
      </c>
    </row>
    <row r="90" spans="1:7">
      <c r="A90" s="149" t="str">
        <f>IF('15 yr'!A93=0,"",'15 yr'!A93)</f>
        <v/>
      </c>
      <c r="B90" s="147" t="str">
        <f>IF('15 yr'!B93=0,"",'15 yr'!B93)</f>
        <v/>
      </c>
      <c r="C90" s="148" t="str">
        <f>IF('15 yr'!E93=0,"",'15 yr'!E93)</f>
        <v/>
      </c>
      <c r="D90" s="149" t="str">
        <f>IF('15 yr'!I93=0,"",'15 yr'!I93)</f>
        <v/>
      </c>
      <c r="E90" s="150" t="str">
        <f>IFERROR(IF('15 yr'!AF93=0,"",'15 yr'!AF93),"")</f>
        <v/>
      </c>
      <c r="F90" s="150" t="str">
        <f>IFERROR(IF('15 yr'!AH93=0,"",'15 yr'!AH93),"")</f>
        <v/>
      </c>
      <c r="G90" s="156" t="str">
        <f>IFERROR(IF('15 yr'!AI93=0,"",'15 yr'!AI93),"")</f>
        <v/>
      </c>
    </row>
    <row r="91" spans="1:7">
      <c r="A91" s="149" t="str">
        <f>IF('15 yr'!A94=0,"",'15 yr'!A94)</f>
        <v/>
      </c>
      <c r="B91" s="147" t="str">
        <f>IF('15 yr'!B94=0,"",'15 yr'!B94)</f>
        <v/>
      </c>
      <c r="C91" s="148" t="str">
        <f>IF('15 yr'!E94=0,"",'15 yr'!E94)</f>
        <v/>
      </c>
      <c r="D91" s="149" t="str">
        <f>IF('15 yr'!I94=0,"",'15 yr'!I94)</f>
        <v/>
      </c>
      <c r="E91" s="150" t="str">
        <f>IFERROR(IF('15 yr'!AF94=0,"",'15 yr'!AF94),"")</f>
        <v/>
      </c>
      <c r="F91" s="150" t="str">
        <f>IFERROR(IF('15 yr'!AH94=0,"",'15 yr'!AH94),"")</f>
        <v/>
      </c>
      <c r="G91" s="156" t="str">
        <f>IFERROR(IF('15 yr'!AI94=0,"",'15 yr'!AI94),"")</f>
        <v/>
      </c>
    </row>
    <row r="92" spans="1:7">
      <c r="A92" s="149" t="str">
        <f>IF('15 yr'!A95=0,"",'15 yr'!A95)</f>
        <v/>
      </c>
      <c r="B92" s="147" t="str">
        <f>IF('15 yr'!B95=0,"",'15 yr'!B95)</f>
        <v/>
      </c>
      <c r="C92" s="148" t="str">
        <f>IF('15 yr'!E95=0,"",'15 yr'!E95)</f>
        <v/>
      </c>
      <c r="D92" s="149" t="str">
        <f>IF('15 yr'!I95=0,"",'15 yr'!I95)</f>
        <v/>
      </c>
      <c r="E92" s="150" t="str">
        <f>IFERROR(IF('15 yr'!AF95=0,"",'15 yr'!AF95),"")</f>
        <v/>
      </c>
      <c r="F92" s="150" t="str">
        <f>IFERROR(IF('15 yr'!AH95=0,"",'15 yr'!AH95),"")</f>
        <v/>
      </c>
      <c r="G92" s="156" t="str">
        <f>IFERROR(IF('15 yr'!AI95=0,"",'15 yr'!AI95),"")</f>
        <v/>
      </c>
    </row>
    <row r="93" spans="1:7">
      <c r="A93" s="149" t="str">
        <f>IF('15 yr'!A96=0,"",'15 yr'!A96)</f>
        <v/>
      </c>
      <c r="B93" s="147" t="str">
        <f>IF('15 yr'!B96=0,"",'15 yr'!B96)</f>
        <v/>
      </c>
      <c r="C93" s="148" t="str">
        <f>IF('15 yr'!E96=0,"",'15 yr'!E96)</f>
        <v/>
      </c>
      <c r="D93" s="149" t="str">
        <f>IF('15 yr'!I96=0,"",'15 yr'!I96)</f>
        <v/>
      </c>
      <c r="E93" s="150" t="str">
        <f>IFERROR(IF('15 yr'!AF96=0,"",'15 yr'!AF96),"")</f>
        <v/>
      </c>
      <c r="F93" s="150" t="str">
        <f>IFERROR(IF('15 yr'!AH96=0,"",'15 yr'!AH96),"")</f>
        <v/>
      </c>
      <c r="G93" s="156" t="str">
        <f>IFERROR(IF('15 yr'!AI96=0,"",'15 yr'!AI96),"")</f>
        <v/>
      </c>
    </row>
    <row r="94" spans="1:7">
      <c r="A94" s="149" t="str">
        <f>IF('15 yr'!A97=0,"",'15 yr'!A97)</f>
        <v/>
      </c>
      <c r="B94" s="147" t="str">
        <f>IF('15 yr'!B97=0,"",'15 yr'!B97)</f>
        <v/>
      </c>
      <c r="C94" s="148" t="str">
        <f>IF('15 yr'!E97=0,"",'15 yr'!E97)</f>
        <v/>
      </c>
      <c r="D94" s="149" t="str">
        <f>IF('15 yr'!I97=0,"",'15 yr'!I97)</f>
        <v/>
      </c>
      <c r="E94" s="150" t="str">
        <f>IFERROR(IF('15 yr'!AF97=0,"",'15 yr'!AF97),"")</f>
        <v/>
      </c>
      <c r="F94" s="150" t="str">
        <f>IFERROR(IF('15 yr'!AH97=0,"",'15 yr'!AH97),"")</f>
        <v/>
      </c>
      <c r="G94" s="156" t="str">
        <f>IFERROR(IF('15 yr'!AI97=0,"",'15 yr'!AI97),"")</f>
        <v/>
      </c>
    </row>
    <row r="95" spans="1:7">
      <c r="A95" s="149" t="str">
        <f>IF('15 yr'!A98=0,"",'15 yr'!A98)</f>
        <v/>
      </c>
      <c r="B95" s="147" t="str">
        <f>IF('15 yr'!B98=0,"",'15 yr'!B98)</f>
        <v/>
      </c>
      <c r="C95" s="148" t="str">
        <f>IF('15 yr'!E98=0,"",'15 yr'!E98)</f>
        <v/>
      </c>
      <c r="D95" s="149" t="str">
        <f>IF('15 yr'!I98=0,"",'15 yr'!I98)</f>
        <v/>
      </c>
      <c r="E95" s="150" t="str">
        <f>IFERROR(IF('15 yr'!AF98=0,"",'15 yr'!AF98),"")</f>
        <v/>
      </c>
      <c r="F95" s="150" t="str">
        <f>IFERROR(IF('15 yr'!AH98=0,"",'15 yr'!AH98),"")</f>
        <v/>
      </c>
      <c r="G95" s="156" t="str">
        <f>IFERROR(IF('15 yr'!AI98=0,"",'15 yr'!AI98),"")</f>
        <v/>
      </c>
    </row>
    <row r="96" spans="1:7">
      <c r="A96" s="149" t="str">
        <f>IF('15 yr'!A99=0,"",'15 yr'!A99)</f>
        <v/>
      </c>
      <c r="B96" s="147" t="str">
        <f>IF('15 yr'!B99=0,"",'15 yr'!B99)</f>
        <v/>
      </c>
      <c r="C96" s="148" t="str">
        <f>IF('15 yr'!E99=0,"",'15 yr'!E99)</f>
        <v/>
      </c>
      <c r="D96" s="149" t="str">
        <f>IF('15 yr'!I99=0,"",'15 yr'!I99)</f>
        <v/>
      </c>
      <c r="E96" s="150" t="str">
        <f>IFERROR(IF('15 yr'!AF99=0,"",'15 yr'!AF99),"")</f>
        <v/>
      </c>
      <c r="F96" s="150" t="str">
        <f>IFERROR(IF('15 yr'!AH99=0,"",'15 yr'!AH99),"")</f>
        <v/>
      </c>
      <c r="G96" s="156" t="str">
        <f>IFERROR(IF('15 yr'!AI99=0,"",'15 yr'!AI99),"")</f>
        <v/>
      </c>
    </row>
    <row r="97" spans="1:7">
      <c r="A97" s="149" t="str">
        <f>IF('15 yr'!A100=0,"",'15 yr'!A100)</f>
        <v/>
      </c>
      <c r="B97" s="147" t="str">
        <f>IF('15 yr'!B100=0,"",'15 yr'!B100)</f>
        <v/>
      </c>
      <c r="C97" s="148" t="str">
        <f>IF('15 yr'!E100=0,"",'15 yr'!E100)</f>
        <v/>
      </c>
      <c r="D97" s="149" t="str">
        <f>IF('15 yr'!I100=0,"",'15 yr'!I100)</f>
        <v/>
      </c>
      <c r="E97" s="150" t="str">
        <f>IFERROR(IF('15 yr'!AF100=0,"",'15 yr'!AF100),"")</f>
        <v/>
      </c>
      <c r="F97" s="150" t="str">
        <f>IFERROR(IF('15 yr'!AH100=0,"",'15 yr'!AH100),"")</f>
        <v/>
      </c>
      <c r="G97" s="156" t="str">
        <f>IFERROR(IF('15 yr'!AI100=0,"",'15 yr'!AI100),"")</f>
        <v/>
      </c>
    </row>
    <row r="98" spans="1:7">
      <c r="A98" s="149" t="str">
        <f>IF('15 yr'!A101=0,"",'15 yr'!A101)</f>
        <v/>
      </c>
      <c r="B98" s="147" t="str">
        <f>IF('15 yr'!B101=0,"",'15 yr'!B101)</f>
        <v/>
      </c>
      <c r="C98" s="148" t="str">
        <f>IF('15 yr'!E101=0,"",'15 yr'!E101)</f>
        <v/>
      </c>
      <c r="D98" s="149" t="str">
        <f>IF('15 yr'!I101=0,"",'15 yr'!I101)</f>
        <v/>
      </c>
      <c r="E98" s="150" t="str">
        <f>IFERROR(IF('15 yr'!AF101=0,"",'15 yr'!AF101),"")</f>
        <v/>
      </c>
      <c r="F98" s="150" t="str">
        <f>IFERROR(IF('15 yr'!AH101=0,"",'15 yr'!AH101),"")</f>
        <v/>
      </c>
      <c r="G98" s="156" t="str">
        <f>IFERROR(IF('15 yr'!AI101=0,"",'15 yr'!AI101),"")</f>
        <v/>
      </c>
    </row>
    <row r="99" spans="1:7">
      <c r="A99" s="149" t="str">
        <f>IF('15 yr'!A102=0,"",'15 yr'!A102)</f>
        <v/>
      </c>
      <c r="B99" s="147" t="str">
        <f>IF('15 yr'!B102=0,"",'15 yr'!B102)</f>
        <v/>
      </c>
      <c r="C99" s="148" t="str">
        <f>IF('15 yr'!E102=0,"",'15 yr'!E102)</f>
        <v/>
      </c>
      <c r="D99" s="149" t="str">
        <f>IF('15 yr'!I102=0,"",'15 yr'!I102)</f>
        <v/>
      </c>
      <c r="E99" s="150" t="str">
        <f>IFERROR(IF('15 yr'!AF102=0,"",'15 yr'!AF102),"")</f>
        <v/>
      </c>
      <c r="F99" s="150" t="str">
        <f>IFERROR(IF('15 yr'!AH102=0,"",'15 yr'!AH102),"")</f>
        <v/>
      </c>
      <c r="G99" s="156" t="str">
        <f>IFERROR(IF('15 yr'!AI102=0,"",'15 yr'!AI102),"")</f>
        <v/>
      </c>
    </row>
    <row r="100" spans="1:7">
      <c r="A100" s="149" t="str">
        <f>IF('15 yr'!A103=0,"",'15 yr'!A103)</f>
        <v/>
      </c>
      <c r="B100" s="147" t="str">
        <f>IF('15 yr'!B103=0,"",'15 yr'!B103)</f>
        <v/>
      </c>
      <c r="C100" s="148" t="str">
        <f>IF('15 yr'!E103=0,"",'15 yr'!E103)</f>
        <v/>
      </c>
      <c r="D100" s="149" t="str">
        <f>IF('15 yr'!I103=0,"",'15 yr'!I103)</f>
        <v/>
      </c>
      <c r="E100" s="150" t="str">
        <f>IFERROR(IF('15 yr'!AF103=0,"",'15 yr'!AF103),"")</f>
        <v/>
      </c>
      <c r="F100" s="150" t="str">
        <f>IFERROR(IF('15 yr'!AH103=0,"",'15 yr'!AH103),"")</f>
        <v/>
      </c>
      <c r="G100" s="156" t="str">
        <f>IFERROR(IF('15 yr'!AI103=0,"",'15 yr'!AI103),"")</f>
        <v/>
      </c>
    </row>
    <row r="101" spans="1:7">
      <c r="A101" s="149" t="str">
        <f>IF('15 yr'!A104=0,"",'15 yr'!A104)</f>
        <v/>
      </c>
      <c r="B101" s="147" t="str">
        <f>IF('15 yr'!B104=0,"",'15 yr'!B104)</f>
        <v/>
      </c>
      <c r="C101" s="148" t="str">
        <f>IF('15 yr'!E104=0,"",'15 yr'!E104)</f>
        <v/>
      </c>
      <c r="D101" s="149" t="str">
        <f>IF('15 yr'!I104=0,"",'15 yr'!I104)</f>
        <v/>
      </c>
      <c r="E101" s="150" t="str">
        <f>IFERROR(IF('15 yr'!AF104=0,"",'15 yr'!AF104),"")</f>
        <v/>
      </c>
      <c r="F101" s="150" t="str">
        <f>IFERROR(IF('15 yr'!AH104=0,"",'15 yr'!AH104),"")</f>
        <v/>
      </c>
      <c r="G101" s="156" t="str">
        <f>IFERROR(IF('15 yr'!AI104=0,"",'15 yr'!AI104),"")</f>
        <v/>
      </c>
    </row>
    <row r="102" spans="1:7">
      <c r="A102" s="149" t="str">
        <f>IF('15 yr'!A105=0,"",'15 yr'!A105)</f>
        <v/>
      </c>
      <c r="B102" s="147" t="str">
        <f>IF('15 yr'!B105=0,"",'15 yr'!B105)</f>
        <v/>
      </c>
      <c r="C102" s="148" t="str">
        <f>IF('15 yr'!E105=0,"",'15 yr'!E105)</f>
        <v/>
      </c>
      <c r="D102" s="149" t="str">
        <f>IF('15 yr'!I105=0,"",'15 yr'!I105)</f>
        <v/>
      </c>
      <c r="E102" s="150" t="str">
        <f>IFERROR(IF('15 yr'!AF105=0,"",'15 yr'!AF105),"")</f>
        <v/>
      </c>
      <c r="F102" s="150" t="str">
        <f>IFERROR(IF('15 yr'!AH105=0,"",'15 yr'!AH105),"")</f>
        <v/>
      </c>
      <c r="G102" s="156" t="str">
        <f>IFERROR(IF('15 yr'!AI105=0,"",'15 yr'!AI105),"")</f>
        <v/>
      </c>
    </row>
    <row r="103" spans="1:7">
      <c r="A103" s="149" t="str">
        <f>IF('15 yr'!A106=0,"",'15 yr'!A106)</f>
        <v/>
      </c>
      <c r="B103" s="147" t="str">
        <f>IF('15 yr'!B106=0,"",'15 yr'!B106)</f>
        <v/>
      </c>
      <c r="C103" s="148" t="str">
        <f>IF('15 yr'!E106=0,"",'15 yr'!E106)</f>
        <v/>
      </c>
      <c r="D103" s="149" t="str">
        <f>IF('15 yr'!I106=0,"",'15 yr'!I106)</f>
        <v/>
      </c>
      <c r="E103" s="150" t="str">
        <f>IFERROR(IF('15 yr'!AF106=0,"",'15 yr'!AF106),"")</f>
        <v/>
      </c>
      <c r="F103" s="150" t="str">
        <f>IFERROR(IF('15 yr'!AH106=0,"",'15 yr'!AH106),"")</f>
        <v/>
      </c>
      <c r="G103" s="156" t="str">
        <f>IFERROR(IF('15 yr'!AI106=0,"",'15 yr'!AI106),"")</f>
        <v/>
      </c>
    </row>
    <row r="104" spans="1:7">
      <c r="A104" s="149" t="str">
        <f>IF('15 yr'!A107=0,"",'15 yr'!A107)</f>
        <v/>
      </c>
      <c r="B104" s="147" t="str">
        <f>IF('15 yr'!B107=0,"",'15 yr'!B107)</f>
        <v/>
      </c>
      <c r="C104" s="148" t="str">
        <f>IF('15 yr'!E107=0,"",'15 yr'!E107)</f>
        <v/>
      </c>
      <c r="D104" s="149" t="str">
        <f>IF('15 yr'!I107=0,"",'15 yr'!I107)</f>
        <v/>
      </c>
      <c r="E104" s="150" t="str">
        <f>IFERROR(IF('15 yr'!AF107=0,"",'15 yr'!AF107),"")</f>
        <v/>
      </c>
      <c r="F104" s="150" t="str">
        <f>IFERROR(IF('15 yr'!AH107=0,"",'15 yr'!AH107),"")</f>
        <v/>
      </c>
      <c r="G104" s="156" t="str">
        <f>IFERROR(IF('15 yr'!AI107=0,"",'15 yr'!AI107),"")</f>
        <v/>
      </c>
    </row>
    <row r="105" spans="1:7">
      <c r="A105" s="149" t="str">
        <f>IF('15 yr'!A108=0,"",'15 yr'!A108)</f>
        <v/>
      </c>
      <c r="B105" s="147" t="str">
        <f>IF('15 yr'!B108=0,"",'15 yr'!B108)</f>
        <v/>
      </c>
      <c r="C105" s="148" t="str">
        <f>IF('15 yr'!E108=0,"",'15 yr'!E108)</f>
        <v/>
      </c>
      <c r="D105" s="149" t="str">
        <f>IF('15 yr'!I108=0,"",'15 yr'!I108)</f>
        <v/>
      </c>
      <c r="E105" s="150" t="str">
        <f>IFERROR(IF('15 yr'!AF108=0,"",'15 yr'!AF108),"")</f>
        <v/>
      </c>
      <c r="F105" s="150" t="str">
        <f>IFERROR(IF('15 yr'!AH108=0,"",'15 yr'!AH108),"")</f>
        <v/>
      </c>
      <c r="G105" s="156" t="str">
        <f>IFERROR(IF('15 yr'!AI108=0,"",'15 yr'!AI108),"")</f>
        <v/>
      </c>
    </row>
    <row r="106" spans="1:7">
      <c r="A106" s="149" t="str">
        <f>IF('15 yr'!A109=0,"",'15 yr'!A109)</f>
        <v/>
      </c>
      <c r="B106" s="147" t="str">
        <f>IF('15 yr'!B109=0,"",'15 yr'!B109)</f>
        <v/>
      </c>
      <c r="C106" s="148" t="str">
        <f>IF('15 yr'!E109=0,"",'15 yr'!E109)</f>
        <v/>
      </c>
      <c r="D106" s="149" t="str">
        <f>IF('15 yr'!I109=0,"",'15 yr'!I109)</f>
        <v/>
      </c>
      <c r="E106" s="150" t="str">
        <f>IFERROR(IF('15 yr'!AF109=0,"",'15 yr'!AF109),"")</f>
        <v/>
      </c>
      <c r="F106" s="150" t="str">
        <f>IFERROR(IF('15 yr'!AH109=0,"",'15 yr'!AH109),"")</f>
        <v/>
      </c>
      <c r="G106" s="156" t="str">
        <f>IFERROR(IF('15 yr'!AI109=0,"",'15 yr'!AI109),"")</f>
        <v/>
      </c>
    </row>
    <row r="107" spans="1:7">
      <c r="A107" s="149" t="str">
        <f>IF('15 yr'!A110=0,"",'15 yr'!A110)</f>
        <v/>
      </c>
      <c r="B107" s="147" t="str">
        <f>IF('15 yr'!B110=0,"",'15 yr'!B110)</f>
        <v/>
      </c>
      <c r="C107" s="148" t="str">
        <f>IF('15 yr'!E110=0,"",'15 yr'!E110)</f>
        <v/>
      </c>
      <c r="D107" s="149" t="str">
        <f>IF('15 yr'!I110=0,"",'15 yr'!I110)</f>
        <v/>
      </c>
      <c r="E107" s="150" t="str">
        <f>IFERROR(IF('15 yr'!AF110=0,"",'15 yr'!AF110),"")</f>
        <v/>
      </c>
      <c r="F107" s="150" t="str">
        <f>IFERROR(IF('15 yr'!AH110=0,"",'15 yr'!AH110),"")</f>
        <v/>
      </c>
      <c r="G107" s="156" t="str">
        <f>IFERROR(IF('15 yr'!AI110=0,"",'15 yr'!AI110),"")</f>
        <v/>
      </c>
    </row>
    <row r="108" spans="1:7">
      <c r="A108" s="149" t="str">
        <f>IF('15 yr'!A111=0,"",'15 yr'!A111)</f>
        <v/>
      </c>
      <c r="B108" s="147" t="str">
        <f>IF('15 yr'!B111=0,"",'15 yr'!B111)</f>
        <v/>
      </c>
      <c r="C108" s="148" t="str">
        <f>IF('15 yr'!E111=0,"",'15 yr'!E111)</f>
        <v/>
      </c>
      <c r="D108" s="149" t="str">
        <f>IF('15 yr'!I111=0,"",'15 yr'!I111)</f>
        <v/>
      </c>
      <c r="E108" s="150" t="str">
        <f>IFERROR(IF('15 yr'!AF111=0,"",'15 yr'!AF111),"")</f>
        <v/>
      </c>
      <c r="F108" s="150" t="str">
        <f>IFERROR(IF('15 yr'!AH111=0,"",'15 yr'!AH111),"")</f>
        <v/>
      </c>
      <c r="G108" s="156" t="str">
        <f>IFERROR(IF('15 yr'!AI111=0,"",'15 yr'!AI111),"")</f>
        <v/>
      </c>
    </row>
    <row r="109" spans="1:7">
      <c r="A109" s="149" t="str">
        <f>IF('15 yr'!A112=0,"",'15 yr'!A112)</f>
        <v/>
      </c>
      <c r="B109" s="147" t="str">
        <f>IF('15 yr'!B112=0,"",'15 yr'!B112)</f>
        <v/>
      </c>
      <c r="C109" s="148" t="str">
        <f>IF('15 yr'!E112=0,"",'15 yr'!E112)</f>
        <v/>
      </c>
      <c r="D109" s="149" t="str">
        <f>IF('15 yr'!I112=0,"",'15 yr'!I112)</f>
        <v/>
      </c>
      <c r="E109" s="150" t="str">
        <f>IFERROR(IF('15 yr'!AF112=0,"",'15 yr'!AF112),"")</f>
        <v/>
      </c>
      <c r="F109" s="150" t="str">
        <f>IFERROR(IF('15 yr'!AH112=0,"",'15 yr'!AH112),"")</f>
        <v/>
      </c>
      <c r="G109" s="156" t="str">
        <f>IFERROR(IF('15 yr'!AI112=0,"",'15 yr'!AI112),"")</f>
        <v/>
      </c>
    </row>
    <row r="110" spans="1:7">
      <c r="A110" s="149" t="str">
        <f>IF('15 yr'!A113=0,"",'15 yr'!A113)</f>
        <v/>
      </c>
      <c r="B110" s="147" t="str">
        <f>IF('15 yr'!B113=0,"",'15 yr'!B113)</f>
        <v/>
      </c>
      <c r="C110" s="148" t="str">
        <f>IF('15 yr'!E113=0,"",'15 yr'!E113)</f>
        <v/>
      </c>
      <c r="D110" s="149" t="str">
        <f>IF('15 yr'!I113=0,"",'15 yr'!I113)</f>
        <v/>
      </c>
      <c r="E110" s="150" t="str">
        <f>IFERROR(IF('15 yr'!AF113=0,"",'15 yr'!AF113),"")</f>
        <v/>
      </c>
      <c r="F110" s="150" t="str">
        <f>IFERROR(IF('15 yr'!AH113=0,"",'15 yr'!AH113),"")</f>
        <v/>
      </c>
      <c r="G110" s="156" t="str">
        <f>IFERROR(IF('15 yr'!AI113=0,"",'15 yr'!AI113),"")</f>
        <v/>
      </c>
    </row>
    <row r="111" spans="1:7">
      <c r="A111" s="149" t="str">
        <f>IF('15 yr'!A114=0,"",'15 yr'!A114)</f>
        <v/>
      </c>
      <c r="B111" s="147" t="str">
        <f>IF('15 yr'!B114=0,"",'15 yr'!B114)</f>
        <v/>
      </c>
      <c r="C111" s="148" t="str">
        <f>IF('15 yr'!E114=0,"",'15 yr'!E114)</f>
        <v/>
      </c>
      <c r="D111" s="149" t="str">
        <f>IF('15 yr'!I114=0,"",'15 yr'!I114)</f>
        <v/>
      </c>
      <c r="E111" s="150" t="str">
        <f>IFERROR(IF('15 yr'!AF114=0,"",'15 yr'!AF114),"")</f>
        <v/>
      </c>
      <c r="F111" s="150" t="str">
        <f>IFERROR(IF('15 yr'!AH114=0,"",'15 yr'!AH114),"")</f>
        <v/>
      </c>
      <c r="G111" s="156" t="str">
        <f>IFERROR(IF('15 yr'!AI114=0,"",'15 yr'!AI114),"")</f>
        <v/>
      </c>
    </row>
    <row r="112" spans="1:7">
      <c r="A112" s="149" t="str">
        <f>IF('15 yr'!A115=0,"",'15 yr'!A115)</f>
        <v/>
      </c>
      <c r="B112" s="147" t="str">
        <f>IF('15 yr'!B115=0,"",'15 yr'!B115)</f>
        <v/>
      </c>
      <c r="C112" s="148" t="str">
        <f>IF('15 yr'!E115=0,"",'15 yr'!E115)</f>
        <v/>
      </c>
      <c r="D112" s="149" t="str">
        <f>IF('15 yr'!I115=0,"",'15 yr'!I115)</f>
        <v/>
      </c>
      <c r="E112" s="150" t="str">
        <f>IFERROR(IF('15 yr'!AF115=0,"",'15 yr'!AF115),"")</f>
        <v/>
      </c>
      <c r="F112" s="150" t="str">
        <f>IFERROR(IF('15 yr'!AH115=0,"",'15 yr'!AH115),"")</f>
        <v/>
      </c>
      <c r="G112" s="156" t="str">
        <f>IFERROR(IF('15 yr'!AI115=0,"",'15 yr'!AI115),"")</f>
        <v/>
      </c>
    </row>
    <row r="113" spans="1:7">
      <c r="A113" s="149" t="str">
        <f>IF('15 yr'!A116=0,"",'15 yr'!A116)</f>
        <v/>
      </c>
      <c r="B113" s="147" t="str">
        <f>IF('15 yr'!B116=0,"",'15 yr'!B116)</f>
        <v/>
      </c>
      <c r="C113" s="148" t="str">
        <f>IF('15 yr'!E116=0,"",'15 yr'!E116)</f>
        <v/>
      </c>
      <c r="D113" s="149" t="str">
        <f>IF('15 yr'!I116=0,"",'15 yr'!I116)</f>
        <v/>
      </c>
      <c r="E113" s="150" t="str">
        <f>IFERROR(IF('15 yr'!AF116=0,"",'15 yr'!AF116),"")</f>
        <v/>
      </c>
      <c r="F113" s="150" t="str">
        <f>IFERROR(IF('15 yr'!AH116=0,"",'15 yr'!AH116),"")</f>
        <v/>
      </c>
      <c r="G113" s="156" t="str">
        <f>IFERROR(IF('15 yr'!AI116=0,"",'15 yr'!AI116),"")</f>
        <v/>
      </c>
    </row>
    <row r="114" spans="1:7">
      <c r="A114" s="149" t="str">
        <f>IF('15 yr'!A117=0,"",'15 yr'!A117)</f>
        <v/>
      </c>
      <c r="B114" s="147" t="str">
        <f>IF('15 yr'!B117=0,"",'15 yr'!B117)</f>
        <v/>
      </c>
      <c r="C114" s="148" t="str">
        <f>IF('15 yr'!E117=0,"",'15 yr'!E117)</f>
        <v/>
      </c>
      <c r="D114" s="149" t="str">
        <f>IF('15 yr'!I117=0,"",'15 yr'!I117)</f>
        <v/>
      </c>
      <c r="E114" s="150" t="str">
        <f>IFERROR(IF('15 yr'!AF117=0,"",'15 yr'!AF117),"")</f>
        <v/>
      </c>
      <c r="F114" s="150" t="str">
        <f>IFERROR(IF('15 yr'!AH117=0,"",'15 yr'!AH117),"")</f>
        <v/>
      </c>
      <c r="G114" s="156" t="str">
        <f>IFERROR(IF('15 yr'!AI117=0,"",'15 yr'!AI117),"")</f>
        <v/>
      </c>
    </row>
    <row r="115" spans="1:7">
      <c r="A115" s="149" t="str">
        <f>IF('15 yr'!A118=0,"",'15 yr'!A118)</f>
        <v/>
      </c>
      <c r="B115" s="147" t="str">
        <f>IF('15 yr'!B118=0,"",'15 yr'!B118)</f>
        <v/>
      </c>
      <c r="C115" s="148" t="str">
        <f>IF('15 yr'!E118=0,"",'15 yr'!E118)</f>
        <v/>
      </c>
      <c r="D115" s="149" t="str">
        <f>IF('15 yr'!I118=0,"",'15 yr'!I118)</f>
        <v/>
      </c>
      <c r="E115" s="150" t="str">
        <f>IFERROR(IF('15 yr'!AF118=0,"",'15 yr'!AF118),"")</f>
        <v/>
      </c>
      <c r="F115" s="150" t="str">
        <f>IFERROR(IF('15 yr'!AH118=0,"",'15 yr'!AH118),"")</f>
        <v/>
      </c>
      <c r="G115" s="156" t="str">
        <f>IFERROR(IF('15 yr'!AI118=0,"",'15 yr'!AI118),"")</f>
        <v/>
      </c>
    </row>
    <row r="116" spans="1:7">
      <c r="A116" s="149" t="str">
        <f>IF('15 yr'!A119=0,"",'15 yr'!A119)</f>
        <v/>
      </c>
      <c r="B116" s="147" t="str">
        <f>IF('15 yr'!B119=0,"",'15 yr'!B119)</f>
        <v/>
      </c>
      <c r="C116" s="148" t="str">
        <f>IF('15 yr'!E119=0,"",'15 yr'!E119)</f>
        <v/>
      </c>
      <c r="D116" s="149" t="str">
        <f>IF('15 yr'!I119=0,"",'15 yr'!I119)</f>
        <v/>
      </c>
      <c r="E116" s="150" t="str">
        <f>IFERROR(IF('15 yr'!AF119=0,"",'15 yr'!AF119),"")</f>
        <v/>
      </c>
      <c r="F116" s="150" t="str">
        <f>IFERROR(IF('15 yr'!AH119=0,"",'15 yr'!AH119),"")</f>
        <v/>
      </c>
      <c r="G116" s="156" t="str">
        <f>IFERROR(IF('15 yr'!AI119=0,"",'15 yr'!AI119),"")</f>
        <v/>
      </c>
    </row>
    <row r="117" spans="1:7">
      <c r="A117" s="149" t="str">
        <f>IF('15 yr'!A120=0,"",'15 yr'!A120)</f>
        <v/>
      </c>
      <c r="B117" s="147" t="str">
        <f>IF('15 yr'!B120=0,"",'15 yr'!B120)</f>
        <v/>
      </c>
      <c r="C117" s="148" t="str">
        <f>IF('15 yr'!E120=0,"",'15 yr'!E120)</f>
        <v/>
      </c>
      <c r="D117" s="149" t="str">
        <f>IF('15 yr'!I120=0,"",'15 yr'!I120)</f>
        <v/>
      </c>
      <c r="E117" s="150" t="str">
        <f>IFERROR(IF('15 yr'!AF120=0,"",'15 yr'!AF120),"")</f>
        <v/>
      </c>
      <c r="F117" s="150" t="str">
        <f>IFERROR(IF('15 yr'!AH120=0,"",'15 yr'!AH120),"")</f>
        <v/>
      </c>
      <c r="G117" s="156" t="str">
        <f>IFERROR(IF('15 yr'!AI120=0,"",'15 yr'!AI120),"")</f>
        <v/>
      </c>
    </row>
    <row r="118" spans="1:7">
      <c r="A118" s="149" t="str">
        <f>IF('15 yr'!A121=0,"",'15 yr'!A121)</f>
        <v/>
      </c>
      <c r="B118" s="147" t="str">
        <f>IF('15 yr'!B121=0,"",'15 yr'!B121)</f>
        <v/>
      </c>
      <c r="C118" s="148" t="str">
        <f>IF('15 yr'!E121=0,"",'15 yr'!E121)</f>
        <v/>
      </c>
      <c r="D118" s="149" t="str">
        <f>IF('15 yr'!I121=0,"",'15 yr'!I121)</f>
        <v/>
      </c>
      <c r="E118" s="150" t="str">
        <f>IFERROR(IF('15 yr'!AF121=0,"",'15 yr'!AF121),"")</f>
        <v/>
      </c>
      <c r="F118" s="150" t="str">
        <f>IFERROR(IF('15 yr'!AH121=0,"",'15 yr'!AH121),"")</f>
        <v/>
      </c>
      <c r="G118" s="156" t="str">
        <f>IFERROR(IF('15 yr'!AI121=0,"",'15 yr'!AI121),"")</f>
        <v/>
      </c>
    </row>
    <row r="119" spans="1:7">
      <c r="A119" s="149" t="str">
        <f>IF('15 yr'!A122=0,"",'15 yr'!A122)</f>
        <v/>
      </c>
      <c r="B119" s="147" t="str">
        <f>IF('15 yr'!B122=0,"",'15 yr'!B122)</f>
        <v/>
      </c>
      <c r="C119" s="148" t="str">
        <f>IF('15 yr'!E122=0,"",'15 yr'!E122)</f>
        <v/>
      </c>
      <c r="D119" s="149" t="str">
        <f>IF('15 yr'!I122=0,"",'15 yr'!I122)</f>
        <v/>
      </c>
      <c r="E119" s="150" t="str">
        <f>IFERROR(IF('15 yr'!AF122=0,"",'15 yr'!AF122),"")</f>
        <v/>
      </c>
      <c r="F119" s="150" t="str">
        <f>IFERROR(IF('15 yr'!AH122=0,"",'15 yr'!AH122),"")</f>
        <v/>
      </c>
      <c r="G119" s="156" t="str">
        <f>IFERROR(IF('15 yr'!AI122=0,"",'15 yr'!AI122),"")</f>
        <v/>
      </c>
    </row>
    <row r="120" spans="1:7">
      <c r="A120" s="149" t="str">
        <f>IF('15 yr'!A123=0,"",'15 yr'!A123)</f>
        <v/>
      </c>
      <c r="B120" s="147" t="str">
        <f>IF('15 yr'!B123=0,"",'15 yr'!B123)</f>
        <v/>
      </c>
      <c r="C120" s="148" t="str">
        <f>IF('15 yr'!E123=0,"",'15 yr'!E123)</f>
        <v/>
      </c>
      <c r="D120" s="149" t="str">
        <f>IF('15 yr'!I123=0,"",'15 yr'!I123)</f>
        <v/>
      </c>
      <c r="E120" s="150" t="str">
        <f>IFERROR(IF('15 yr'!AF123=0,"",'15 yr'!AF123),"")</f>
        <v/>
      </c>
      <c r="F120" s="150" t="str">
        <f>IFERROR(IF('15 yr'!AH123=0,"",'15 yr'!AH123),"")</f>
        <v/>
      </c>
      <c r="G120" s="156" t="str">
        <f>IFERROR(IF('15 yr'!AI123=0,"",'15 yr'!AI123),"")</f>
        <v/>
      </c>
    </row>
    <row r="121" spans="1:7">
      <c r="A121" s="149" t="str">
        <f>IF('15 yr'!A124=0,"",'15 yr'!A124)</f>
        <v/>
      </c>
      <c r="B121" s="147" t="str">
        <f>IF('15 yr'!B124=0,"",'15 yr'!B124)</f>
        <v/>
      </c>
      <c r="C121" s="148" t="str">
        <f>IF('15 yr'!E124=0,"",'15 yr'!E124)</f>
        <v/>
      </c>
      <c r="D121" s="149" t="str">
        <f>IF('15 yr'!I124=0,"",'15 yr'!I124)</f>
        <v/>
      </c>
      <c r="E121" s="150" t="str">
        <f>IFERROR(IF('15 yr'!AF124=0,"",'15 yr'!AF124),"")</f>
        <v/>
      </c>
      <c r="F121" s="150" t="str">
        <f>IFERROR(IF('15 yr'!AH124=0,"",'15 yr'!AH124),"")</f>
        <v/>
      </c>
      <c r="G121" s="156" t="str">
        <f>IFERROR(IF('15 yr'!AI124=0,"",'15 yr'!AI124),"")</f>
        <v/>
      </c>
    </row>
    <row r="122" spans="1:7">
      <c r="A122" s="149" t="str">
        <f>IF('15 yr'!A125=0,"",'15 yr'!A125)</f>
        <v/>
      </c>
      <c r="B122" s="147" t="str">
        <f>IF('15 yr'!B125=0,"",'15 yr'!B125)</f>
        <v/>
      </c>
      <c r="C122" s="148" t="str">
        <f>IF('15 yr'!E125=0,"",'15 yr'!E125)</f>
        <v/>
      </c>
      <c r="D122" s="149" t="str">
        <f>IF('15 yr'!I125=0,"",'15 yr'!I125)</f>
        <v/>
      </c>
      <c r="E122" s="150" t="str">
        <f>IFERROR(IF('15 yr'!AF125=0,"",'15 yr'!AF125),"")</f>
        <v/>
      </c>
      <c r="F122" s="150" t="str">
        <f>IFERROR(IF('15 yr'!AH125=0,"",'15 yr'!AH125),"")</f>
        <v/>
      </c>
      <c r="G122" s="156" t="str">
        <f>IFERROR(IF('15 yr'!AI125=0,"",'15 yr'!AI125),"")</f>
        <v/>
      </c>
    </row>
    <row r="123" spans="1:7">
      <c r="A123" s="149" t="str">
        <f>IF('15 yr'!A126=0,"",'15 yr'!A126)</f>
        <v/>
      </c>
      <c r="B123" s="147" t="str">
        <f>IF('15 yr'!B126=0,"",'15 yr'!B126)</f>
        <v/>
      </c>
      <c r="C123" s="148" t="str">
        <f>IF('15 yr'!E126=0,"",'15 yr'!E126)</f>
        <v/>
      </c>
      <c r="D123" s="149" t="str">
        <f>IF('15 yr'!I126=0,"",'15 yr'!I126)</f>
        <v/>
      </c>
      <c r="E123" s="150" t="str">
        <f>IFERROR(IF('15 yr'!AF126=0,"",'15 yr'!AF126),"")</f>
        <v/>
      </c>
      <c r="F123" s="150" t="str">
        <f>IFERROR(IF('15 yr'!AH126=0,"",'15 yr'!AH126),"")</f>
        <v/>
      </c>
      <c r="G123" s="156" t="str">
        <f>IFERROR(IF('15 yr'!AI126=0,"",'15 yr'!AI126),"")</f>
        <v/>
      </c>
    </row>
    <row r="124" spans="1:7">
      <c r="A124" s="149" t="str">
        <f>IF('15 yr'!A127=0,"",'15 yr'!A127)</f>
        <v/>
      </c>
      <c r="B124" s="147" t="str">
        <f>IF('15 yr'!B127=0,"",'15 yr'!B127)</f>
        <v/>
      </c>
      <c r="C124" s="148" t="str">
        <f>IF('15 yr'!E127=0,"",'15 yr'!E127)</f>
        <v/>
      </c>
      <c r="D124" s="149" t="str">
        <f>IF('15 yr'!I127=0,"",'15 yr'!I127)</f>
        <v/>
      </c>
      <c r="E124" s="150" t="str">
        <f>IFERROR(IF('15 yr'!AF127=0,"",'15 yr'!AF127),"")</f>
        <v/>
      </c>
      <c r="F124" s="150" t="str">
        <f>IFERROR(IF('15 yr'!AH127=0,"",'15 yr'!AH127),"")</f>
        <v/>
      </c>
      <c r="G124" s="156" t="str">
        <f>IFERROR(IF('15 yr'!AI127=0,"",'15 yr'!AI127),"")</f>
        <v/>
      </c>
    </row>
    <row r="125" spans="1:7">
      <c r="A125" s="149" t="str">
        <f>IF('15 yr'!A128=0,"",'15 yr'!A128)</f>
        <v/>
      </c>
      <c r="B125" s="147" t="str">
        <f>IF('15 yr'!B128=0,"",'15 yr'!B128)</f>
        <v/>
      </c>
      <c r="C125" s="148" t="str">
        <f>IF('15 yr'!E128=0,"",'15 yr'!E128)</f>
        <v/>
      </c>
      <c r="D125" s="149" t="str">
        <f>IF('15 yr'!I128=0,"",'15 yr'!I128)</f>
        <v/>
      </c>
      <c r="E125" s="150" t="str">
        <f>IFERROR(IF('15 yr'!AF128=0,"",'15 yr'!AF128),"")</f>
        <v/>
      </c>
      <c r="F125" s="150" t="str">
        <f>IFERROR(IF('15 yr'!AH128=0,"",'15 yr'!AH128),"")</f>
        <v/>
      </c>
      <c r="G125" s="156" t="str">
        <f>IFERROR(IF('15 yr'!AI128=0,"",'15 yr'!AI128),"")</f>
        <v/>
      </c>
    </row>
    <row r="126" spans="1:7">
      <c r="A126" s="149" t="str">
        <f>IF('15 yr'!A129=0,"",'15 yr'!A129)</f>
        <v/>
      </c>
      <c r="B126" s="147" t="str">
        <f>IF('15 yr'!B129=0,"",'15 yr'!B129)</f>
        <v/>
      </c>
      <c r="C126" s="148" t="str">
        <f>IF('15 yr'!E129=0,"",'15 yr'!E129)</f>
        <v/>
      </c>
      <c r="D126" s="149" t="str">
        <f>IF('15 yr'!I129=0,"",'15 yr'!I129)</f>
        <v/>
      </c>
      <c r="E126" s="150" t="str">
        <f>IFERROR(IF('15 yr'!AF129=0,"",'15 yr'!AF129),"")</f>
        <v/>
      </c>
      <c r="F126" s="150" t="str">
        <f>IFERROR(IF('15 yr'!AH129=0,"",'15 yr'!AH129),"")</f>
        <v/>
      </c>
      <c r="G126" s="156" t="str">
        <f>IFERROR(IF('15 yr'!AI129=0,"",'15 yr'!AI129),"")</f>
        <v/>
      </c>
    </row>
    <row r="127" spans="1:7">
      <c r="A127" s="149" t="str">
        <f>IF('15 yr'!A130=0,"",'15 yr'!A130)</f>
        <v/>
      </c>
      <c r="B127" s="147" t="str">
        <f>IF('15 yr'!B130=0,"",'15 yr'!B130)</f>
        <v/>
      </c>
      <c r="C127" s="148" t="str">
        <f>IF('15 yr'!E130=0,"",'15 yr'!E130)</f>
        <v/>
      </c>
      <c r="D127" s="149" t="str">
        <f>IF('15 yr'!I130=0,"",'15 yr'!I130)</f>
        <v/>
      </c>
      <c r="E127" s="150" t="str">
        <f>IFERROR(IF('15 yr'!AF130=0,"",'15 yr'!AF130),"")</f>
        <v/>
      </c>
      <c r="F127" s="150" t="str">
        <f>IFERROR(IF('15 yr'!AH130=0,"",'15 yr'!AH130),"")</f>
        <v/>
      </c>
      <c r="G127" s="156" t="str">
        <f>IFERROR(IF('15 yr'!AI130=0,"",'15 yr'!AI130),"")</f>
        <v/>
      </c>
    </row>
    <row r="128" spans="1:7">
      <c r="A128" s="149" t="str">
        <f>IF('15 yr'!A131=0,"",'15 yr'!A131)</f>
        <v/>
      </c>
      <c r="B128" s="147" t="str">
        <f>IF('15 yr'!B131=0,"",'15 yr'!B131)</f>
        <v/>
      </c>
      <c r="C128" s="148" t="str">
        <f>IF('15 yr'!E131=0,"",'15 yr'!E131)</f>
        <v/>
      </c>
      <c r="D128" s="149" t="str">
        <f>IF('15 yr'!I131=0,"",'15 yr'!I131)</f>
        <v/>
      </c>
      <c r="E128" s="150" t="str">
        <f>IFERROR(IF('15 yr'!AF131=0,"",'15 yr'!AF131),"")</f>
        <v/>
      </c>
      <c r="F128" s="150" t="str">
        <f>IFERROR(IF('15 yr'!AH131=0,"",'15 yr'!AH131),"")</f>
        <v/>
      </c>
      <c r="G128" s="156" t="str">
        <f>IFERROR(IF('15 yr'!AI131=0,"",'15 yr'!AI131),"")</f>
        <v/>
      </c>
    </row>
    <row r="129" spans="1:7">
      <c r="A129" s="149" t="str">
        <f>IF('15 yr'!A132=0,"",'15 yr'!A132)</f>
        <v/>
      </c>
      <c r="B129" s="147" t="str">
        <f>IF('15 yr'!B132=0,"",'15 yr'!B132)</f>
        <v/>
      </c>
      <c r="C129" s="148" t="str">
        <f>IF('15 yr'!E132=0,"",'15 yr'!E132)</f>
        <v/>
      </c>
      <c r="D129" s="149" t="str">
        <f>IF('15 yr'!I132=0,"",'15 yr'!I132)</f>
        <v/>
      </c>
      <c r="E129" s="150" t="str">
        <f>IFERROR(IF('15 yr'!AF132=0,"",'15 yr'!AF132),"")</f>
        <v/>
      </c>
      <c r="F129" s="150" t="str">
        <f>IFERROR(IF('15 yr'!AH132=0,"",'15 yr'!AH132),"")</f>
        <v/>
      </c>
      <c r="G129" s="156" t="str">
        <f>IFERROR(IF('15 yr'!AI132=0,"",'15 yr'!AI132),"")</f>
        <v/>
      </c>
    </row>
    <row r="130" spans="1:7">
      <c r="A130" s="149" t="str">
        <f>IF('15 yr'!A133=0,"",'15 yr'!A133)</f>
        <v/>
      </c>
      <c r="B130" s="147" t="str">
        <f>IF('15 yr'!B133=0,"",'15 yr'!B133)</f>
        <v/>
      </c>
      <c r="C130" s="148" t="str">
        <f>IF('15 yr'!E133=0,"",'15 yr'!E133)</f>
        <v/>
      </c>
      <c r="D130" s="149" t="str">
        <f>IF('15 yr'!I133=0,"",'15 yr'!I133)</f>
        <v/>
      </c>
      <c r="E130" s="150" t="str">
        <f>IFERROR(IF('15 yr'!AF133=0,"",'15 yr'!AF133),"")</f>
        <v/>
      </c>
      <c r="F130" s="150" t="str">
        <f>IFERROR(IF('15 yr'!AH133=0,"",'15 yr'!AH133),"")</f>
        <v/>
      </c>
      <c r="G130" s="156" t="str">
        <f>IFERROR(IF('15 yr'!AI133=0,"",'15 yr'!AI133),"")</f>
        <v/>
      </c>
    </row>
    <row r="131" spans="1:7">
      <c r="A131" s="149" t="str">
        <f>IF('15 yr'!A134=0,"",'15 yr'!A134)</f>
        <v/>
      </c>
      <c r="B131" s="147" t="str">
        <f>IF('15 yr'!B134=0,"",'15 yr'!B134)</f>
        <v/>
      </c>
      <c r="C131" s="148" t="str">
        <f>IF('15 yr'!E134=0,"",'15 yr'!E134)</f>
        <v/>
      </c>
      <c r="D131" s="149" t="str">
        <f>IF('15 yr'!I134=0,"",'15 yr'!I134)</f>
        <v/>
      </c>
      <c r="E131" s="150" t="str">
        <f>IFERROR(IF('15 yr'!AF134=0,"",'15 yr'!AF134),"")</f>
        <v/>
      </c>
      <c r="F131" s="150" t="str">
        <f>IFERROR(IF('15 yr'!AH134=0,"",'15 yr'!AH134),"")</f>
        <v/>
      </c>
      <c r="G131" s="156" t="str">
        <f>IFERROR(IF('15 yr'!AI134=0,"",'15 yr'!AI134),"")</f>
        <v/>
      </c>
    </row>
    <row r="132" spans="1:7">
      <c r="A132" s="149" t="str">
        <f>IF('15 yr'!A135=0,"",'15 yr'!A135)</f>
        <v/>
      </c>
      <c r="B132" s="147" t="str">
        <f>IF('15 yr'!B135=0,"",'15 yr'!B135)</f>
        <v/>
      </c>
      <c r="C132" s="148" t="str">
        <f>IF('15 yr'!E135=0,"",'15 yr'!E135)</f>
        <v/>
      </c>
      <c r="D132" s="149" t="str">
        <f>IF('15 yr'!I135=0,"",'15 yr'!I135)</f>
        <v/>
      </c>
      <c r="E132" s="150" t="str">
        <f>IFERROR(IF('15 yr'!AF135=0,"",'15 yr'!AF135),"")</f>
        <v/>
      </c>
      <c r="F132" s="150" t="str">
        <f>IFERROR(IF('15 yr'!AH135=0,"",'15 yr'!AH135),"")</f>
        <v/>
      </c>
      <c r="G132" s="156" t="str">
        <f>IFERROR(IF('15 yr'!AI135=0,"",'15 yr'!AI135),"")</f>
        <v/>
      </c>
    </row>
    <row r="133" spans="1:7">
      <c r="A133" s="149" t="str">
        <f>IF('15 yr'!A136=0,"",'15 yr'!A136)</f>
        <v/>
      </c>
      <c r="B133" s="147" t="str">
        <f>IF('15 yr'!B136=0,"",'15 yr'!B136)</f>
        <v/>
      </c>
      <c r="C133" s="148" t="str">
        <f>IF('15 yr'!E136=0,"",'15 yr'!E136)</f>
        <v/>
      </c>
      <c r="D133" s="149" t="str">
        <f>IF('15 yr'!I136=0,"",'15 yr'!I136)</f>
        <v/>
      </c>
      <c r="E133" s="150" t="str">
        <f>IFERROR(IF('15 yr'!AF136=0,"",'15 yr'!AF136),"")</f>
        <v/>
      </c>
      <c r="F133" s="150" t="str">
        <f>IFERROR(IF('15 yr'!AH136=0,"",'15 yr'!AH136),"")</f>
        <v/>
      </c>
      <c r="G133" s="156" t="str">
        <f>IFERROR(IF('15 yr'!AI136=0,"",'15 yr'!AI136),"")</f>
        <v/>
      </c>
    </row>
    <row r="134" spans="1:7">
      <c r="A134" s="149" t="str">
        <f>IF('15 yr'!A137=0,"",'15 yr'!A137)</f>
        <v/>
      </c>
      <c r="B134" s="147" t="str">
        <f>IF('15 yr'!B137=0,"",'15 yr'!B137)</f>
        <v/>
      </c>
      <c r="C134" s="148" t="str">
        <f>IF('15 yr'!E137=0,"",'15 yr'!E137)</f>
        <v/>
      </c>
      <c r="D134" s="149" t="str">
        <f>IF('15 yr'!I137=0,"",'15 yr'!I137)</f>
        <v/>
      </c>
      <c r="E134" s="150" t="str">
        <f>IFERROR(IF('15 yr'!AF137=0,"",'15 yr'!AF137),"")</f>
        <v/>
      </c>
      <c r="F134" s="150" t="str">
        <f>IFERROR(IF('15 yr'!AH137=0,"",'15 yr'!AH137),"")</f>
        <v/>
      </c>
      <c r="G134" s="156" t="str">
        <f>IFERROR(IF('15 yr'!AI137=0,"",'15 yr'!AI137),"")</f>
        <v/>
      </c>
    </row>
    <row r="135" spans="1:7">
      <c r="A135" s="149" t="str">
        <f>IF('15 yr'!A138=0,"",'15 yr'!A138)</f>
        <v/>
      </c>
      <c r="B135" s="147" t="str">
        <f>IF('15 yr'!B138=0,"",'15 yr'!B138)</f>
        <v/>
      </c>
      <c r="C135" s="148" t="str">
        <f>IF('15 yr'!E138=0,"",'15 yr'!E138)</f>
        <v/>
      </c>
      <c r="D135" s="149" t="str">
        <f>IF('15 yr'!I138=0,"",'15 yr'!I138)</f>
        <v/>
      </c>
      <c r="E135" s="150" t="str">
        <f>IFERROR(IF('15 yr'!AF138=0,"",'15 yr'!AF138),"")</f>
        <v/>
      </c>
      <c r="F135" s="150" t="str">
        <f>IFERROR(IF('15 yr'!AH138=0,"",'15 yr'!AH138),"")</f>
        <v/>
      </c>
      <c r="G135" s="156" t="str">
        <f>IFERROR(IF('15 yr'!AI138=0,"",'15 yr'!AI138),"")</f>
        <v/>
      </c>
    </row>
    <row r="136" spans="1:7">
      <c r="A136" s="149" t="str">
        <f>IF('15 yr'!A139=0,"",'15 yr'!A139)</f>
        <v/>
      </c>
      <c r="B136" s="147" t="str">
        <f>IF('15 yr'!B139=0,"",'15 yr'!B139)</f>
        <v/>
      </c>
      <c r="C136" s="148" t="str">
        <f>IF('15 yr'!E139=0,"",'15 yr'!E139)</f>
        <v/>
      </c>
      <c r="D136" s="149" t="str">
        <f>IF('15 yr'!I139=0,"",'15 yr'!I139)</f>
        <v/>
      </c>
      <c r="E136" s="150" t="str">
        <f>IFERROR(IF('15 yr'!AF139=0,"",'15 yr'!AF139),"")</f>
        <v/>
      </c>
      <c r="F136" s="150" t="str">
        <f>IFERROR(IF('15 yr'!AH139=0,"",'15 yr'!AH139),"")</f>
        <v/>
      </c>
      <c r="G136" s="156" t="str">
        <f>IFERROR(IF('15 yr'!AI139=0,"",'15 yr'!AI139),"")</f>
        <v/>
      </c>
    </row>
    <row r="137" spans="1:7">
      <c r="A137" s="149" t="str">
        <f>IF('15 yr'!A140=0,"",'15 yr'!A140)</f>
        <v/>
      </c>
      <c r="B137" s="147" t="str">
        <f>IF('15 yr'!B140=0,"",'15 yr'!B140)</f>
        <v/>
      </c>
      <c r="C137" s="148" t="str">
        <f>IF('15 yr'!E140=0,"",'15 yr'!E140)</f>
        <v/>
      </c>
      <c r="D137" s="149" t="str">
        <f>IF('15 yr'!I140=0,"",'15 yr'!I140)</f>
        <v/>
      </c>
      <c r="E137" s="150" t="str">
        <f>IFERROR(IF('15 yr'!AF140=0,"",'15 yr'!AF140),"")</f>
        <v/>
      </c>
      <c r="F137" s="150" t="str">
        <f>IFERROR(IF('15 yr'!AH140=0,"",'15 yr'!AH140),"")</f>
        <v/>
      </c>
      <c r="G137" s="156" t="str">
        <f>IFERROR(IF('15 yr'!AI140=0,"",'15 yr'!AI140),"")</f>
        <v/>
      </c>
    </row>
    <row r="138" spans="1:7">
      <c r="A138" s="149" t="str">
        <f>IF('15 yr'!A141=0,"",'15 yr'!A141)</f>
        <v/>
      </c>
      <c r="B138" s="147" t="str">
        <f>IF('15 yr'!B141=0,"",'15 yr'!B141)</f>
        <v/>
      </c>
      <c r="C138" s="148" t="str">
        <f>IF('15 yr'!E141=0,"",'15 yr'!E141)</f>
        <v/>
      </c>
      <c r="D138" s="149" t="str">
        <f>IF('15 yr'!I141=0,"",'15 yr'!I141)</f>
        <v/>
      </c>
      <c r="E138" s="150" t="str">
        <f>IFERROR(IF('15 yr'!AF141=0,"",'15 yr'!AF141),"")</f>
        <v/>
      </c>
      <c r="F138" s="150" t="str">
        <f>IFERROR(IF('15 yr'!AH141=0,"",'15 yr'!AH141),"")</f>
        <v/>
      </c>
      <c r="G138" s="156" t="str">
        <f>IFERROR(IF('15 yr'!AI141=0,"",'15 yr'!AI141),"")</f>
        <v/>
      </c>
    </row>
    <row r="139" spans="1:7">
      <c r="A139" s="149" t="str">
        <f>IF('15 yr'!A142=0,"",'15 yr'!A142)</f>
        <v/>
      </c>
      <c r="B139" s="147" t="str">
        <f>IF('15 yr'!B142=0,"",'15 yr'!B142)</f>
        <v/>
      </c>
      <c r="C139" s="148" t="str">
        <f>IF('15 yr'!E142=0,"",'15 yr'!E142)</f>
        <v/>
      </c>
      <c r="D139" s="149" t="str">
        <f>IF('15 yr'!I142=0,"",'15 yr'!I142)</f>
        <v/>
      </c>
      <c r="E139" s="150" t="str">
        <f>IFERROR(IF('15 yr'!AF142=0,"",'15 yr'!AF142),"")</f>
        <v/>
      </c>
      <c r="F139" s="150" t="str">
        <f>IFERROR(IF('15 yr'!AH142=0,"",'15 yr'!AH142),"")</f>
        <v/>
      </c>
      <c r="G139" s="156" t="str">
        <f>IFERROR(IF('15 yr'!AI142=0,"",'15 yr'!AI142),"")</f>
        <v/>
      </c>
    </row>
    <row r="140" spans="1:7">
      <c r="A140" s="149" t="str">
        <f>IF('15 yr'!A143=0,"",'15 yr'!A143)</f>
        <v/>
      </c>
      <c r="B140" s="147" t="str">
        <f>IF('15 yr'!B143=0,"",'15 yr'!B143)</f>
        <v/>
      </c>
      <c r="C140" s="148" t="str">
        <f>IF('15 yr'!E143=0,"",'15 yr'!E143)</f>
        <v/>
      </c>
      <c r="D140" s="149" t="str">
        <f>IF('15 yr'!I143=0,"",'15 yr'!I143)</f>
        <v/>
      </c>
      <c r="E140" s="150" t="str">
        <f>IFERROR(IF('15 yr'!AF143=0,"",'15 yr'!AF143),"")</f>
        <v/>
      </c>
      <c r="F140" s="150" t="str">
        <f>IFERROR(IF('15 yr'!AH143=0,"",'15 yr'!AH143),"")</f>
        <v/>
      </c>
      <c r="G140" s="156" t="str">
        <f>IFERROR(IF('15 yr'!AI143=0,"",'15 yr'!AI143),"")</f>
        <v/>
      </c>
    </row>
    <row r="141" spans="1:7">
      <c r="A141" s="149" t="str">
        <f>IF('15 yr'!A144=0,"",'15 yr'!A144)</f>
        <v/>
      </c>
      <c r="B141" s="147" t="str">
        <f>IF('15 yr'!B144=0,"",'15 yr'!B144)</f>
        <v/>
      </c>
      <c r="C141" s="148" t="str">
        <f>IF('15 yr'!E144=0,"",'15 yr'!E144)</f>
        <v/>
      </c>
      <c r="D141" s="149" t="str">
        <f>IF('15 yr'!I144=0,"",'15 yr'!I144)</f>
        <v/>
      </c>
      <c r="E141" s="150" t="str">
        <f>IFERROR(IF('15 yr'!AF144=0,"",'15 yr'!AF144),"")</f>
        <v/>
      </c>
      <c r="F141" s="150" t="str">
        <f>IFERROR(IF('15 yr'!AH144=0,"",'15 yr'!AH144),"")</f>
        <v/>
      </c>
      <c r="G141" s="156" t="str">
        <f>IFERROR(IF('15 yr'!AI144=0,"",'15 yr'!AI144),"")</f>
        <v/>
      </c>
    </row>
    <row r="142" spans="1:7">
      <c r="A142" s="149" t="str">
        <f>IF('15 yr'!A145=0,"",'15 yr'!A145)</f>
        <v/>
      </c>
      <c r="B142" s="147" t="str">
        <f>IF('15 yr'!B145=0,"",'15 yr'!B145)</f>
        <v/>
      </c>
      <c r="C142" s="148" t="str">
        <f>IF('15 yr'!E145=0,"",'15 yr'!E145)</f>
        <v/>
      </c>
      <c r="D142" s="149" t="str">
        <f>IF('15 yr'!I145=0,"",'15 yr'!I145)</f>
        <v/>
      </c>
      <c r="E142" s="150" t="str">
        <f>IFERROR(IF('15 yr'!AF145=0,"",'15 yr'!AF145),"")</f>
        <v/>
      </c>
      <c r="F142" s="150" t="str">
        <f>IFERROR(IF('15 yr'!AH145=0,"",'15 yr'!AH145),"")</f>
        <v/>
      </c>
      <c r="G142" s="156" t="str">
        <f>IFERROR(IF('15 yr'!AI145=0,"",'15 yr'!AI145),"")</f>
        <v/>
      </c>
    </row>
    <row r="143" spans="1:7">
      <c r="A143" s="149" t="str">
        <f>IF('15 yr'!A146=0,"",'15 yr'!A146)</f>
        <v/>
      </c>
      <c r="B143" s="147" t="str">
        <f>IF('15 yr'!B146=0,"",'15 yr'!B146)</f>
        <v/>
      </c>
      <c r="C143" s="148" t="str">
        <f>IF('15 yr'!E146=0,"",'15 yr'!E146)</f>
        <v/>
      </c>
      <c r="D143" s="149" t="str">
        <f>IF('15 yr'!I146=0,"",'15 yr'!I146)</f>
        <v/>
      </c>
      <c r="E143" s="150" t="str">
        <f>IFERROR(IF('15 yr'!AF146=0,"",'15 yr'!AF146),"")</f>
        <v/>
      </c>
      <c r="F143" s="150" t="str">
        <f>IFERROR(IF('15 yr'!AH146=0,"",'15 yr'!AH146),"")</f>
        <v/>
      </c>
      <c r="G143" s="156" t="str">
        <f>IFERROR(IF('15 yr'!AI146=0,"",'15 yr'!AI146),"")</f>
        <v/>
      </c>
    </row>
    <row r="144" spans="1:7">
      <c r="A144" s="149" t="str">
        <f>IF('15 yr'!A147=0,"",'15 yr'!A147)</f>
        <v/>
      </c>
      <c r="B144" s="147" t="str">
        <f>IF('15 yr'!B147=0,"",'15 yr'!B147)</f>
        <v/>
      </c>
      <c r="C144" s="148" t="str">
        <f>IF('15 yr'!E147=0,"",'15 yr'!E147)</f>
        <v/>
      </c>
      <c r="D144" s="149" t="str">
        <f>IF('15 yr'!I147=0,"",'15 yr'!I147)</f>
        <v/>
      </c>
      <c r="E144" s="150" t="str">
        <f>IFERROR(IF('15 yr'!AF147=0,"",'15 yr'!AF147),"")</f>
        <v/>
      </c>
      <c r="F144" s="150" t="str">
        <f>IFERROR(IF('15 yr'!AH147=0,"",'15 yr'!AH147),"")</f>
        <v/>
      </c>
      <c r="G144" s="156" t="str">
        <f>IFERROR(IF('15 yr'!AI147=0,"",'15 yr'!AI147),"")</f>
        <v/>
      </c>
    </row>
    <row r="145" spans="1:7">
      <c r="A145" s="149" t="str">
        <f>IF('15 yr'!A148=0,"",'15 yr'!A148)</f>
        <v/>
      </c>
      <c r="B145" s="147" t="str">
        <f>IF('15 yr'!B148=0,"",'15 yr'!B148)</f>
        <v/>
      </c>
      <c r="C145" s="148" t="str">
        <f>IF('15 yr'!E148=0,"",'15 yr'!E148)</f>
        <v/>
      </c>
      <c r="D145" s="149" t="str">
        <f>IF('15 yr'!I148=0,"",'15 yr'!I148)</f>
        <v/>
      </c>
      <c r="E145" s="150" t="str">
        <f>IFERROR(IF('15 yr'!AF148=0,"",'15 yr'!AF148),"")</f>
        <v/>
      </c>
      <c r="F145" s="150" t="str">
        <f>IFERROR(IF('15 yr'!AH148=0,"",'15 yr'!AH148),"")</f>
        <v/>
      </c>
      <c r="G145" s="156" t="str">
        <f>IFERROR(IF('15 yr'!AI148=0,"",'15 yr'!AI148),"")</f>
        <v/>
      </c>
    </row>
    <row r="146" spans="1:7">
      <c r="A146" s="149" t="str">
        <f>IF('15 yr'!A149=0,"",'15 yr'!A149)</f>
        <v/>
      </c>
      <c r="B146" s="147" t="str">
        <f>IF('15 yr'!B149=0,"",'15 yr'!B149)</f>
        <v/>
      </c>
      <c r="C146" s="148" t="str">
        <f>IF('15 yr'!E149=0,"",'15 yr'!E149)</f>
        <v/>
      </c>
      <c r="D146" s="149" t="str">
        <f>IF('15 yr'!I149=0,"",'15 yr'!I149)</f>
        <v/>
      </c>
      <c r="E146" s="150" t="str">
        <f>IFERROR(IF('15 yr'!AF149=0,"",'15 yr'!AF149),"")</f>
        <v/>
      </c>
      <c r="F146" s="150" t="str">
        <f>IFERROR(IF('15 yr'!AH149=0,"",'15 yr'!AH149),"")</f>
        <v/>
      </c>
      <c r="G146" s="156" t="str">
        <f>IFERROR(IF('15 yr'!AI149=0,"",'15 yr'!AI149),"")</f>
        <v/>
      </c>
    </row>
    <row r="147" spans="1:7">
      <c r="A147" s="149" t="str">
        <f>IF('15 yr'!A150=0,"",'15 yr'!A150)</f>
        <v/>
      </c>
      <c r="B147" s="147" t="str">
        <f>IF('15 yr'!B150=0,"",'15 yr'!B150)</f>
        <v/>
      </c>
      <c r="C147" s="148" t="str">
        <f>IF('15 yr'!E150=0,"",'15 yr'!E150)</f>
        <v/>
      </c>
      <c r="D147" s="149" t="str">
        <f>IF('15 yr'!I150=0,"",'15 yr'!I150)</f>
        <v/>
      </c>
      <c r="E147" s="150" t="str">
        <f>IFERROR(IF('15 yr'!AF150=0,"",'15 yr'!AF150),"")</f>
        <v/>
      </c>
      <c r="F147" s="150" t="str">
        <f>IFERROR(IF('15 yr'!AH150=0,"",'15 yr'!AH150),"")</f>
        <v/>
      </c>
      <c r="G147" s="156" t="str">
        <f>IFERROR(IF('15 yr'!AI150=0,"",'15 yr'!AI150),"")</f>
        <v/>
      </c>
    </row>
    <row r="148" spans="1:7">
      <c r="A148" s="149" t="str">
        <f>IF('15 yr'!A151=0,"",'15 yr'!A151)</f>
        <v/>
      </c>
      <c r="B148" s="147" t="str">
        <f>IF('15 yr'!B151=0,"",'15 yr'!B151)</f>
        <v/>
      </c>
      <c r="C148" s="148" t="str">
        <f>IF('15 yr'!E151=0,"",'15 yr'!E151)</f>
        <v/>
      </c>
      <c r="D148" s="149" t="str">
        <f>IF('15 yr'!I151=0,"",'15 yr'!I151)</f>
        <v/>
      </c>
      <c r="E148" s="150" t="str">
        <f>IFERROR(IF('15 yr'!AF151=0,"",'15 yr'!AF151),"")</f>
        <v/>
      </c>
      <c r="F148" s="150" t="str">
        <f>IFERROR(IF('15 yr'!AH151=0,"",'15 yr'!AH151),"")</f>
        <v/>
      </c>
      <c r="G148" s="156" t="str">
        <f>IFERROR(IF('15 yr'!AI151=0,"",'15 yr'!AI151),"")</f>
        <v/>
      </c>
    </row>
    <row r="149" spans="1:7">
      <c r="A149" s="149" t="str">
        <f>IF('15 yr'!A152=0,"",'15 yr'!A152)</f>
        <v/>
      </c>
      <c r="B149" s="147" t="str">
        <f>IF('15 yr'!B152=0,"",'15 yr'!B152)</f>
        <v/>
      </c>
      <c r="C149" s="148" t="str">
        <f>IF('15 yr'!E152=0,"",'15 yr'!E152)</f>
        <v/>
      </c>
      <c r="D149" s="149" t="str">
        <f>IF('15 yr'!I152=0,"",'15 yr'!I152)</f>
        <v/>
      </c>
      <c r="E149" s="150" t="str">
        <f>IFERROR(IF('15 yr'!AF152=0,"",'15 yr'!AF152),"")</f>
        <v/>
      </c>
      <c r="F149" s="150" t="str">
        <f>IFERROR(IF('15 yr'!AH152=0,"",'15 yr'!AH152),"")</f>
        <v/>
      </c>
      <c r="G149" s="156" t="str">
        <f>IFERROR(IF('15 yr'!AI152=0,"",'15 yr'!AI152),"")</f>
        <v/>
      </c>
    </row>
    <row r="150" spans="1:7">
      <c r="A150" s="149" t="str">
        <f>IF('15 yr'!A153=0,"",'15 yr'!A153)</f>
        <v/>
      </c>
      <c r="B150" s="147" t="str">
        <f>IF('15 yr'!B153=0,"",'15 yr'!B153)</f>
        <v/>
      </c>
      <c r="C150" s="148" t="str">
        <f>IF('15 yr'!E153=0,"",'15 yr'!E153)</f>
        <v/>
      </c>
      <c r="D150" s="149" t="str">
        <f>IF('15 yr'!I153=0,"",'15 yr'!I153)</f>
        <v/>
      </c>
      <c r="E150" s="150" t="str">
        <f>IFERROR(IF('15 yr'!AF153=0,"",'15 yr'!AF153),"")</f>
        <v/>
      </c>
      <c r="F150" s="150" t="str">
        <f>IFERROR(IF('15 yr'!AH153=0,"",'15 yr'!AH153),"")</f>
        <v/>
      </c>
      <c r="G150" s="156" t="str">
        <f>IFERROR(IF('15 yr'!AI153=0,"",'15 yr'!AI153),"")</f>
        <v/>
      </c>
    </row>
    <row r="151" spans="1:7">
      <c r="A151" s="149" t="str">
        <f>IF('15 yr'!A154=0,"",'15 yr'!A154)</f>
        <v/>
      </c>
      <c r="B151" s="147" t="str">
        <f>IF('15 yr'!B154=0,"",'15 yr'!B154)</f>
        <v/>
      </c>
      <c r="C151" s="148" t="str">
        <f>IF('15 yr'!E154=0,"",'15 yr'!E154)</f>
        <v/>
      </c>
      <c r="D151" s="149" t="str">
        <f>IF('15 yr'!I154=0,"",'15 yr'!I154)</f>
        <v/>
      </c>
      <c r="E151" s="150" t="str">
        <f>IFERROR(IF('15 yr'!AF154=0,"",'15 yr'!AF154),"")</f>
        <v/>
      </c>
      <c r="F151" s="150" t="str">
        <f>IFERROR(IF('15 yr'!AH154=0,"",'15 yr'!AH154),"")</f>
        <v/>
      </c>
      <c r="G151" s="156" t="str">
        <f>IFERROR(IF('15 yr'!AI154=0,"",'15 yr'!AI154),"")</f>
        <v/>
      </c>
    </row>
    <row r="152" spans="1:7">
      <c r="A152" s="149" t="str">
        <f>IF('15 yr'!A155=0,"",'15 yr'!A155)</f>
        <v/>
      </c>
      <c r="B152" s="147" t="str">
        <f>IF('15 yr'!B155=0,"",'15 yr'!B155)</f>
        <v/>
      </c>
      <c r="C152" s="148" t="str">
        <f>IF('15 yr'!E155=0,"",'15 yr'!E155)</f>
        <v/>
      </c>
      <c r="D152" s="149" t="str">
        <f>IF('15 yr'!I155=0,"",'15 yr'!I155)</f>
        <v/>
      </c>
      <c r="E152" s="150" t="str">
        <f>IFERROR(IF('15 yr'!AF155=0,"",'15 yr'!AF155),"")</f>
        <v/>
      </c>
      <c r="F152" s="150" t="str">
        <f>IFERROR(IF('15 yr'!AH155=0,"",'15 yr'!AH155),"")</f>
        <v/>
      </c>
      <c r="G152" s="156" t="str">
        <f>IFERROR(IF('15 yr'!AI155=0,"",'15 yr'!AI155),"")</f>
        <v/>
      </c>
    </row>
    <row r="153" spans="1:7">
      <c r="A153" s="149" t="str">
        <f>IF('15 yr'!A156=0,"",'15 yr'!A156)</f>
        <v/>
      </c>
      <c r="B153" s="147" t="str">
        <f>IF('15 yr'!B156=0,"",'15 yr'!B156)</f>
        <v/>
      </c>
      <c r="C153" s="148" t="str">
        <f>IF('15 yr'!E156=0,"",'15 yr'!E156)</f>
        <v/>
      </c>
      <c r="D153" s="149" t="str">
        <f>IF('15 yr'!I156=0,"",'15 yr'!I156)</f>
        <v/>
      </c>
      <c r="E153" s="150" t="str">
        <f>IFERROR(IF('15 yr'!AF156=0,"",'15 yr'!AF156),"")</f>
        <v/>
      </c>
      <c r="F153" s="150" t="str">
        <f>IFERROR(IF('15 yr'!AH156=0,"",'15 yr'!AH156),"")</f>
        <v/>
      </c>
      <c r="G153" s="156" t="str">
        <f>IFERROR(IF('15 yr'!AI156=0,"",'15 yr'!AI156),"")</f>
        <v/>
      </c>
    </row>
    <row r="154" spans="1:7">
      <c r="A154" s="149" t="str">
        <f>IF('15 yr'!A157=0,"",'15 yr'!A157)</f>
        <v/>
      </c>
      <c r="B154" s="147" t="str">
        <f>IF('15 yr'!B157=0,"",'15 yr'!B157)</f>
        <v/>
      </c>
      <c r="C154" s="148" t="str">
        <f>IF('15 yr'!E157=0,"",'15 yr'!E157)</f>
        <v/>
      </c>
      <c r="D154" s="149" t="str">
        <f>IF('15 yr'!I157=0,"",'15 yr'!I157)</f>
        <v/>
      </c>
      <c r="E154" s="150" t="str">
        <f>IFERROR(IF('15 yr'!AF157=0,"",'15 yr'!AF157),"")</f>
        <v/>
      </c>
      <c r="F154" s="150" t="str">
        <f>IFERROR(IF('15 yr'!AH157=0,"",'15 yr'!AH157),"")</f>
        <v/>
      </c>
      <c r="G154" s="156" t="str">
        <f>IFERROR(IF('15 yr'!AI157=0,"",'15 yr'!AI157),"")</f>
        <v/>
      </c>
    </row>
    <row r="155" spans="1:7">
      <c r="A155" s="149" t="str">
        <f>IF('15 yr'!A158=0,"",'15 yr'!A158)</f>
        <v/>
      </c>
      <c r="B155" s="147" t="str">
        <f>IF('15 yr'!B158=0,"",'15 yr'!B158)</f>
        <v/>
      </c>
      <c r="C155" s="148" t="str">
        <f>IF('15 yr'!E158=0,"",'15 yr'!E158)</f>
        <v/>
      </c>
      <c r="D155" s="149" t="str">
        <f>IF('15 yr'!I158=0,"",'15 yr'!I158)</f>
        <v/>
      </c>
      <c r="E155" s="150" t="str">
        <f>IFERROR(IF('15 yr'!AF158=0,"",'15 yr'!AF158),"")</f>
        <v/>
      </c>
      <c r="F155" s="150" t="str">
        <f>IFERROR(IF('15 yr'!AH158=0,"",'15 yr'!AH158),"")</f>
        <v/>
      </c>
      <c r="G155" s="156" t="str">
        <f>IFERROR(IF('15 yr'!AI158=0,"",'15 yr'!AI158),"")</f>
        <v/>
      </c>
    </row>
    <row r="156" spans="1:7">
      <c r="A156" s="149" t="str">
        <f>IF('15 yr'!A159=0,"",'15 yr'!A159)</f>
        <v/>
      </c>
      <c r="B156" s="147" t="str">
        <f>IF('15 yr'!B159=0,"",'15 yr'!B159)</f>
        <v/>
      </c>
      <c r="C156" s="148" t="str">
        <f>IF('15 yr'!E159=0,"",'15 yr'!E159)</f>
        <v/>
      </c>
      <c r="D156" s="149" t="str">
        <f>IF('15 yr'!I159=0,"",'15 yr'!I159)</f>
        <v/>
      </c>
      <c r="E156" s="150" t="str">
        <f>IFERROR(IF('15 yr'!AF159=0,"",'15 yr'!AF159),"")</f>
        <v/>
      </c>
      <c r="F156" s="150" t="str">
        <f>IFERROR(IF('15 yr'!AH159=0,"",'15 yr'!AH159),"")</f>
        <v/>
      </c>
      <c r="G156" s="156" t="str">
        <f>IFERROR(IF('15 yr'!AI159=0,"",'15 yr'!AI159),"")</f>
        <v/>
      </c>
    </row>
    <row r="157" spans="1:7">
      <c r="A157" s="149" t="str">
        <f>IF('15 yr'!A160=0,"",'15 yr'!A160)</f>
        <v/>
      </c>
      <c r="B157" s="147" t="str">
        <f>IF('15 yr'!B160=0,"",'15 yr'!B160)</f>
        <v/>
      </c>
      <c r="C157" s="148" t="str">
        <f>IF('15 yr'!E160=0,"",'15 yr'!E160)</f>
        <v/>
      </c>
      <c r="D157" s="149" t="str">
        <f>IF('15 yr'!I160=0,"",'15 yr'!I160)</f>
        <v/>
      </c>
      <c r="E157" s="150" t="str">
        <f>IFERROR(IF('15 yr'!AF160=0,"",'15 yr'!AF160),"")</f>
        <v/>
      </c>
      <c r="F157" s="150" t="str">
        <f>IFERROR(IF('15 yr'!AH160=0,"",'15 yr'!AH160),"")</f>
        <v/>
      </c>
      <c r="G157" s="156" t="str">
        <f>IFERROR(IF('15 yr'!AI160=0,"",'15 yr'!AI160),"")</f>
        <v/>
      </c>
    </row>
    <row r="158" spans="1:7">
      <c r="A158" s="149" t="str">
        <f>IF('15 yr'!A161=0,"",'15 yr'!A161)</f>
        <v/>
      </c>
      <c r="B158" s="147" t="str">
        <f>IF('15 yr'!B161=0,"",'15 yr'!B161)</f>
        <v/>
      </c>
      <c r="C158" s="148" t="str">
        <f>IF('15 yr'!E161=0,"",'15 yr'!E161)</f>
        <v/>
      </c>
      <c r="D158" s="149" t="str">
        <f>IF('15 yr'!I161=0,"",'15 yr'!I161)</f>
        <v/>
      </c>
      <c r="E158" s="150" t="str">
        <f>IFERROR(IF('15 yr'!AF161=0,"",'15 yr'!AF161),"")</f>
        <v/>
      </c>
      <c r="F158" s="150" t="str">
        <f>IFERROR(IF('15 yr'!AH161=0,"",'15 yr'!AH161),"")</f>
        <v/>
      </c>
      <c r="G158" s="156" t="str">
        <f>IFERROR(IF('15 yr'!AI161=0,"",'15 yr'!AI161),"")</f>
        <v/>
      </c>
    </row>
    <row r="159" spans="1:7">
      <c r="A159" s="149" t="str">
        <f>IF('15 yr'!A162=0,"",'15 yr'!A162)</f>
        <v/>
      </c>
      <c r="B159" s="147" t="str">
        <f>IF('15 yr'!B162=0,"",'15 yr'!B162)</f>
        <v/>
      </c>
      <c r="C159" s="148" t="str">
        <f>IF('15 yr'!E162=0,"",'15 yr'!E162)</f>
        <v/>
      </c>
      <c r="D159" s="149" t="str">
        <f>IF('15 yr'!I162=0,"",'15 yr'!I162)</f>
        <v/>
      </c>
      <c r="E159" s="150" t="str">
        <f>IFERROR(IF('15 yr'!AF162=0,"",'15 yr'!AF162),"")</f>
        <v/>
      </c>
      <c r="F159" s="150" t="str">
        <f>IFERROR(IF('15 yr'!AH162=0,"",'15 yr'!AH162),"")</f>
        <v/>
      </c>
      <c r="G159" s="156" t="str">
        <f>IFERROR(IF('15 yr'!AI162=0,"",'15 yr'!AI162),"")</f>
        <v/>
      </c>
    </row>
    <row r="160" spans="1:7">
      <c r="A160" s="149" t="str">
        <f>IF('15 yr'!A163=0,"",'15 yr'!A163)</f>
        <v/>
      </c>
      <c r="B160" s="147" t="str">
        <f>IF('15 yr'!B163=0,"",'15 yr'!B163)</f>
        <v/>
      </c>
      <c r="C160" s="148" t="str">
        <f>IF('15 yr'!E163=0,"",'15 yr'!E163)</f>
        <v/>
      </c>
      <c r="D160" s="149" t="str">
        <f>IF('15 yr'!I163=0,"",'15 yr'!I163)</f>
        <v/>
      </c>
      <c r="E160" s="150" t="str">
        <f>IFERROR(IF('15 yr'!AF163=0,"",'15 yr'!AF163),"")</f>
        <v/>
      </c>
      <c r="F160" s="150" t="str">
        <f>IFERROR(IF('15 yr'!AH163=0,"",'15 yr'!AH163),"")</f>
        <v/>
      </c>
      <c r="G160" s="156" t="str">
        <f>IFERROR(IF('15 yr'!AI163=0,"",'15 yr'!AI163),"")</f>
        <v/>
      </c>
    </row>
    <row r="161" spans="1:7">
      <c r="A161" s="149" t="str">
        <f>IF('15 yr'!A164=0,"",'15 yr'!A164)</f>
        <v/>
      </c>
      <c r="B161" s="147" t="str">
        <f>IF('15 yr'!B164=0,"",'15 yr'!B164)</f>
        <v/>
      </c>
      <c r="C161" s="148" t="str">
        <f>IF('15 yr'!E164=0,"",'15 yr'!E164)</f>
        <v/>
      </c>
      <c r="D161" s="149" t="str">
        <f>IF('15 yr'!I164=0,"",'15 yr'!I164)</f>
        <v/>
      </c>
      <c r="E161" s="150" t="str">
        <f>IFERROR(IF('15 yr'!AF164=0,"",'15 yr'!AF164),"")</f>
        <v/>
      </c>
      <c r="F161" s="150" t="str">
        <f>IFERROR(IF('15 yr'!AH164=0,"",'15 yr'!AH164),"")</f>
        <v/>
      </c>
      <c r="G161" s="156" t="str">
        <f>IFERROR(IF('15 yr'!AI164=0,"",'15 yr'!AI164),"")</f>
        <v/>
      </c>
    </row>
    <row r="162" spans="1:7">
      <c r="A162" s="149" t="str">
        <f>IF('15 yr'!A165=0,"",'15 yr'!A165)</f>
        <v/>
      </c>
      <c r="B162" s="147" t="str">
        <f>IF('15 yr'!B165=0,"",'15 yr'!B165)</f>
        <v/>
      </c>
      <c r="C162" s="148" t="str">
        <f>IF('15 yr'!E165=0,"",'15 yr'!E165)</f>
        <v/>
      </c>
      <c r="D162" s="149" t="str">
        <f>IF('15 yr'!I165=0,"",'15 yr'!I165)</f>
        <v/>
      </c>
      <c r="E162" s="150" t="str">
        <f>IFERROR(IF('15 yr'!AF165=0,"",'15 yr'!AF165),"")</f>
        <v/>
      </c>
      <c r="F162" s="150" t="str">
        <f>IFERROR(IF('15 yr'!AH165=0,"",'15 yr'!AH165),"")</f>
        <v/>
      </c>
      <c r="G162" s="156" t="str">
        <f>IFERROR(IF('15 yr'!AI165=0,"",'15 yr'!AI165),"")</f>
        <v/>
      </c>
    </row>
    <row r="163" spans="1:7">
      <c r="A163" s="149" t="str">
        <f>IF('15 yr'!A166=0,"",'15 yr'!A166)</f>
        <v/>
      </c>
      <c r="B163" s="147" t="str">
        <f>IF('15 yr'!B166=0,"",'15 yr'!B166)</f>
        <v/>
      </c>
      <c r="C163" s="148" t="str">
        <f>IF('15 yr'!E166=0,"",'15 yr'!E166)</f>
        <v/>
      </c>
      <c r="D163" s="149" t="str">
        <f>IF('15 yr'!I166=0,"",'15 yr'!I166)</f>
        <v/>
      </c>
      <c r="E163" s="150" t="str">
        <f>IFERROR(IF('15 yr'!AF166=0,"",'15 yr'!AF166),"")</f>
        <v/>
      </c>
      <c r="F163" s="150" t="str">
        <f>IFERROR(IF('15 yr'!AH166=0,"",'15 yr'!AH166),"")</f>
        <v/>
      </c>
      <c r="G163" s="156" t="str">
        <f>IFERROR(IF('15 yr'!AI166=0,"",'15 yr'!AI166),"")</f>
        <v/>
      </c>
    </row>
    <row r="164" spans="1:7">
      <c r="A164" s="149" t="str">
        <f>IF('15 yr'!A167=0,"",'15 yr'!A167)</f>
        <v/>
      </c>
      <c r="B164" s="147" t="str">
        <f>IF('15 yr'!B167=0,"",'15 yr'!B167)</f>
        <v/>
      </c>
      <c r="C164" s="148" t="str">
        <f>IF('15 yr'!E167=0,"",'15 yr'!E167)</f>
        <v/>
      </c>
      <c r="D164" s="149" t="str">
        <f>IF('15 yr'!I167=0,"",'15 yr'!I167)</f>
        <v/>
      </c>
      <c r="E164" s="150" t="str">
        <f>IFERROR(IF('15 yr'!AF167=0,"",'15 yr'!AF167),"")</f>
        <v/>
      </c>
      <c r="F164" s="150" t="str">
        <f>IFERROR(IF('15 yr'!AH167=0,"",'15 yr'!AH167),"")</f>
        <v/>
      </c>
      <c r="G164" s="156" t="str">
        <f>IFERROR(IF('15 yr'!AI167=0,"",'15 yr'!AI167),"")</f>
        <v/>
      </c>
    </row>
    <row r="165" spans="1:7">
      <c r="A165" s="149" t="str">
        <f>IF('15 yr'!A168=0,"",'15 yr'!A168)</f>
        <v/>
      </c>
      <c r="B165" s="147" t="str">
        <f>IF('15 yr'!B168=0,"",'15 yr'!B168)</f>
        <v/>
      </c>
      <c r="C165" s="148" t="str">
        <f>IF('15 yr'!E168=0,"",'15 yr'!E168)</f>
        <v/>
      </c>
      <c r="D165" s="149" t="str">
        <f>IF('15 yr'!I168=0,"",'15 yr'!I168)</f>
        <v/>
      </c>
      <c r="E165" s="150" t="str">
        <f>IFERROR(IF('15 yr'!AF168=0,"",'15 yr'!AF168),"")</f>
        <v/>
      </c>
      <c r="F165" s="150" t="str">
        <f>IFERROR(IF('15 yr'!AH168=0,"",'15 yr'!AH168),"")</f>
        <v/>
      </c>
      <c r="G165" s="156" t="str">
        <f>IFERROR(IF('15 yr'!AI168=0,"",'15 yr'!AI168),"")</f>
        <v/>
      </c>
    </row>
    <row r="166" spans="1:7">
      <c r="A166" s="149" t="str">
        <f>IF('15 yr'!A169=0,"",'15 yr'!A169)</f>
        <v/>
      </c>
      <c r="B166" s="147" t="str">
        <f>IF('15 yr'!B169=0,"",'15 yr'!B169)</f>
        <v/>
      </c>
      <c r="C166" s="148" t="str">
        <f>IF('15 yr'!E169=0,"",'15 yr'!E169)</f>
        <v/>
      </c>
      <c r="D166" s="149" t="str">
        <f>IF('15 yr'!I169=0,"",'15 yr'!I169)</f>
        <v/>
      </c>
      <c r="E166" s="150" t="str">
        <f>IFERROR(IF('15 yr'!AF169=0,"",'15 yr'!AF169),"")</f>
        <v/>
      </c>
      <c r="F166" s="150" t="str">
        <f>IFERROR(IF('15 yr'!AH169=0,"",'15 yr'!AH169),"")</f>
        <v/>
      </c>
      <c r="G166" s="156" t="str">
        <f>IFERROR(IF('15 yr'!AI169=0,"",'15 yr'!AI169),"")</f>
        <v/>
      </c>
    </row>
    <row r="167" spans="1:7">
      <c r="A167" s="149" t="str">
        <f>IF('15 yr'!A170=0,"",'15 yr'!A170)</f>
        <v/>
      </c>
      <c r="B167" s="147" t="str">
        <f>IF('15 yr'!B170=0,"",'15 yr'!B170)</f>
        <v/>
      </c>
      <c r="C167" s="148" t="str">
        <f>IF('15 yr'!E170=0,"",'15 yr'!E170)</f>
        <v/>
      </c>
      <c r="D167" s="149" t="str">
        <f>IF('15 yr'!I170=0,"",'15 yr'!I170)</f>
        <v/>
      </c>
      <c r="E167" s="150" t="str">
        <f>IFERROR(IF('15 yr'!AF170=0,"",'15 yr'!AF170),"")</f>
        <v/>
      </c>
      <c r="F167" s="150" t="str">
        <f>IFERROR(IF('15 yr'!AH170=0,"",'15 yr'!AH170),"")</f>
        <v/>
      </c>
      <c r="G167" s="156" t="str">
        <f>IFERROR(IF('15 yr'!AI170=0,"",'15 yr'!AI170),"")</f>
        <v/>
      </c>
    </row>
    <row r="168" spans="1:7">
      <c r="A168" s="149" t="str">
        <f>IF('15 yr'!A171=0,"",'15 yr'!A171)</f>
        <v/>
      </c>
      <c r="B168" s="147" t="str">
        <f>IF('15 yr'!B171=0,"",'15 yr'!B171)</f>
        <v/>
      </c>
      <c r="C168" s="148" t="str">
        <f>IF('15 yr'!E171=0,"",'15 yr'!E171)</f>
        <v/>
      </c>
      <c r="D168" s="149" t="str">
        <f>IF('15 yr'!I171=0,"",'15 yr'!I171)</f>
        <v/>
      </c>
      <c r="E168" s="150" t="str">
        <f>IFERROR(IF('15 yr'!AF171=0,"",'15 yr'!AF171),"")</f>
        <v/>
      </c>
      <c r="F168" s="150" t="str">
        <f>IFERROR(IF('15 yr'!AH171=0,"",'15 yr'!AH171),"")</f>
        <v/>
      </c>
      <c r="G168" s="156" t="str">
        <f>IFERROR(IF('15 yr'!AI171=0,"",'15 yr'!AI171),"")</f>
        <v/>
      </c>
    </row>
    <row r="169" spans="1:7">
      <c r="A169" s="149" t="str">
        <f>IF('15 yr'!A172=0,"",'15 yr'!A172)</f>
        <v/>
      </c>
      <c r="B169" s="147" t="str">
        <f>IF('15 yr'!B172=0,"",'15 yr'!B172)</f>
        <v/>
      </c>
      <c r="C169" s="148" t="str">
        <f>IF('15 yr'!E172=0,"",'15 yr'!E172)</f>
        <v/>
      </c>
      <c r="D169" s="149" t="str">
        <f>IF('15 yr'!I172=0,"",'15 yr'!I172)</f>
        <v/>
      </c>
      <c r="E169" s="150" t="str">
        <f>IFERROR(IF('15 yr'!AF172=0,"",'15 yr'!AF172),"")</f>
        <v/>
      </c>
      <c r="F169" s="150" t="str">
        <f>IFERROR(IF('15 yr'!AH172=0,"",'15 yr'!AH172),"")</f>
        <v/>
      </c>
      <c r="G169" s="156" t="str">
        <f>IFERROR(IF('15 yr'!AI172=0,"",'15 yr'!AI172),"")</f>
        <v/>
      </c>
    </row>
    <row r="170" spans="1:7">
      <c r="A170" s="149" t="str">
        <f>IF('15 yr'!A173=0,"",'15 yr'!A173)</f>
        <v/>
      </c>
      <c r="B170" s="147" t="str">
        <f>IF('15 yr'!B173=0,"",'15 yr'!B173)</f>
        <v/>
      </c>
      <c r="C170" s="148" t="str">
        <f>IF('15 yr'!E173=0,"",'15 yr'!E173)</f>
        <v/>
      </c>
      <c r="D170" s="149" t="str">
        <f>IF('15 yr'!I173=0,"",'15 yr'!I173)</f>
        <v/>
      </c>
      <c r="E170" s="150" t="str">
        <f>IFERROR(IF('15 yr'!AF173=0,"",'15 yr'!AF173),"")</f>
        <v/>
      </c>
      <c r="F170" s="150" t="str">
        <f>IFERROR(IF('15 yr'!AH173=0,"",'15 yr'!AH173),"")</f>
        <v/>
      </c>
      <c r="G170" s="156" t="str">
        <f>IFERROR(IF('15 yr'!AI173=0,"",'15 yr'!AI173),"")</f>
        <v/>
      </c>
    </row>
    <row r="171" spans="1:7">
      <c r="A171" s="149" t="str">
        <f>IF('15 yr'!A174=0,"",'15 yr'!A174)</f>
        <v/>
      </c>
      <c r="B171" s="147" t="str">
        <f>IF('15 yr'!B174=0,"",'15 yr'!B174)</f>
        <v/>
      </c>
      <c r="C171" s="148" t="str">
        <f>IF('15 yr'!E174=0,"",'15 yr'!E174)</f>
        <v/>
      </c>
      <c r="D171" s="149" t="str">
        <f>IF('15 yr'!I174=0,"",'15 yr'!I174)</f>
        <v/>
      </c>
      <c r="E171" s="150" t="str">
        <f>IFERROR(IF('15 yr'!AF174=0,"",'15 yr'!AF174),"")</f>
        <v/>
      </c>
      <c r="F171" s="150" t="str">
        <f>IFERROR(IF('15 yr'!AH174=0,"",'15 yr'!AH174),"")</f>
        <v/>
      </c>
      <c r="G171" s="156" t="str">
        <f>IFERROR(IF('15 yr'!AI174=0,"",'15 yr'!AI174),"")</f>
        <v/>
      </c>
    </row>
    <row r="172" spans="1:7">
      <c r="A172" s="149" t="str">
        <f>IF('15 yr'!A175=0,"",'15 yr'!A175)</f>
        <v/>
      </c>
      <c r="B172" s="147" t="str">
        <f>IF('15 yr'!B175=0,"",'15 yr'!B175)</f>
        <v/>
      </c>
      <c r="C172" s="148" t="str">
        <f>IF('15 yr'!E175=0,"",'15 yr'!E175)</f>
        <v/>
      </c>
      <c r="D172" s="149" t="str">
        <f>IF('15 yr'!I175=0,"",'15 yr'!I175)</f>
        <v/>
      </c>
      <c r="E172" s="150" t="str">
        <f>IFERROR(IF('15 yr'!AF175=0,"",'15 yr'!AF175),"")</f>
        <v/>
      </c>
      <c r="F172" s="150" t="str">
        <f>IFERROR(IF('15 yr'!AH175=0,"",'15 yr'!AH175),"")</f>
        <v/>
      </c>
      <c r="G172" s="156" t="str">
        <f>IFERROR(IF('15 yr'!AI175=0,"",'15 yr'!AI175),"")</f>
        <v/>
      </c>
    </row>
    <row r="173" spans="1:7">
      <c r="A173" s="149" t="str">
        <f>IF('15 yr'!A176=0,"",'15 yr'!A176)</f>
        <v/>
      </c>
      <c r="B173" s="147" t="str">
        <f>IF('15 yr'!B176=0,"",'15 yr'!B176)</f>
        <v/>
      </c>
      <c r="C173" s="148" t="str">
        <f>IF('15 yr'!E176=0,"",'15 yr'!E176)</f>
        <v/>
      </c>
      <c r="D173" s="149" t="str">
        <f>IF('15 yr'!I176=0,"",'15 yr'!I176)</f>
        <v/>
      </c>
      <c r="E173" s="150" t="str">
        <f>IFERROR(IF('15 yr'!AF176=0,"",'15 yr'!AF176),"")</f>
        <v/>
      </c>
      <c r="F173" s="150" t="str">
        <f>IFERROR(IF('15 yr'!AH176=0,"",'15 yr'!AH176),"")</f>
        <v/>
      </c>
      <c r="G173" s="156" t="str">
        <f>IFERROR(IF('15 yr'!AI176=0,"",'15 yr'!AI176),"")</f>
        <v/>
      </c>
    </row>
    <row r="174" spans="1:7">
      <c r="A174" s="149" t="str">
        <f>IF('15 yr'!A177=0,"",'15 yr'!A177)</f>
        <v/>
      </c>
      <c r="B174" s="147" t="str">
        <f>IF('15 yr'!B177=0,"",'15 yr'!B177)</f>
        <v/>
      </c>
      <c r="C174" s="148" t="str">
        <f>IF('15 yr'!E177=0,"",'15 yr'!E177)</f>
        <v/>
      </c>
      <c r="D174" s="149" t="str">
        <f>IF('15 yr'!I177=0,"",'15 yr'!I177)</f>
        <v/>
      </c>
      <c r="E174" s="150" t="str">
        <f>IFERROR(IF('15 yr'!AF177=0,"",'15 yr'!AF177),"")</f>
        <v/>
      </c>
      <c r="F174" s="150" t="str">
        <f>IFERROR(IF('15 yr'!AH177=0,"",'15 yr'!AH177),"")</f>
        <v/>
      </c>
      <c r="G174" s="156" t="str">
        <f>IFERROR(IF('15 yr'!AI177=0,"",'15 yr'!AI177),"")</f>
        <v/>
      </c>
    </row>
    <row r="175" spans="1:7">
      <c r="A175" s="149" t="str">
        <f>IF('15 yr'!A178=0,"",'15 yr'!A178)</f>
        <v/>
      </c>
      <c r="B175" s="147" t="str">
        <f>IF('15 yr'!B178=0,"",'15 yr'!B178)</f>
        <v/>
      </c>
      <c r="C175" s="148" t="str">
        <f>IF('15 yr'!E178=0,"",'15 yr'!E178)</f>
        <v/>
      </c>
      <c r="D175" s="149" t="str">
        <f>IF('15 yr'!I178=0,"",'15 yr'!I178)</f>
        <v/>
      </c>
      <c r="E175" s="150" t="str">
        <f>IFERROR(IF('15 yr'!AF178=0,"",'15 yr'!AF178),"")</f>
        <v/>
      </c>
      <c r="F175" s="150" t="str">
        <f>IFERROR(IF('15 yr'!AH178=0,"",'15 yr'!AH178),"")</f>
        <v/>
      </c>
      <c r="G175" s="156" t="str">
        <f>IFERROR(IF('15 yr'!AI178=0,"",'15 yr'!AI178),"")</f>
        <v/>
      </c>
    </row>
    <row r="176" spans="1:7">
      <c r="A176" s="149" t="str">
        <f>IF('15 yr'!A179=0,"",'15 yr'!A179)</f>
        <v/>
      </c>
      <c r="B176" s="147" t="str">
        <f>IF('15 yr'!B179=0,"",'15 yr'!B179)</f>
        <v/>
      </c>
      <c r="C176" s="148" t="str">
        <f>IF('15 yr'!E179=0,"",'15 yr'!E179)</f>
        <v/>
      </c>
      <c r="D176" s="149" t="str">
        <f>IF('15 yr'!I179=0,"",'15 yr'!I179)</f>
        <v/>
      </c>
      <c r="E176" s="150" t="str">
        <f>IFERROR(IF('15 yr'!AF179=0,"",'15 yr'!AF179),"")</f>
        <v/>
      </c>
      <c r="F176" s="150" t="str">
        <f>IFERROR(IF('15 yr'!AH179=0,"",'15 yr'!AH179),"")</f>
        <v/>
      </c>
      <c r="G176" s="156" t="str">
        <f>IFERROR(IF('15 yr'!AI179=0,"",'15 yr'!AI179),"")</f>
        <v/>
      </c>
    </row>
    <row r="177" spans="1:7">
      <c r="A177" s="149" t="str">
        <f>IF('15 yr'!A180=0,"",'15 yr'!A180)</f>
        <v/>
      </c>
      <c r="B177" s="147" t="str">
        <f>IF('15 yr'!B180=0,"",'15 yr'!B180)</f>
        <v/>
      </c>
      <c r="C177" s="148" t="str">
        <f>IF('15 yr'!E180=0,"",'15 yr'!E180)</f>
        <v/>
      </c>
      <c r="D177" s="149" t="str">
        <f>IF('15 yr'!I180=0,"",'15 yr'!I180)</f>
        <v/>
      </c>
      <c r="E177" s="150" t="str">
        <f>IFERROR(IF('15 yr'!AF180=0,"",'15 yr'!AF180),"")</f>
        <v/>
      </c>
      <c r="F177" s="150" t="str">
        <f>IFERROR(IF('15 yr'!AH180=0,"",'15 yr'!AH180),"")</f>
        <v/>
      </c>
      <c r="G177" s="156" t="str">
        <f>IFERROR(IF('15 yr'!AI180=0,"",'15 yr'!AI180),"")</f>
        <v/>
      </c>
    </row>
    <row r="178" spans="1:7">
      <c r="A178" s="149" t="str">
        <f>IF('15 yr'!A181=0,"",'15 yr'!A181)</f>
        <v/>
      </c>
      <c r="B178" s="147" t="str">
        <f>IF('15 yr'!B181=0,"",'15 yr'!B181)</f>
        <v/>
      </c>
      <c r="C178" s="148" t="str">
        <f>IF('15 yr'!E181=0,"",'15 yr'!E181)</f>
        <v/>
      </c>
      <c r="D178" s="149" t="str">
        <f>IF('15 yr'!I181=0,"",'15 yr'!I181)</f>
        <v/>
      </c>
      <c r="E178" s="150" t="str">
        <f>IFERROR(IF('15 yr'!AF181=0,"",'15 yr'!AF181),"")</f>
        <v/>
      </c>
      <c r="F178" s="150" t="str">
        <f>IFERROR(IF('15 yr'!AH181=0,"",'15 yr'!AH181),"")</f>
        <v/>
      </c>
      <c r="G178" s="156" t="str">
        <f>IFERROR(IF('15 yr'!AI181=0,"",'15 yr'!AI181),"")</f>
        <v/>
      </c>
    </row>
    <row r="179" spans="1:7">
      <c r="A179" s="149" t="str">
        <f>IF('15 yr'!A182=0,"",'15 yr'!A182)</f>
        <v/>
      </c>
      <c r="B179" s="147" t="str">
        <f>IF('15 yr'!B182=0,"",'15 yr'!B182)</f>
        <v/>
      </c>
      <c r="C179" s="148" t="str">
        <f>IF('15 yr'!E182=0,"",'15 yr'!E182)</f>
        <v/>
      </c>
      <c r="D179" s="149" t="str">
        <f>IF('15 yr'!I182=0,"",'15 yr'!I182)</f>
        <v/>
      </c>
      <c r="E179" s="150" t="str">
        <f>IFERROR(IF('15 yr'!AF182=0,"",'15 yr'!AF182),"")</f>
        <v/>
      </c>
      <c r="F179" s="150" t="str">
        <f>IFERROR(IF('15 yr'!AH182=0,"",'15 yr'!AH182),"")</f>
        <v/>
      </c>
      <c r="G179" s="156" t="str">
        <f>IFERROR(IF('15 yr'!AI182=0,"",'15 yr'!AI182),"")</f>
        <v/>
      </c>
    </row>
    <row r="180" spans="1:7">
      <c r="A180" s="149" t="str">
        <f>IF('15 yr'!A183=0,"",'15 yr'!A183)</f>
        <v/>
      </c>
      <c r="B180" s="147" t="str">
        <f>IF('15 yr'!B183=0,"",'15 yr'!B183)</f>
        <v/>
      </c>
      <c r="C180" s="148" t="str">
        <f>IF('15 yr'!E183=0,"",'15 yr'!E183)</f>
        <v/>
      </c>
      <c r="D180" s="149" t="str">
        <f>IF('15 yr'!I183=0,"",'15 yr'!I183)</f>
        <v/>
      </c>
      <c r="E180" s="150" t="str">
        <f>IFERROR(IF('15 yr'!AF183=0,"",'15 yr'!AF183),"")</f>
        <v/>
      </c>
      <c r="F180" s="150" t="str">
        <f>IFERROR(IF('15 yr'!AH183=0,"",'15 yr'!AH183),"")</f>
        <v/>
      </c>
      <c r="G180" s="156" t="str">
        <f>IFERROR(IF('15 yr'!AI183=0,"",'15 yr'!AI183),"")</f>
        <v/>
      </c>
    </row>
    <row r="181" spans="1:7">
      <c r="A181" s="149" t="str">
        <f>IF('15 yr'!A184=0,"",'15 yr'!A184)</f>
        <v/>
      </c>
      <c r="B181" s="147" t="str">
        <f>IF('15 yr'!B184=0,"",'15 yr'!B184)</f>
        <v/>
      </c>
      <c r="C181" s="148" t="str">
        <f>IF('15 yr'!E184=0,"",'15 yr'!E184)</f>
        <v/>
      </c>
      <c r="D181" s="149" t="str">
        <f>IF('15 yr'!I184=0,"",'15 yr'!I184)</f>
        <v/>
      </c>
      <c r="E181" s="150" t="str">
        <f>IFERROR(IF('15 yr'!AF184=0,"",'15 yr'!AF184),"")</f>
        <v/>
      </c>
      <c r="F181" s="150" t="str">
        <f>IFERROR(IF('15 yr'!AH184=0,"",'15 yr'!AH184),"")</f>
        <v/>
      </c>
      <c r="G181" s="156" t="str">
        <f>IFERROR(IF('15 yr'!AI184=0,"",'15 yr'!AI184),"")</f>
        <v/>
      </c>
    </row>
    <row r="182" spans="1:7">
      <c r="A182" s="149" t="str">
        <f>IF('15 yr'!A185=0,"",'15 yr'!A185)</f>
        <v/>
      </c>
      <c r="B182" s="147" t="str">
        <f>IF('15 yr'!B185=0,"",'15 yr'!B185)</f>
        <v/>
      </c>
      <c r="C182" s="148" t="str">
        <f>IF('15 yr'!E185=0,"",'15 yr'!E185)</f>
        <v/>
      </c>
      <c r="D182" s="149" t="str">
        <f>IF('15 yr'!I185=0,"",'15 yr'!I185)</f>
        <v/>
      </c>
      <c r="E182" s="150" t="str">
        <f>IFERROR(IF('15 yr'!AF185=0,"",'15 yr'!AF185),"")</f>
        <v/>
      </c>
      <c r="F182" s="150" t="str">
        <f>IFERROR(IF('15 yr'!AH185=0,"",'15 yr'!AH185),"")</f>
        <v/>
      </c>
      <c r="G182" s="156" t="str">
        <f>IFERROR(IF('15 yr'!AI185=0,"",'15 yr'!AI185),"")</f>
        <v/>
      </c>
    </row>
    <row r="183" spans="1:7">
      <c r="A183" s="149" t="str">
        <f>IF('15 yr'!A186=0,"",'15 yr'!A186)</f>
        <v/>
      </c>
      <c r="B183" s="147" t="str">
        <f>IF('15 yr'!B186=0,"",'15 yr'!B186)</f>
        <v/>
      </c>
      <c r="C183" s="148" t="str">
        <f>IF('15 yr'!E186=0,"",'15 yr'!E186)</f>
        <v/>
      </c>
      <c r="D183" s="149" t="str">
        <f>IF('15 yr'!I186=0,"",'15 yr'!I186)</f>
        <v/>
      </c>
      <c r="E183" s="150" t="str">
        <f>IFERROR(IF('15 yr'!AF186=0,"",'15 yr'!AF186),"")</f>
        <v/>
      </c>
      <c r="F183" s="150" t="str">
        <f>IFERROR(IF('15 yr'!AH186=0,"",'15 yr'!AH186),"")</f>
        <v/>
      </c>
      <c r="G183" s="156" t="str">
        <f>IFERROR(IF('15 yr'!AI186=0,"",'15 yr'!AI186),"")</f>
        <v/>
      </c>
    </row>
    <row r="184" spans="1:7">
      <c r="A184" s="149" t="str">
        <f>IF('15 yr'!A187=0,"",'15 yr'!A187)</f>
        <v/>
      </c>
      <c r="B184" s="147" t="str">
        <f>IF('15 yr'!B187=0,"",'15 yr'!B187)</f>
        <v/>
      </c>
      <c r="C184" s="148" t="str">
        <f>IF('15 yr'!E187=0,"",'15 yr'!E187)</f>
        <v/>
      </c>
      <c r="D184" s="149" t="str">
        <f>IF('15 yr'!I187=0,"",'15 yr'!I187)</f>
        <v/>
      </c>
      <c r="E184" s="150" t="str">
        <f>IFERROR(IF('15 yr'!AF187=0,"",'15 yr'!AF187),"")</f>
        <v/>
      </c>
      <c r="F184" s="150" t="str">
        <f>IFERROR(IF('15 yr'!AH187=0,"",'15 yr'!AH187),"")</f>
        <v/>
      </c>
      <c r="G184" s="156" t="str">
        <f>IFERROR(IF('15 yr'!AI187=0,"",'15 yr'!AI187),"")</f>
        <v/>
      </c>
    </row>
    <row r="185" spans="1:7">
      <c r="A185" s="149" t="str">
        <f>IF('15 yr'!A188=0,"",'15 yr'!A188)</f>
        <v/>
      </c>
      <c r="B185" s="147" t="str">
        <f>IF('15 yr'!B188=0,"",'15 yr'!B188)</f>
        <v/>
      </c>
      <c r="C185" s="148" t="str">
        <f>IF('15 yr'!E188=0,"",'15 yr'!E188)</f>
        <v/>
      </c>
      <c r="D185" s="149" t="str">
        <f>IF('15 yr'!I188=0,"",'15 yr'!I188)</f>
        <v/>
      </c>
      <c r="E185" s="150" t="str">
        <f>IFERROR(IF('15 yr'!AF188=0,"",'15 yr'!AF188),"")</f>
        <v/>
      </c>
      <c r="F185" s="150" t="str">
        <f>IFERROR(IF('15 yr'!AH188=0,"",'15 yr'!AH188),"")</f>
        <v/>
      </c>
      <c r="G185" s="156" t="str">
        <f>IFERROR(IF('15 yr'!AI188=0,"",'15 yr'!AI188),"")</f>
        <v/>
      </c>
    </row>
    <row r="186" spans="1:7">
      <c r="A186" s="149" t="str">
        <f>IF('15 yr'!A189=0,"",'15 yr'!A189)</f>
        <v/>
      </c>
      <c r="B186" s="147" t="str">
        <f>IF('15 yr'!B189=0,"",'15 yr'!B189)</f>
        <v/>
      </c>
      <c r="C186" s="148" t="str">
        <f>IF('15 yr'!E189=0,"",'15 yr'!E189)</f>
        <v/>
      </c>
      <c r="D186" s="149" t="str">
        <f>IF('15 yr'!I189=0,"",'15 yr'!I189)</f>
        <v/>
      </c>
      <c r="E186" s="150" t="str">
        <f>IFERROR(IF('15 yr'!AF189=0,"",'15 yr'!AF189),"")</f>
        <v/>
      </c>
      <c r="F186" s="150" t="str">
        <f>IFERROR(IF('15 yr'!AH189=0,"",'15 yr'!AH189),"")</f>
        <v/>
      </c>
      <c r="G186" s="156" t="str">
        <f>IFERROR(IF('15 yr'!AI189=0,"",'15 yr'!AI189),"")</f>
        <v/>
      </c>
    </row>
    <row r="187" spans="1:7">
      <c r="A187" s="149" t="str">
        <f>IF('15 yr'!A190=0,"",'15 yr'!A190)</f>
        <v/>
      </c>
      <c r="B187" s="147" t="str">
        <f>IF('15 yr'!B190=0,"",'15 yr'!B190)</f>
        <v/>
      </c>
      <c r="C187" s="148" t="str">
        <f>IF('15 yr'!E190=0,"",'15 yr'!E190)</f>
        <v/>
      </c>
      <c r="D187" s="149" t="str">
        <f>IF('15 yr'!I190=0,"",'15 yr'!I190)</f>
        <v/>
      </c>
      <c r="E187" s="150" t="str">
        <f>IFERROR(IF('15 yr'!AF190=0,"",'15 yr'!AF190),"")</f>
        <v/>
      </c>
      <c r="F187" s="150" t="str">
        <f>IFERROR(IF('15 yr'!AH190=0,"",'15 yr'!AH190),"")</f>
        <v/>
      </c>
      <c r="G187" s="156" t="str">
        <f>IFERROR(IF('15 yr'!AI190=0,"",'15 yr'!AI190),"")</f>
        <v/>
      </c>
    </row>
    <row r="188" spans="1:7">
      <c r="A188" s="149" t="str">
        <f>IF('15 yr'!A191=0,"",'15 yr'!A191)</f>
        <v/>
      </c>
      <c r="B188" s="147" t="str">
        <f>IF('15 yr'!B191=0,"",'15 yr'!B191)</f>
        <v/>
      </c>
      <c r="C188" s="148" t="str">
        <f>IF('15 yr'!E191=0,"",'15 yr'!E191)</f>
        <v/>
      </c>
      <c r="D188" s="149" t="str">
        <f>IF('15 yr'!I191=0,"",'15 yr'!I191)</f>
        <v/>
      </c>
      <c r="E188" s="150" t="str">
        <f>IFERROR(IF('15 yr'!AF191=0,"",'15 yr'!AF191),"")</f>
        <v/>
      </c>
      <c r="F188" s="150" t="str">
        <f>IFERROR(IF('15 yr'!AH191=0,"",'15 yr'!AH191),"")</f>
        <v/>
      </c>
      <c r="G188" s="156" t="str">
        <f>IFERROR(IF('15 yr'!AI191=0,"",'15 yr'!AI191),"")</f>
        <v/>
      </c>
    </row>
    <row r="189" spans="1:7">
      <c r="A189" s="149" t="str">
        <f>IF('15 yr'!A192=0,"",'15 yr'!A192)</f>
        <v/>
      </c>
      <c r="B189" s="147" t="str">
        <f>IF('15 yr'!B192=0,"",'15 yr'!B192)</f>
        <v/>
      </c>
      <c r="C189" s="148" t="str">
        <f>IF('15 yr'!E192=0,"",'15 yr'!E192)</f>
        <v/>
      </c>
      <c r="D189" s="149" t="str">
        <f>IF('15 yr'!I192=0,"",'15 yr'!I192)</f>
        <v/>
      </c>
      <c r="E189" s="150" t="str">
        <f>IFERROR(IF('15 yr'!AF192=0,"",'15 yr'!AF192),"")</f>
        <v/>
      </c>
      <c r="F189" s="150" t="str">
        <f>IFERROR(IF('15 yr'!AH192=0,"",'15 yr'!AH192),"")</f>
        <v/>
      </c>
      <c r="G189" s="156" t="str">
        <f>IFERROR(IF('15 yr'!AI192=0,"",'15 yr'!AI192),"")</f>
        <v/>
      </c>
    </row>
    <row r="190" spans="1:7">
      <c r="A190" s="149" t="str">
        <f>IF('15 yr'!A193=0,"",'15 yr'!A193)</f>
        <v/>
      </c>
      <c r="B190" s="147" t="str">
        <f>IF('15 yr'!B193=0,"",'15 yr'!B193)</f>
        <v/>
      </c>
      <c r="C190" s="148" t="str">
        <f>IF('15 yr'!E193=0,"",'15 yr'!E193)</f>
        <v/>
      </c>
      <c r="D190" s="149" t="str">
        <f>IF('15 yr'!I193=0,"",'15 yr'!I193)</f>
        <v/>
      </c>
      <c r="E190" s="150" t="str">
        <f>IFERROR(IF('15 yr'!AF193=0,"",'15 yr'!AF193),"")</f>
        <v/>
      </c>
      <c r="F190" s="150" t="str">
        <f>IFERROR(IF('15 yr'!AH193=0,"",'15 yr'!AH193),"")</f>
        <v/>
      </c>
      <c r="G190" s="156" t="str">
        <f>IFERROR(IF('15 yr'!AI193=0,"",'15 yr'!AI193),"")</f>
        <v/>
      </c>
    </row>
    <row r="191" spans="1:7">
      <c r="A191" s="149" t="str">
        <f>IF('15 yr'!A194=0,"",'15 yr'!A194)</f>
        <v/>
      </c>
      <c r="B191" s="147" t="str">
        <f>IF('15 yr'!B194=0,"",'15 yr'!B194)</f>
        <v/>
      </c>
      <c r="C191" s="148" t="str">
        <f>IF('15 yr'!E194=0,"",'15 yr'!E194)</f>
        <v/>
      </c>
      <c r="D191" s="149" t="str">
        <f>IF('15 yr'!I194=0,"",'15 yr'!I194)</f>
        <v/>
      </c>
      <c r="E191" s="150" t="str">
        <f>IFERROR(IF('15 yr'!AF194=0,"",'15 yr'!AF194),"")</f>
        <v/>
      </c>
      <c r="F191" s="150" t="str">
        <f>IFERROR(IF('15 yr'!AH194=0,"",'15 yr'!AH194),"")</f>
        <v/>
      </c>
      <c r="G191" s="156" t="str">
        <f>IFERROR(IF('15 yr'!AI194=0,"",'15 yr'!AI194),"")</f>
        <v/>
      </c>
    </row>
    <row r="192" spans="1:7">
      <c r="A192" s="149" t="str">
        <f>IF('15 yr'!A195=0,"",'15 yr'!A195)</f>
        <v/>
      </c>
      <c r="B192" s="147" t="str">
        <f>IF('15 yr'!B195=0,"",'15 yr'!B195)</f>
        <v/>
      </c>
      <c r="C192" s="148" t="str">
        <f>IF('15 yr'!E195=0,"",'15 yr'!E195)</f>
        <v/>
      </c>
      <c r="D192" s="149" t="str">
        <f>IF('15 yr'!I195=0,"",'15 yr'!I195)</f>
        <v/>
      </c>
      <c r="E192" s="150" t="str">
        <f>IFERROR(IF('15 yr'!AF195=0,"",'15 yr'!AF195),"")</f>
        <v/>
      </c>
      <c r="F192" s="150" t="str">
        <f>IFERROR(IF('15 yr'!AH195=0,"",'15 yr'!AH195),"")</f>
        <v/>
      </c>
      <c r="G192" s="156" t="str">
        <f>IFERROR(IF('15 yr'!AI195=0,"",'15 yr'!AI195),"")</f>
        <v/>
      </c>
    </row>
    <row r="193" spans="1:7">
      <c r="A193" s="149" t="str">
        <f>IF('15 yr'!A196=0,"",'15 yr'!A196)</f>
        <v/>
      </c>
      <c r="B193" s="147" t="str">
        <f>IF('15 yr'!B196=0,"",'15 yr'!B196)</f>
        <v/>
      </c>
      <c r="C193" s="148" t="str">
        <f>IF('15 yr'!E196=0,"",'15 yr'!E196)</f>
        <v/>
      </c>
      <c r="D193" s="149" t="str">
        <f>IF('15 yr'!I196=0,"",'15 yr'!I196)</f>
        <v/>
      </c>
      <c r="E193" s="150" t="str">
        <f>IFERROR(IF('15 yr'!AF196=0,"",'15 yr'!AF196),"")</f>
        <v/>
      </c>
      <c r="F193" s="150" t="str">
        <f>IFERROR(IF('15 yr'!AH196=0,"",'15 yr'!AH196),"")</f>
        <v/>
      </c>
      <c r="G193" s="156" t="str">
        <f>IFERROR(IF('15 yr'!AI196=0,"",'15 yr'!AI196),"")</f>
        <v/>
      </c>
    </row>
    <row r="194" spans="1:7">
      <c r="A194" s="149" t="str">
        <f>IF('15 yr'!A197=0,"",'15 yr'!A197)</f>
        <v/>
      </c>
      <c r="B194" s="147" t="str">
        <f>IF('15 yr'!B197=0,"",'15 yr'!B197)</f>
        <v/>
      </c>
      <c r="C194" s="148" t="str">
        <f>IF('15 yr'!E197=0,"",'15 yr'!E197)</f>
        <v/>
      </c>
      <c r="D194" s="149" t="str">
        <f>IF('15 yr'!I197=0,"",'15 yr'!I197)</f>
        <v/>
      </c>
      <c r="E194" s="150" t="str">
        <f>IFERROR(IF('15 yr'!AF197=0,"",'15 yr'!AF197),"")</f>
        <v/>
      </c>
      <c r="F194" s="150" t="str">
        <f>IFERROR(IF('15 yr'!AH197=0,"",'15 yr'!AH197),"")</f>
        <v/>
      </c>
      <c r="G194" s="156" t="str">
        <f>IFERROR(IF('15 yr'!AI197=0,"",'15 yr'!AI197),"")</f>
        <v/>
      </c>
    </row>
    <row r="195" spans="1:7">
      <c r="A195" s="149" t="str">
        <f>IF('15 yr'!A198=0,"",'15 yr'!A198)</f>
        <v/>
      </c>
      <c r="B195" s="147" t="str">
        <f>IF('15 yr'!B198=0,"",'15 yr'!B198)</f>
        <v/>
      </c>
      <c r="C195" s="148" t="str">
        <f>IF('15 yr'!E198=0,"",'15 yr'!E198)</f>
        <v/>
      </c>
      <c r="D195" s="149" t="str">
        <f>IF('15 yr'!I198=0,"",'15 yr'!I198)</f>
        <v/>
      </c>
      <c r="E195" s="150" t="str">
        <f>IFERROR(IF('15 yr'!AF198=0,"",'15 yr'!AF198),"")</f>
        <v/>
      </c>
      <c r="F195" s="150" t="str">
        <f>IFERROR(IF('15 yr'!AH198=0,"",'15 yr'!AH198),"")</f>
        <v/>
      </c>
      <c r="G195" s="156" t="str">
        <f>IFERROR(IF('15 yr'!AI198=0,"",'15 yr'!AI198),"")</f>
        <v/>
      </c>
    </row>
    <row r="196" spans="1:7">
      <c r="A196" s="149" t="str">
        <f>IF('15 yr'!A199=0,"",'15 yr'!A199)</f>
        <v/>
      </c>
      <c r="B196" s="147" t="str">
        <f>IF('15 yr'!B199=0,"",'15 yr'!B199)</f>
        <v/>
      </c>
      <c r="C196" s="148" t="str">
        <f>IF('15 yr'!E199=0,"",'15 yr'!E199)</f>
        <v/>
      </c>
      <c r="D196" s="149" t="str">
        <f>IF('15 yr'!I199=0,"",'15 yr'!I199)</f>
        <v/>
      </c>
      <c r="E196" s="150" t="str">
        <f>IFERROR(IF('15 yr'!AF199=0,"",'15 yr'!AF199),"")</f>
        <v/>
      </c>
      <c r="F196" s="150" t="str">
        <f>IFERROR(IF('15 yr'!AH199=0,"",'15 yr'!AH199),"")</f>
        <v/>
      </c>
      <c r="G196" s="156" t="str">
        <f>IFERROR(IF('15 yr'!AI199=0,"",'15 yr'!AI199),"")</f>
        <v/>
      </c>
    </row>
    <row r="197" spans="1:7">
      <c r="A197" s="149" t="str">
        <f>IF('15 yr'!A200=0,"",'15 yr'!A200)</f>
        <v/>
      </c>
      <c r="B197" s="147" t="str">
        <f>IF('15 yr'!B200=0,"",'15 yr'!B200)</f>
        <v/>
      </c>
      <c r="C197" s="148" t="str">
        <f>IF('15 yr'!E200=0,"",'15 yr'!E200)</f>
        <v/>
      </c>
      <c r="D197" s="149" t="str">
        <f>IF('15 yr'!I200=0,"",'15 yr'!I200)</f>
        <v/>
      </c>
      <c r="E197" s="150" t="str">
        <f>IFERROR(IF('15 yr'!AF200=0,"",'15 yr'!AF200),"")</f>
        <v/>
      </c>
      <c r="F197" s="150" t="str">
        <f>IFERROR(IF('15 yr'!AH200=0,"",'15 yr'!AH200),"")</f>
        <v/>
      </c>
      <c r="G197" s="156" t="str">
        <f>IFERROR(IF('15 yr'!AI200=0,"",'15 yr'!AI200),"")</f>
        <v/>
      </c>
    </row>
    <row r="198" spans="1:7">
      <c r="A198" s="149" t="str">
        <f>IF('15 yr'!A201=0,"",'15 yr'!A201)</f>
        <v/>
      </c>
      <c r="B198" s="147" t="str">
        <f>IF('15 yr'!B201=0,"",'15 yr'!B201)</f>
        <v/>
      </c>
      <c r="C198" s="148" t="str">
        <f>IF('15 yr'!E201=0,"",'15 yr'!E201)</f>
        <v/>
      </c>
      <c r="D198" s="149" t="str">
        <f>IF('15 yr'!I201=0,"",'15 yr'!I201)</f>
        <v/>
      </c>
      <c r="E198" s="150" t="str">
        <f>IFERROR(IF('15 yr'!AF201=0,"",'15 yr'!AF201),"")</f>
        <v/>
      </c>
      <c r="F198" s="150" t="str">
        <f>IFERROR(IF('15 yr'!AH201=0,"",'15 yr'!AH201),"")</f>
        <v/>
      </c>
      <c r="G198" s="156" t="str">
        <f>IFERROR(IF('15 yr'!AI201=0,"",'15 yr'!AI201),"")</f>
        <v/>
      </c>
    </row>
    <row r="199" spans="1:7">
      <c r="A199" s="149" t="str">
        <f>IF('15 yr'!A202=0,"",'15 yr'!A202)</f>
        <v/>
      </c>
      <c r="B199" s="147" t="str">
        <f>IF('15 yr'!B202=0,"",'15 yr'!B202)</f>
        <v/>
      </c>
      <c r="C199" s="148" t="str">
        <f>IF('15 yr'!E202=0,"",'15 yr'!E202)</f>
        <v/>
      </c>
      <c r="D199" s="149" t="str">
        <f>IF('15 yr'!I202=0,"",'15 yr'!I202)</f>
        <v/>
      </c>
      <c r="E199" s="150" t="str">
        <f>IFERROR(IF('15 yr'!AF202=0,"",'15 yr'!AF202),"")</f>
        <v/>
      </c>
      <c r="F199" s="150" t="str">
        <f>IFERROR(IF('15 yr'!AH202=0,"",'15 yr'!AH202),"")</f>
        <v/>
      </c>
      <c r="G199" s="156" t="str">
        <f>IFERROR(IF('15 yr'!AI202=0,"",'15 yr'!AI202),"")</f>
        <v/>
      </c>
    </row>
    <row r="200" spans="1:7">
      <c r="A200" s="149" t="str">
        <f>IF('15 yr'!A203=0,"",'15 yr'!A203)</f>
        <v/>
      </c>
      <c r="B200" s="147" t="str">
        <f>IF('15 yr'!B203=0,"",'15 yr'!B203)</f>
        <v/>
      </c>
      <c r="C200" s="148" t="str">
        <f>IF('15 yr'!E203=0,"",'15 yr'!E203)</f>
        <v/>
      </c>
      <c r="D200" s="149" t="str">
        <f>IF('15 yr'!I203=0,"",'15 yr'!I203)</f>
        <v/>
      </c>
      <c r="E200" s="150" t="str">
        <f>IFERROR(IF('15 yr'!AF203=0,"",'15 yr'!AF203),"")</f>
        <v/>
      </c>
      <c r="F200" s="150" t="str">
        <f>IFERROR(IF('15 yr'!AH203=0,"",'15 yr'!AH203),"")</f>
        <v/>
      </c>
      <c r="G200" s="156" t="str">
        <f>IFERROR(IF('15 yr'!AI203=0,"",'15 yr'!AI203),"")</f>
        <v/>
      </c>
    </row>
    <row r="201" spans="1:7">
      <c r="A201" s="149" t="str">
        <f>IF('15 yr'!A204=0,"",'15 yr'!A204)</f>
        <v/>
      </c>
      <c r="B201" s="147" t="str">
        <f>IF('15 yr'!B204=0,"",'15 yr'!B204)</f>
        <v/>
      </c>
      <c r="C201" s="148" t="str">
        <f>IF('15 yr'!E204=0,"",'15 yr'!E204)</f>
        <v/>
      </c>
      <c r="D201" s="149" t="str">
        <f>IF('15 yr'!I204=0,"",'15 yr'!I204)</f>
        <v/>
      </c>
      <c r="E201" s="150" t="str">
        <f>IFERROR(IF('15 yr'!AF204=0,"",'15 yr'!AF204),"")</f>
        <v/>
      </c>
      <c r="F201" s="150" t="str">
        <f>IFERROR(IF('15 yr'!AH204=0,"",'15 yr'!AH204),"")</f>
        <v/>
      </c>
      <c r="G201" s="156" t="str">
        <f>IFERROR(IF('15 yr'!AI204=0,"",'15 yr'!AI204),"")</f>
        <v/>
      </c>
    </row>
    <row r="202" spans="1:7">
      <c r="A202" s="149" t="str">
        <f>IF('15 yr'!A205=0,"",'15 yr'!A205)</f>
        <v/>
      </c>
      <c r="B202" s="147" t="str">
        <f>IF('15 yr'!B205=0,"",'15 yr'!B205)</f>
        <v/>
      </c>
      <c r="C202" s="148" t="str">
        <f>IF('15 yr'!E205=0,"",'15 yr'!E205)</f>
        <v/>
      </c>
      <c r="D202" s="149" t="str">
        <f>IF('15 yr'!I205=0,"",'15 yr'!I205)</f>
        <v/>
      </c>
      <c r="E202" s="150" t="str">
        <f>IFERROR(IF('15 yr'!AF205=0,"",'15 yr'!AF205),"")</f>
        <v/>
      </c>
      <c r="F202" s="150" t="str">
        <f>IFERROR(IF('15 yr'!AH205=0,"",'15 yr'!AH205),"")</f>
        <v/>
      </c>
      <c r="G202" s="156" t="str">
        <f>IFERROR(IF('15 yr'!AI205=0,"",'15 yr'!AI205),"")</f>
        <v/>
      </c>
    </row>
    <row r="203" spans="1:7">
      <c r="A203" s="149" t="str">
        <f>IF('15 yr'!A206=0,"",'15 yr'!A206)</f>
        <v/>
      </c>
      <c r="B203" s="147" t="str">
        <f>IF('15 yr'!B206=0,"",'15 yr'!B206)</f>
        <v/>
      </c>
      <c r="C203" s="148" t="str">
        <f>IF('15 yr'!E206=0,"",'15 yr'!E206)</f>
        <v/>
      </c>
      <c r="D203" s="149" t="str">
        <f>IF('15 yr'!I206=0,"",'15 yr'!I206)</f>
        <v/>
      </c>
      <c r="E203" s="150" t="str">
        <f>IFERROR(IF('15 yr'!AF206=0,"",'15 yr'!AF206),"")</f>
        <v/>
      </c>
      <c r="F203" s="150" t="str">
        <f>IFERROR(IF('15 yr'!AH206=0,"",'15 yr'!AH206),"")</f>
        <v/>
      </c>
      <c r="G203" s="156" t="str">
        <f>IFERROR(IF('15 yr'!AI206=0,"",'15 yr'!AI206),"")</f>
        <v/>
      </c>
    </row>
    <row r="204" spans="1:7">
      <c r="A204" s="149" t="str">
        <f>IF('15 yr'!A207=0,"",'15 yr'!A207)</f>
        <v/>
      </c>
      <c r="B204" s="147" t="str">
        <f>IF('15 yr'!B207=0,"",'15 yr'!B207)</f>
        <v/>
      </c>
      <c r="C204" s="148" t="str">
        <f>IF('15 yr'!E207=0,"",'15 yr'!E207)</f>
        <v/>
      </c>
      <c r="D204" s="149" t="str">
        <f>IF('15 yr'!I207=0,"",'15 yr'!I207)</f>
        <v/>
      </c>
      <c r="E204" s="150" t="str">
        <f>IFERROR(IF('15 yr'!AF207=0,"",'15 yr'!AF207),"")</f>
        <v/>
      </c>
      <c r="F204" s="150" t="str">
        <f>IFERROR(IF('15 yr'!AH207=0,"",'15 yr'!AH207),"")</f>
        <v/>
      </c>
      <c r="G204" s="156" t="str">
        <f>IFERROR(IF('15 yr'!AI207=0,"",'15 yr'!AI207),"")</f>
        <v/>
      </c>
    </row>
    <row r="205" spans="1:7">
      <c r="A205" s="149" t="str">
        <f>IF('15 yr'!A208=0,"",'15 yr'!A208)</f>
        <v/>
      </c>
      <c r="B205" s="147" t="str">
        <f>IF('15 yr'!B208=0,"",'15 yr'!B208)</f>
        <v/>
      </c>
      <c r="C205" s="148" t="str">
        <f>IF('15 yr'!E208=0,"",'15 yr'!E208)</f>
        <v/>
      </c>
      <c r="D205" s="149" t="str">
        <f>IF('15 yr'!I208=0,"",'15 yr'!I208)</f>
        <v/>
      </c>
      <c r="E205" s="150" t="str">
        <f>IFERROR(IF('15 yr'!AF208=0,"",'15 yr'!AF208),"")</f>
        <v/>
      </c>
      <c r="F205" s="150" t="str">
        <f>IFERROR(IF('15 yr'!AH208=0,"",'15 yr'!AH208),"")</f>
        <v/>
      </c>
      <c r="G205" s="156" t="str">
        <f>IFERROR(IF('15 yr'!AI208=0,"",'15 yr'!AI208),"")</f>
        <v/>
      </c>
    </row>
    <row r="206" spans="1:7">
      <c r="A206" s="149" t="str">
        <f>IF('15 yr'!A209=0,"",'15 yr'!A209)</f>
        <v/>
      </c>
      <c r="B206" s="147" t="str">
        <f>IF('15 yr'!B209=0,"",'15 yr'!B209)</f>
        <v/>
      </c>
      <c r="C206" s="148" t="str">
        <f>IF('15 yr'!E209=0,"",'15 yr'!E209)</f>
        <v/>
      </c>
      <c r="D206" s="149" t="str">
        <f>IF('15 yr'!I209=0,"",'15 yr'!I209)</f>
        <v/>
      </c>
      <c r="E206" s="150" t="str">
        <f>IFERROR(IF('15 yr'!AF209=0,"",'15 yr'!AF209),"")</f>
        <v/>
      </c>
      <c r="F206" s="150" t="str">
        <f>IFERROR(IF('15 yr'!AH209=0,"",'15 yr'!AH209),"")</f>
        <v/>
      </c>
      <c r="G206" s="156" t="str">
        <f>IFERROR(IF('15 yr'!AI209=0,"",'15 yr'!AI209),"")</f>
        <v/>
      </c>
    </row>
    <row r="207" spans="1:7">
      <c r="A207" s="149" t="str">
        <f>IF('15 yr'!A210=0,"",'15 yr'!A210)</f>
        <v/>
      </c>
      <c r="B207" s="147" t="str">
        <f>IF('15 yr'!B210=0,"",'15 yr'!B210)</f>
        <v/>
      </c>
      <c r="C207" s="148" t="str">
        <f>IF('15 yr'!E210=0,"",'15 yr'!E210)</f>
        <v/>
      </c>
      <c r="D207" s="149" t="str">
        <f>IF('15 yr'!I210=0,"",'15 yr'!I210)</f>
        <v/>
      </c>
      <c r="E207" s="150" t="str">
        <f>IFERROR(IF('15 yr'!AF210=0,"",'15 yr'!AF210),"")</f>
        <v/>
      </c>
      <c r="F207" s="150" t="str">
        <f>IFERROR(IF('15 yr'!AH210=0,"",'15 yr'!AH210),"")</f>
        <v/>
      </c>
      <c r="G207" s="156" t="str">
        <f>IFERROR(IF('15 yr'!AI210=0,"",'15 yr'!AI210),"")</f>
        <v/>
      </c>
    </row>
    <row r="208" spans="1:7">
      <c r="A208" s="149" t="str">
        <f>IF('15 yr'!A211=0,"",'15 yr'!A211)</f>
        <v/>
      </c>
      <c r="B208" s="147" t="str">
        <f>IF('15 yr'!B211=0,"",'15 yr'!B211)</f>
        <v/>
      </c>
      <c r="C208" s="148" t="str">
        <f>IF('15 yr'!E211=0,"",'15 yr'!E211)</f>
        <v/>
      </c>
      <c r="D208" s="149" t="str">
        <f>IF('15 yr'!I211=0,"",'15 yr'!I211)</f>
        <v/>
      </c>
      <c r="E208" s="150" t="str">
        <f>IFERROR(IF('15 yr'!AF211=0,"",'15 yr'!AF211),"")</f>
        <v/>
      </c>
      <c r="F208" s="150" t="str">
        <f>IFERROR(IF('15 yr'!AH211=0,"",'15 yr'!AH211),"")</f>
        <v/>
      </c>
      <c r="G208" s="156" t="str">
        <f>IFERROR(IF('15 yr'!AI211=0,"",'15 yr'!AI211),"")</f>
        <v/>
      </c>
    </row>
    <row r="209" spans="1:7">
      <c r="A209" s="149" t="str">
        <f>IF('15 yr'!A212=0,"",'15 yr'!A212)</f>
        <v/>
      </c>
      <c r="B209" s="147" t="str">
        <f>IF('15 yr'!B212=0,"",'15 yr'!B212)</f>
        <v/>
      </c>
      <c r="C209" s="148" t="str">
        <f>IF('15 yr'!E212=0,"",'15 yr'!E212)</f>
        <v/>
      </c>
      <c r="D209" s="149" t="str">
        <f>IF('15 yr'!I212=0,"",'15 yr'!I212)</f>
        <v/>
      </c>
      <c r="E209" s="150" t="str">
        <f>IFERROR(IF('15 yr'!AF212=0,"",'15 yr'!AF212),"")</f>
        <v/>
      </c>
      <c r="F209" s="150" t="str">
        <f>IFERROR(IF('15 yr'!AH212=0,"",'15 yr'!AH212),"")</f>
        <v/>
      </c>
      <c r="G209" s="156" t="str">
        <f>IFERROR(IF('15 yr'!AI212=0,"",'15 yr'!AI212),"")</f>
        <v/>
      </c>
    </row>
    <row r="210" spans="1:7">
      <c r="A210" s="149" t="str">
        <f>IF('15 yr'!A213=0,"",'15 yr'!A213)</f>
        <v/>
      </c>
      <c r="B210" s="147" t="str">
        <f>IF('15 yr'!B213=0,"",'15 yr'!B213)</f>
        <v/>
      </c>
      <c r="C210" s="148" t="str">
        <f>IF('15 yr'!E213=0,"",'15 yr'!E213)</f>
        <v/>
      </c>
      <c r="D210" s="149" t="str">
        <f>IF('15 yr'!I213=0,"",'15 yr'!I213)</f>
        <v/>
      </c>
      <c r="E210" s="150" t="str">
        <f>IFERROR(IF('15 yr'!AF213=0,"",'15 yr'!AF213),"")</f>
        <v/>
      </c>
      <c r="F210" s="150" t="str">
        <f>IFERROR(IF('15 yr'!AH213=0,"",'15 yr'!AH213),"")</f>
        <v/>
      </c>
      <c r="G210" s="156" t="str">
        <f>IFERROR(IF('15 yr'!AI213=0,"",'15 yr'!AI213),"")</f>
        <v/>
      </c>
    </row>
    <row r="211" spans="1:7">
      <c r="A211" s="149" t="str">
        <f>IF('15 yr'!A214=0,"",'15 yr'!A214)</f>
        <v/>
      </c>
      <c r="B211" s="147" t="str">
        <f>IF('15 yr'!B214=0,"",'15 yr'!B214)</f>
        <v/>
      </c>
      <c r="C211" s="148" t="str">
        <f>IF('15 yr'!E214=0,"",'15 yr'!E214)</f>
        <v/>
      </c>
      <c r="D211" s="149" t="str">
        <f>IF('15 yr'!I214=0,"",'15 yr'!I214)</f>
        <v/>
      </c>
      <c r="E211" s="150" t="str">
        <f>IFERROR(IF('15 yr'!AF214=0,"",'15 yr'!AF214),"")</f>
        <v/>
      </c>
      <c r="F211" s="150" t="str">
        <f>IFERROR(IF('15 yr'!AH214=0,"",'15 yr'!AH214),"")</f>
        <v/>
      </c>
      <c r="G211" s="156" t="str">
        <f>IFERROR(IF('15 yr'!AI214=0,"",'15 yr'!AI214),"")</f>
        <v/>
      </c>
    </row>
    <row r="212" spans="1:7">
      <c r="A212" s="149" t="str">
        <f>IF('15 yr'!A215=0,"",'15 yr'!A215)</f>
        <v/>
      </c>
      <c r="B212" s="147" t="str">
        <f>IF('15 yr'!B215=0,"",'15 yr'!B215)</f>
        <v/>
      </c>
      <c r="C212" s="148" t="str">
        <f>IF('15 yr'!E215=0,"",'15 yr'!E215)</f>
        <v/>
      </c>
      <c r="D212" s="149" t="str">
        <f>IF('15 yr'!I215=0,"",'15 yr'!I215)</f>
        <v/>
      </c>
      <c r="E212" s="150" t="str">
        <f>IFERROR(IF('15 yr'!AF215=0,"",'15 yr'!AF215),"")</f>
        <v/>
      </c>
      <c r="F212" s="150" t="str">
        <f>IFERROR(IF('15 yr'!AH215=0,"",'15 yr'!AH215),"")</f>
        <v/>
      </c>
      <c r="G212" s="156" t="str">
        <f>IFERROR(IF('15 yr'!AI215=0,"",'15 yr'!AI215),"")</f>
        <v/>
      </c>
    </row>
    <row r="213" spans="1:7">
      <c r="A213" s="149" t="str">
        <f>IF('15 yr'!A216=0,"",'15 yr'!A216)</f>
        <v/>
      </c>
      <c r="B213" s="147" t="str">
        <f>IF('15 yr'!B216=0,"",'15 yr'!B216)</f>
        <v/>
      </c>
      <c r="C213" s="148" t="str">
        <f>IF('15 yr'!E216=0,"",'15 yr'!E216)</f>
        <v/>
      </c>
      <c r="D213" s="149" t="str">
        <f>IF('15 yr'!I216=0,"",'15 yr'!I216)</f>
        <v/>
      </c>
      <c r="E213" s="150" t="str">
        <f>IFERROR(IF('15 yr'!AF216=0,"",'15 yr'!AF216),"")</f>
        <v/>
      </c>
      <c r="F213" s="150" t="str">
        <f>IFERROR(IF('15 yr'!AH216=0,"",'15 yr'!AH216),"")</f>
        <v/>
      </c>
      <c r="G213" s="156" t="str">
        <f>IFERROR(IF('15 yr'!AI216=0,"",'15 yr'!AI216),"")</f>
        <v/>
      </c>
    </row>
    <row r="214" spans="1:7">
      <c r="A214" s="149" t="str">
        <f>IF('15 yr'!A217=0,"",'15 yr'!A217)</f>
        <v/>
      </c>
      <c r="B214" s="147" t="str">
        <f>IF('15 yr'!B217=0,"",'15 yr'!B217)</f>
        <v/>
      </c>
      <c r="C214" s="148" t="str">
        <f>IF('15 yr'!E217=0,"",'15 yr'!E217)</f>
        <v/>
      </c>
      <c r="D214" s="149" t="str">
        <f>IF('15 yr'!I217=0,"",'15 yr'!I217)</f>
        <v/>
      </c>
      <c r="E214" s="150" t="str">
        <f>IFERROR(IF('15 yr'!AF217=0,"",'15 yr'!AF217),"")</f>
        <v/>
      </c>
      <c r="F214" s="150" t="str">
        <f>IFERROR(IF('15 yr'!AH217=0,"",'15 yr'!AH217),"")</f>
        <v/>
      </c>
      <c r="G214" s="156" t="str">
        <f>IFERROR(IF('15 yr'!AI217=0,"",'15 yr'!AI217),"")</f>
        <v/>
      </c>
    </row>
    <row r="215" spans="1:7">
      <c r="A215" s="149" t="str">
        <f>IF('15 yr'!A218=0,"",'15 yr'!A218)</f>
        <v/>
      </c>
      <c r="B215" s="147" t="str">
        <f>IF('15 yr'!B218=0,"",'15 yr'!B218)</f>
        <v/>
      </c>
      <c r="C215" s="148" t="str">
        <f>IF('15 yr'!E218=0,"",'15 yr'!E218)</f>
        <v/>
      </c>
      <c r="D215" s="149" t="str">
        <f>IF('15 yr'!I218=0,"",'15 yr'!I218)</f>
        <v/>
      </c>
      <c r="E215" s="150" t="str">
        <f>IFERROR(IF('15 yr'!AF218=0,"",'15 yr'!AF218),"")</f>
        <v/>
      </c>
      <c r="F215" s="150" t="str">
        <f>IFERROR(IF('15 yr'!AH218=0,"",'15 yr'!AH218),"")</f>
        <v/>
      </c>
      <c r="G215" s="156" t="str">
        <f>IFERROR(IF('15 yr'!AI218=0,"",'15 yr'!AI218),"")</f>
        <v/>
      </c>
    </row>
    <row r="216" spans="1:7">
      <c r="A216" s="149" t="str">
        <f>IF('15 yr'!A219=0,"",'15 yr'!A219)</f>
        <v/>
      </c>
      <c r="B216" s="147" t="str">
        <f>IF('15 yr'!B219=0,"",'15 yr'!B219)</f>
        <v/>
      </c>
      <c r="C216" s="148" t="str">
        <f>IF('15 yr'!E219=0,"",'15 yr'!E219)</f>
        <v/>
      </c>
      <c r="D216" s="149" t="str">
        <f>IF('15 yr'!I219=0,"",'15 yr'!I219)</f>
        <v/>
      </c>
      <c r="E216" s="150" t="str">
        <f>IFERROR(IF('15 yr'!AF219=0,"",'15 yr'!AF219),"")</f>
        <v/>
      </c>
      <c r="F216" s="150" t="str">
        <f>IFERROR(IF('15 yr'!AH219=0,"",'15 yr'!AH219),"")</f>
        <v/>
      </c>
      <c r="G216" s="156" t="str">
        <f>IFERROR(IF('15 yr'!AI219=0,"",'15 yr'!AI219),"")</f>
        <v/>
      </c>
    </row>
    <row r="217" spans="1:7">
      <c r="A217" s="149" t="str">
        <f>IF('15 yr'!A220=0,"",'15 yr'!A220)</f>
        <v/>
      </c>
      <c r="B217" s="147" t="str">
        <f>IF('15 yr'!B220=0,"",'15 yr'!B220)</f>
        <v/>
      </c>
      <c r="C217" s="148" t="str">
        <f>IF('15 yr'!E220=0,"",'15 yr'!E220)</f>
        <v/>
      </c>
      <c r="D217" s="149" t="str">
        <f>IF('15 yr'!I220=0,"",'15 yr'!I220)</f>
        <v/>
      </c>
      <c r="E217" s="150" t="str">
        <f>IFERROR(IF('15 yr'!AF220=0,"",'15 yr'!AF220),"")</f>
        <v/>
      </c>
      <c r="F217" s="150" t="str">
        <f>IFERROR(IF('15 yr'!AH220=0,"",'15 yr'!AH220),"")</f>
        <v/>
      </c>
      <c r="G217" s="156" t="str">
        <f>IFERROR(IF('15 yr'!AI220=0,"",'15 yr'!AI220),"")</f>
        <v/>
      </c>
    </row>
    <row r="218" spans="1:7">
      <c r="A218" s="149" t="str">
        <f>IF('15 yr'!A221=0,"",'15 yr'!A221)</f>
        <v/>
      </c>
      <c r="B218" s="147" t="str">
        <f>IF('15 yr'!B221=0,"",'15 yr'!B221)</f>
        <v/>
      </c>
      <c r="C218" s="148" t="str">
        <f>IF('15 yr'!E221=0,"",'15 yr'!E221)</f>
        <v/>
      </c>
      <c r="D218" s="149" t="str">
        <f>IF('15 yr'!I221=0,"",'15 yr'!I221)</f>
        <v/>
      </c>
      <c r="E218" s="150" t="str">
        <f>IFERROR(IF('15 yr'!AF221=0,"",'15 yr'!AF221),"")</f>
        <v/>
      </c>
      <c r="F218" s="150" t="str">
        <f>IFERROR(IF('15 yr'!AH221=0,"",'15 yr'!AH221),"")</f>
        <v/>
      </c>
      <c r="G218" s="156" t="str">
        <f>IFERROR(IF('15 yr'!AI221=0,"",'15 yr'!AI221),"")</f>
        <v/>
      </c>
    </row>
    <row r="219" spans="1:7">
      <c r="A219" s="149" t="str">
        <f>IF('15 yr'!A222=0,"",'15 yr'!A222)</f>
        <v/>
      </c>
      <c r="B219" s="147" t="str">
        <f>IF('15 yr'!B222=0,"",'15 yr'!B222)</f>
        <v/>
      </c>
      <c r="C219" s="148" t="str">
        <f>IF('15 yr'!E222=0,"",'15 yr'!E222)</f>
        <v/>
      </c>
      <c r="D219" s="149" t="str">
        <f>IF('15 yr'!I222=0,"",'15 yr'!I222)</f>
        <v/>
      </c>
      <c r="E219" s="150" t="str">
        <f>IFERROR(IF('15 yr'!AF222=0,"",'15 yr'!AF222),"")</f>
        <v/>
      </c>
      <c r="F219" s="150" t="str">
        <f>IFERROR(IF('15 yr'!AH222=0,"",'15 yr'!AH222),"")</f>
        <v/>
      </c>
      <c r="G219" s="156" t="str">
        <f>IFERROR(IF('15 yr'!AI222=0,"",'15 yr'!AI222),"")</f>
        <v/>
      </c>
    </row>
    <row r="220" spans="1:7">
      <c r="A220" s="149" t="str">
        <f>IF('15 yr'!A223=0,"",'15 yr'!A223)</f>
        <v/>
      </c>
      <c r="B220" s="147" t="str">
        <f>IF('15 yr'!B223=0,"",'15 yr'!B223)</f>
        <v/>
      </c>
      <c r="C220" s="148" t="str">
        <f>IF('15 yr'!E223=0,"",'15 yr'!E223)</f>
        <v/>
      </c>
      <c r="D220" s="149" t="str">
        <f>IF('15 yr'!I223=0,"",'15 yr'!I223)</f>
        <v/>
      </c>
      <c r="E220" s="150" t="str">
        <f>IFERROR(IF('15 yr'!AF223=0,"",'15 yr'!AF223),"")</f>
        <v/>
      </c>
      <c r="F220" s="150" t="str">
        <f>IFERROR(IF('15 yr'!AH223=0,"",'15 yr'!AH223),"")</f>
        <v/>
      </c>
      <c r="G220" s="156" t="str">
        <f>IFERROR(IF('15 yr'!AI223=0,"",'15 yr'!AI223),"")</f>
        <v/>
      </c>
    </row>
    <row r="221" spans="1:7">
      <c r="A221" s="149" t="str">
        <f>IF('15 yr'!A224=0,"",'15 yr'!A224)</f>
        <v/>
      </c>
      <c r="B221" s="147" t="str">
        <f>IF('15 yr'!B224=0,"",'15 yr'!B224)</f>
        <v/>
      </c>
      <c r="C221" s="148" t="str">
        <f>IF('15 yr'!E224=0,"",'15 yr'!E224)</f>
        <v/>
      </c>
      <c r="D221" s="149" t="str">
        <f>IF('15 yr'!I224=0,"",'15 yr'!I224)</f>
        <v/>
      </c>
      <c r="E221" s="150" t="str">
        <f>IFERROR(IF('15 yr'!AF224=0,"",'15 yr'!AF224),"")</f>
        <v/>
      </c>
      <c r="F221" s="150" t="str">
        <f>IFERROR(IF('15 yr'!AH224=0,"",'15 yr'!AH224),"")</f>
        <v/>
      </c>
      <c r="G221" s="156" t="str">
        <f>IFERROR(IF('15 yr'!AI224=0,"",'15 yr'!AI224),"")</f>
        <v/>
      </c>
    </row>
    <row r="222" spans="1:7">
      <c r="A222" s="149" t="str">
        <f>IF('15 yr'!A225=0,"",'15 yr'!A225)</f>
        <v/>
      </c>
      <c r="B222" s="147" t="str">
        <f>IF('15 yr'!B225=0,"",'15 yr'!B225)</f>
        <v/>
      </c>
      <c r="C222" s="148" t="str">
        <f>IF('15 yr'!E225=0,"",'15 yr'!E225)</f>
        <v/>
      </c>
      <c r="D222" s="149" t="str">
        <f>IF('15 yr'!I225=0,"",'15 yr'!I225)</f>
        <v/>
      </c>
      <c r="E222" s="150" t="str">
        <f>IFERROR(IF('15 yr'!AF225=0,"",'15 yr'!AF225),"")</f>
        <v/>
      </c>
      <c r="F222" s="150" t="str">
        <f>IFERROR(IF('15 yr'!AH225=0,"",'15 yr'!AH225),"")</f>
        <v/>
      </c>
      <c r="G222" s="156" t="str">
        <f>IFERROR(IF('15 yr'!AI225=0,"",'15 yr'!AI225),"")</f>
        <v/>
      </c>
    </row>
    <row r="223" spans="1:7">
      <c r="A223" s="149" t="str">
        <f>IF('15 yr'!A226=0,"",'15 yr'!A226)</f>
        <v/>
      </c>
      <c r="B223" s="147" t="str">
        <f>IF('15 yr'!B226=0,"",'15 yr'!B226)</f>
        <v/>
      </c>
      <c r="C223" s="148" t="str">
        <f>IF('15 yr'!E226=0,"",'15 yr'!E226)</f>
        <v/>
      </c>
      <c r="D223" s="149" t="str">
        <f>IF('15 yr'!I226=0,"",'15 yr'!I226)</f>
        <v/>
      </c>
      <c r="E223" s="150" t="str">
        <f>IFERROR(IF('15 yr'!AF226=0,"",'15 yr'!AF226),"")</f>
        <v/>
      </c>
      <c r="F223" s="150" t="str">
        <f>IFERROR(IF('15 yr'!AH226=0,"",'15 yr'!AH226),"")</f>
        <v/>
      </c>
      <c r="G223" s="156" t="str">
        <f>IFERROR(IF('15 yr'!AI226=0,"",'15 yr'!AI226),"")</f>
        <v/>
      </c>
    </row>
    <row r="224" spans="1:7">
      <c r="A224" s="149" t="str">
        <f>IF('15 yr'!A227=0,"",'15 yr'!A227)</f>
        <v/>
      </c>
      <c r="B224" s="147" t="str">
        <f>IF('15 yr'!B227=0,"",'15 yr'!B227)</f>
        <v/>
      </c>
      <c r="C224" s="148" t="str">
        <f>IF('15 yr'!E227=0,"",'15 yr'!E227)</f>
        <v/>
      </c>
      <c r="D224" s="149" t="str">
        <f>IF('15 yr'!I227=0,"",'15 yr'!I227)</f>
        <v/>
      </c>
      <c r="E224" s="150" t="str">
        <f>IFERROR(IF('15 yr'!AF227=0,"",'15 yr'!AF227),"")</f>
        <v/>
      </c>
      <c r="F224" s="150" t="str">
        <f>IFERROR(IF('15 yr'!AH227=0,"",'15 yr'!AH227),"")</f>
        <v/>
      </c>
      <c r="G224" s="156" t="str">
        <f>IFERROR(IF('15 yr'!AI227=0,"",'15 yr'!AI227),"")</f>
        <v/>
      </c>
    </row>
    <row r="225" spans="1:7">
      <c r="A225" s="149" t="str">
        <f>IF('15 yr'!A228=0,"",'15 yr'!A228)</f>
        <v/>
      </c>
      <c r="B225" s="147" t="str">
        <f>IF('15 yr'!B228=0,"",'15 yr'!B228)</f>
        <v/>
      </c>
      <c r="C225" s="148" t="str">
        <f>IF('15 yr'!E228=0,"",'15 yr'!E228)</f>
        <v/>
      </c>
      <c r="D225" s="149" t="str">
        <f>IF('15 yr'!I228=0,"",'15 yr'!I228)</f>
        <v/>
      </c>
      <c r="E225" s="150" t="str">
        <f>IFERROR(IF('15 yr'!AF228=0,"",'15 yr'!AF228),"")</f>
        <v/>
      </c>
      <c r="F225" s="150" t="str">
        <f>IFERROR(IF('15 yr'!AH228=0,"",'15 yr'!AH228),"")</f>
        <v/>
      </c>
      <c r="G225" s="156" t="str">
        <f>IFERROR(IF('15 yr'!AI228=0,"",'15 yr'!AI228),"")</f>
        <v/>
      </c>
    </row>
    <row r="226" spans="1:7">
      <c r="A226" s="149" t="str">
        <f>IF('15 yr'!A229=0,"",'15 yr'!A229)</f>
        <v/>
      </c>
      <c r="B226" s="147" t="str">
        <f>IF('15 yr'!B229=0,"",'15 yr'!B229)</f>
        <v/>
      </c>
      <c r="C226" s="148" t="str">
        <f>IF('15 yr'!E229=0,"",'15 yr'!E229)</f>
        <v/>
      </c>
      <c r="D226" s="149" t="str">
        <f>IF('15 yr'!I229=0,"",'15 yr'!I229)</f>
        <v/>
      </c>
      <c r="E226" s="150" t="str">
        <f>IFERROR(IF('15 yr'!AF229=0,"",'15 yr'!AF229),"")</f>
        <v/>
      </c>
      <c r="F226" s="150" t="str">
        <f>IFERROR(IF('15 yr'!AH229=0,"",'15 yr'!AH229),"")</f>
        <v/>
      </c>
      <c r="G226" s="156" t="str">
        <f>IFERROR(IF('15 yr'!AI229=0,"",'15 yr'!AI229),"")</f>
        <v/>
      </c>
    </row>
    <row r="227" spans="1:7">
      <c r="A227" s="149" t="str">
        <f>IF('15 yr'!A230=0,"",'15 yr'!A230)</f>
        <v/>
      </c>
      <c r="B227" s="147" t="str">
        <f>IF('15 yr'!B230=0,"",'15 yr'!B230)</f>
        <v/>
      </c>
      <c r="C227" s="148" t="str">
        <f>IF('15 yr'!E230=0,"",'15 yr'!E230)</f>
        <v/>
      </c>
      <c r="D227" s="149" t="str">
        <f>IF('15 yr'!I230=0,"",'15 yr'!I230)</f>
        <v/>
      </c>
      <c r="E227" s="150" t="str">
        <f>IFERROR(IF('15 yr'!AF230=0,"",'15 yr'!AF230),"")</f>
        <v/>
      </c>
      <c r="F227" s="150" t="str">
        <f>IFERROR(IF('15 yr'!AH230=0,"",'15 yr'!AH230),"")</f>
        <v/>
      </c>
      <c r="G227" s="156" t="str">
        <f>IFERROR(IF('15 yr'!AI230=0,"",'15 yr'!AI230),"")</f>
        <v/>
      </c>
    </row>
    <row r="228" spans="1:7">
      <c r="A228" s="149" t="str">
        <f>IF('15 yr'!A231=0,"",'15 yr'!A231)</f>
        <v/>
      </c>
      <c r="B228" s="147" t="str">
        <f>IF('15 yr'!B231=0,"",'15 yr'!B231)</f>
        <v/>
      </c>
      <c r="C228" s="148" t="str">
        <f>IF('15 yr'!E231=0,"",'15 yr'!E231)</f>
        <v/>
      </c>
      <c r="D228" s="149" t="str">
        <f>IF('15 yr'!I231=0,"",'15 yr'!I231)</f>
        <v/>
      </c>
      <c r="E228" s="150" t="str">
        <f>IFERROR(IF('15 yr'!AF231=0,"",'15 yr'!AF231),"")</f>
        <v/>
      </c>
      <c r="F228" s="150" t="str">
        <f>IFERROR(IF('15 yr'!AH231=0,"",'15 yr'!AH231),"")</f>
        <v/>
      </c>
      <c r="G228" s="156" t="str">
        <f>IFERROR(IF('15 yr'!AI231=0,"",'15 yr'!AI231),"")</f>
        <v/>
      </c>
    </row>
    <row r="229" spans="1:7">
      <c r="A229" s="149" t="str">
        <f>IF('15 yr'!A232=0,"",'15 yr'!A232)</f>
        <v/>
      </c>
      <c r="B229" s="147" t="str">
        <f>IF('15 yr'!B232=0,"",'15 yr'!B232)</f>
        <v/>
      </c>
      <c r="C229" s="148" t="str">
        <f>IF('15 yr'!E232=0,"",'15 yr'!E232)</f>
        <v/>
      </c>
      <c r="D229" s="149" t="str">
        <f>IF('15 yr'!I232=0,"",'15 yr'!I232)</f>
        <v/>
      </c>
      <c r="E229" s="150" t="str">
        <f>IFERROR(IF('15 yr'!AF232=0,"",'15 yr'!AF232),"")</f>
        <v/>
      </c>
      <c r="F229" s="150" t="str">
        <f>IFERROR(IF('15 yr'!AH232=0,"",'15 yr'!AH232),"")</f>
        <v/>
      </c>
      <c r="G229" s="156" t="str">
        <f>IFERROR(IF('15 yr'!AI232=0,"",'15 yr'!AI232),"")</f>
        <v/>
      </c>
    </row>
    <row r="230" spans="1:7">
      <c r="A230" s="149" t="str">
        <f>IF('15 yr'!A233=0,"",'15 yr'!A233)</f>
        <v/>
      </c>
      <c r="B230" s="147" t="str">
        <f>IF('15 yr'!B233=0,"",'15 yr'!B233)</f>
        <v/>
      </c>
      <c r="C230" s="148" t="str">
        <f>IF('15 yr'!E233=0,"",'15 yr'!E233)</f>
        <v/>
      </c>
      <c r="D230" s="149" t="str">
        <f>IF('15 yr'!I233=0,"",'15 yr'!I233)</f>
        <v/>
      </c>
      <c r="E230" s="150" t="str">
        <f>IFERROR(IF('15 yr'!AF233=0,"",'15 yr'!AF233),"")</f>
        <v/>
      </c>
      <c r="F230" s="150" t="str">
        <f>IFERROR(IF('15 yr'!AH233=0,"",'15 yr'!AH233),"")</f>
        <v/>
      </c>
      <c r="G230" s="156" t="str">
        <f>IFERROR(IF('15 yr'!AI233=0,"",'15 yr'!AI233),"")</f>
        <v/>
      </c>
    </row>
    <row r="231" spans="1:7">
      <c r="A231" s="149" t="str">
        <f>IF('15 yr'!A234=0,"",'15 yr'!A234)</f>
        <v/>
      </c>
      <c r="B231" s="147" t="str">
        <f>IF('15 yr'!B234=0,"",'15 yr'!B234)</f>
        <v/>
      </c>
      <c r="C231" s="148" t="str">
        <f>IF('15 yr'!E234=0,"",'15 yr'!E234)</f>
        <v/>
      </c>
      <c r="D231" s="149" t="str">
        <f>IF('15 yr'!I234=0,"",'15 yr'!I234)</f>
        <v/>
      </c>
      <c r="E231" s="150" t="str">
        <f>IFERROR(IF('15 yr'!AF234=0,"",'15 yr'!AF234),"")</f>
        <v/>
      </c>
      <c r="F231" s="150" t="str">
        <f>IFERROR(IF('15 yr'!AH234=0,"",'15 yr'!AH234),"")</f>
        <v/>
      </c>
      <c r="G231" s="156" t="str">
        <f>IFERROR(IF('15 yr'!AI234=0,"",'15 yr'!AI234),"")</f>
        <v/>
      </c>
    </row>
    <row r="232" spans="1:7">
      <c r="A232" s="149" t="str">
        <f>IF('15 yr'!A235=0,"",'15 yr'!A235)</f>
        <v/>
      </c>
      <c r="B232" s="147" t="str">
        <f>IF('15 yr'!B235=0,"",'15 yr'!B235)</f>
        <v/>
      </c>
      <c r="C232" s="148" t="str">
        <f>IF('15 yr'!E235=0,"",'15 yr'!E235)</f>
        <v/>
      </c>
      <c r="D232" s="149" t="str">
        <f>IF('15 yr'!I235=0,"",'15 yr'!I235)</f>
        <v/>
      </c>
      <c r="E232" s="150" t="str">
        <f>IFERROR(IF('15 yr'!AF235=0,"",'15 yr'!AF235),"")</f>
        <v/>
      </c>
      <c r="F232" s="150" t="str">
        <f>IFERROR(IF('15 yr'!AH235=0,"",'15 yr'!AH235),"")</f>
        <v/>
      </c>
      <c r="G232" s="156" t="str">
        <f>IFERROR(IF('15 yr'!AI235=0,"",'15 yr'!AI235),"")</f>
        <v/>
      </c>
    </row>
    <row r="233" spans="1:7">
      <c r="A233" s="149" t="str">
        <f>IF('15 yr'!A236=0,"",'15 yr'!A236)</f>
        <v/>
      </c>
      <c r="B233" s="147" t="str">
        <f>IF('15 yr'!B236=0,"",'15 yr'!B236)</f>
        <v/>
      </c>
      <c r="C233" s="148" t="str">
        <f>IF('15 yr'!E236=0,"",'15 yr'!E236)</f>
        <v/>
      </c>
      <c r="D233" s="149" t="str">
        <f>IF('15 yr'!I236=0,"",'15 yr'!I236)</f>
        <v/>
      </c>
      <c r="E233" s="150" t="str">
        <f>IFERROR(IF('15 yr'!AF236=0,"",'15 yr'!AF236),"")</f>
        <v/>
      </c>
      <c r="F233" s="150" t="str">
        <f>IFERROR(IF('15 yr'!AH236=0,"",'15 yr'!AH236),"")</f>
        <v/>
      </c>
      <c r="G233" s="156" t="str">
        <f>IFERROR(IF('15 yr'!AI236=0,"",'15 yr'!AI236),"")</f>
        <v/>
      </c>
    </row>
    <row r="234" spans="1:7">
      <c r="A234" s="149" t="str">
        <f>IF('15 yr'!A237=0,"",'15 yr'!A237)</f>
        <v/>
      </c>
      <c r="B234" s="147" t="str">
        <f>IF('15 yr'!B237=0,"",'15 yr'!B237)</f>
        <v/>
      </c>
      <c r="C234" s="148" t="str">
        <f>IF('15 yr'!E237=0,"",'15 yr'!E237)</f>
        <v/>
      </c>
      <c r="D234" s="149" t="str">
        <f>IF('15 yr'!I237=0,"",'15 yr'!I237)</f>
        <v/>
      </c>
      <c r="E234" s="150" t="str">
        <f>IFERROR(IF('15 yr'!AF237=0,"",'15 yr'!AF237),"")</f>
        <v/>
      </c>
      <c r="F234" s="150" t="str">
        <f>IFERROR(IF('15 yr'!AH237=0,"",'15 yr'!AH237),"")</f>
        <v/>
      </c>
      <c r="G234" s="156" t="str">
        <f>IFERROR(IF('15 yr'!AI237=0,"",'15 yr'!AI237),"")</f>
        <v/>
      </c>
    </row>
    <row r="235" spans="1:7">
      <c r="A235" s="149" t="str">
        <f>IF('15 yr'!A238=0,"",'15 yr'!A238)</f>
        <v/>
      </c>
      <c r="B235" s="147" t="str">
        <f>IF('15 yr'!B238=0,"",'15 yr'!B238)</f>
        <v/>
      </c>
      <c r="C235" s="148" t="str">
        <f>IF('15 yr'!E238=0,"",'15 yr'!E238)</f>
        <v/>
      </c>
      <c r="D235" s="149" t="str">
        <f>IF('15 yr'!I238=0,"",'15 yr'!I238)</f>
        <v/>
      </c>
      <c r="E235" s="150" t="str">
        <f>IFERROR(IF('15 yr'!AF238=0,"",'15 yr'!AF238),"")</f>
        <v/>
      </c>
      <c r="F235" s="150" t="str">
        <f>IFERROR(IF('15 yr'!AH238=0,"",'15 yr'!AH238),"")</f>
        <v/>
      </c>
      <c r="G235" s="156" t="str">
        <f>IFERROR(IF('15 yr'!AI238=0,"",'15 yr'!AI238),"")</f>
        <v/>
      </c>
    </row>
    <row r="236" spans="1:7">
      <c r="A236" s="149" t="str">
        <f>IF('15 yr'!A239=0,"",'15 yr'!A239)</f>
        <v/>
      </c>
      <c r="B236" s="147" t="str">
        <f>IF('15 yr'!B239=0,"",'15 yr'!B239)</f>
        <v/>
      </c>
      <c r="C236" s="148" t="str">
        <f>IF('15 yr'!E239=0,"",'15 yr'!E239)</f>
        <v/>
      </c>
      <c r="D236" s="149" t="str">
        <f>IF('15 yr'!I239=0,"",'15 yr'!I239)</f>
        <v/>
      </c>
      <c r="E236" s="150" t="str">
        <f>IFERROR(IF('15 yr'!AF239=0,"",'15 yr'!AF239),"")</f>
        <v/>
      </c>
      <c r="F236" s="150" t="str">
        <f>IFERROR(IF('15 yr'!AH239=0,"",'15 yr'!AH239),"")</f>
        <v/>
      </c>
      <c r="G236" s="156" t="str">
        <f>IFERROR(IF('15 yr'!AI239=0,"",'15 yr'!AI239),"")</f>
        <v/>
      </c>
    </row>
    <row r="237" spans="1:7">
      <c r="A237" s="149" t="str">
        <f>IF('15 yr'!A240=0,"",'15 yr'!A240)</f>
        <v/>
      </c>
      <c r="B237" s="147" t="str">
        <f>IF('15 yr'!B240=0,"",'15 yr'!B240)</f>
        <v/>
      </c>
      <c r="C237" s="148" t="str">
        <f>IF('15 yr'!E240=0,"",'15 yr'!E240)</f>
        <v/>
      </c>
      <c r="D237" s="149" t="str">
        <f>IF('15 yr'!I240=0,"",'15 yr'!I240)</f>
        <v/>
      </c>
      <c r="E237" s="150" t="str">
        <f>IFERROR(IF('15 yr'!AF240=0,"",'15 yr'!AF240),"")</f>
        <v/>
      </c>
      <c r="F237" s="150" t="str">
        <f>IFERROR(IF('15 yr'!AH240=0,"",'15 yr'!AH240),"")</f>
        <v/>
      </c>
      <c r="G237" s="156" t="str">
        <f>IFERROR(IF('15 yr'!AI240=0,"",'15 yr'!AI240),"")</f>
        <v/>
      </c>
    </row>
    <row r="238" spans="1:7">
      <c r="A238" s="149" t="str">
        <f>IF('15 yr'!A241=0,"",'15 yr'!A241)</f>
        <v/>
      </c>
      <c r="B238" s="147" t="str">
        <f>IF('15 yr'!B241=0,"",'15 yr'!B241)</f>
        <v/>
      </c>
      <c r="C238" s="148" t="str">
        <f>IF('15 yr'!E241=0,"",'15 yr'!E241)</f>
        <v/>
      </c>
      <c r="D238" s="149" t="str">
        <f>IF('15 yr'!I241=0,"",'15 yr'!I241)</f>
        <v/>
      </c>
      <c r="E238" s="150" t="str">
        <f>IFERROR(IF('15 yr'!AF241=0,"",'15 yr'!AF241),"")</f>
        <v/>
      </c>
      <c r="F238" s="150" t="str">
        <f>IFERROR(IF('15 yr'!AH241=0,"",'15 yr'!AH241),"")</f>
        <v/>
      </c>
      <c r="G238" s="156" t="str">
        <f>IFERROR(IF('15 yr'!AI241=0,"",'15 yr'!AI241),"")</f>
        <v/>
      </c>
    </row>
    <row r="239" spans="1:7">
      <c r="A239" s="149" t="str">
        <f>IF('15 yr'!A242=0,"",'15 yr'!A242)</f>
        <v/>
      </c>
      <c r="B239" s="147" t="str">
        <f>IF('15 yr'!B242=0,"",'15 yr'!B242)</f>
        <v/>
      </c>
      <c r="C239" s="148" t="str">
        <f>IF('15 yr'!E242=0,"",'15 yr'!E242)</f>
        <v/>
      </c>
      <c r="D239" s="149" t="str">
        <f>IF('15 yr'!I242=0,"",'15 yr'!I242)</f>
        <v/>
      </c>
      <c r="E239" s="150" t="str">
        <f>IFERROR(IF('15 yr'!AF242=0,"",'15 yr'!AF242),"")</f>
        <v/>
      </c>
      <c r="F239" s="150" t="str">
        <f>IFERROR(IF('15 yr'!AH242=0,"",'15 yr'!AH242),"")</f>
        <v/>
      </c>
      <c r="G239" s="156" t="str">
        <f>IFERROR(IF('15 yr'!AI242=0,"",'15 yr'!AI242),"")</f>
        <v/>
      </c>
    </row>
    <row r="240" spans="1:7">
      <c r="A240" s="149" t="str">
        <f>IF('15 yr'!A243=0,"",'15 yr'!A243)</f>
        <v/>
      </c>
      <c r="B240" s="147" t="str">
        <f>IF('15 yr'!B243=0,"",'15 yr'!B243)</f>
        <v/>
      </c>
      <c r="C240" s="148" t="str">
        <f>IF('15 yr'!E243=0,"",'15 yr'!E243)</f>
        <v/>
      </c>
      <c r="D240" s="149" t="str">
        <f>IF('15 yr'!I243=0,"",'15 yr'!I243)</f>
        <v/>
      </c>
      <c r="E240" s="150" t="str">
        <f>IFERROR(IF('15 yr'!AF243=0,"",'15 yr'!AF243),"")</f>
        <v/>
      </c>
      <c r="F240" s="150" t="str">
        <f>IFERROR(IF('15 yr'!AH243=0,"",'15 yr'!AH243),"")</f>
        <v/>
      </c>
      <c r="G240" s="156" t="str">
        <f>IFERROR(IF('15 yr'!AI243=0,"",'15 yr'!AI243),"")</f>
        <v/>
      </c>
    </row>
    <row r="241" spans="1:7">
      <c r="A241" s="149" t="str">
        <f>IF('15 yr'!A244=0,"",'15 yr'!A244)</f>
        <v/>
      </c>
      <c r="B241" s="147" t="str">
        <f>IF('15 yr'!B244=0,"",'15 yr'!B244)</f>
        <v/>
      </c>
      <c r="C241" s="148" t="str">
        <f>IF('15 yr'!E244=0,"",'15 yr'!E244)</f>
        <v/>
      </c>
      <c r="D241" s="149" t="str">
        <f>IF('15 yr'!I244=0,"",'15 yr'!I244)</f>
        <v/>
      </c>
      <c r="E241" s="150" t="str">
        <f>IFERROR(IF('15 yr'!AF244=0,"",'15 yr'!AF244),"")</f>
        <v/>
      </c>
      <c r="F241" s="150" t="str">
        <f>IFERROR(IF('15 yr'!AH244=0,"",'15 yr'!AH244),"")</f>
        <v/>
      </c>
      <c r="G241" s="156" t="str">
        <f>IFERROR(IF('15 yr'!AI244=0,"",'15 yr'!AI244),"")</f>
        <v/>
      </c>
    </row>
    <row r="242" spans="1:7">
      <c r="A242" s="149" t="str">
        <f>IF('15 yr'!A245=0,"",'15 yr'!A245)</f>
        <v/>
      </c>
      <c r="B242" s="147" t="str">
        <f>IF('15 yr'!B245=0,"",'15 yr'!B245)</f>
        <v/>
      </c>
      <c r="C242" s="148" t="str">
        <f>IF('15 yr'!E245=0,"",'15 yr'!E245)</f>
        <v/>
      </c>
      <c r="D242" s="149" t="str">
        <f>IF('15 yr'!I245=0,"",'15 yr'!I245)</f>
        <v/>
      </c>
      <c r="E242" s="150" t="str">
        <f>IFERROR(IF('15 yr'!AF245=0,"",'15 yr'!AF245),"")</f>
        <v/>
      </c>
      <c r="F242" s="150" t="str">
        <f>IFERROR(IF('15 yr'!AH245=0,"",'15 yr'!AH245),"")</f>
        <v/>
      </c>
      <c r="G242" s="156" t="str">
        <f>IFERROR(IF('15 yr'!AI245=0,"",'15 yr'!AI245),"")</f>
        <v/>
      </c>
    </row>
    <row r="243" spans="1:7">
      <c r="A243" s="149" t="str">
        <f>IF('15 yr'!A246=0,"",'15 yr'!A246)</f>
        <v/>
      </c>
      <c r="B243" s="147" t="str">
        <f>IF('15 yr'!B246=0,"",'15 yr'!B246)</f>
        <v/>
      </c>
      <c r="C243" s="148" t="str">
        <f>IF('15 yr'!E246=0,"",'15 yr'!E246)</f>
        <v/>
      </c>
      <c r="D243" s="149" t="str">
        <f>IF('15 yr'!I246=0,"",'15 yr'!I246)</f>
        <v/>
      </c>
      <c r="E243" s="150" t="str">
        <f>IFERROR(IF('15 yr'!AF246=0,"",'15 yr'!AF246),"")</f>
        <v/>
      </c>
      <c r="F243" s="150" t="str">
        <f>IFERROR(IF('15 yr'!AH246=0,"",'15 yr'!AH246),"")</f>
        <v/>
      </c>
      <c r="G243" s="156" t="str">
        <f>IFERROR(IF('15 yr'!AI246=0,"",'15 yr'!AI246),"")</f>
        <v/>
      </c>
    </row>
    <row r="244" spans="1:7">
      <c r="A244" s="149" t="str">
        <f>IF('15 yr'!A247=0,"",'15 yr'!A247)</f>
        <v/>
      </c>
      <c r="B244" s="147" t="str">
        <f>IF('15 yr'!B247=0,"",'15 yr'!B247)</f>
        <v/>
      </c>
      <c r="C244" s="148" t="str">
        <f>IF('15 yr'!E247=0,"",'15 yr'!E247)</f>
        <v/>
      </c>
      <c r="D244" s="149" t="str">
        <f>IF('15 yr'!I247=0,"",'15 yr'!I247)</f>
        <v/>
      </c>
      <c r="E244" s="150" t="str">
        <f>IFERROR(IF('15 yr'!AF247=0,"",'15 yr'!AF247),"")</f>
        <v/>
      </c>
      <c r="F244" s="150" t="str">
        <f>IFERROR(IF('15 yr'!AH247=0,"",'15 yr'!AH247),"")</f>
        <v/>
      </c>
      <c r="G244" s="156" t="str">
        <f>IFERROR(IF('15 yr'!AI247=0,"",'15 yr'!AI247),"")</f>
        <v/>
      </c>
    </row>
    <row r="245" spans="1:7">
      <c r="A245" s="149" t="str">
        <f>IF('15 yr'!A248=0,"",'15 yr'!A248)</f>
        <v/>
      </c>
      <c r="B245" s="147" t="str">
        <f>IF('15 yr'!B248=0,"",'15 yr'!B248)</f>
        <v/>
      </c>
      <c r="C245" s="148" t="str">
        <f>IF('15 yr'!E248=0,"",'15 yr'!E248)</f>
        <v/>
      </c>
      <c r="D245" s="149" t="str">
        <f>IF('15 yr'!I248=0,"",'15 yr'!I248)</f>
        <v/>
      </c>
      <c r="E245" s="150" t="str">
        <f>IFERROR(IF('15 yr'!AF248=0,"",'15 yr'!AF248),"")</f>
        <v/>
      </c>
      <c r="F245" s="150" t="str">
        <f>IFERROR(IF('15 yr'!AH248=0,"",'15 yr'!AH248),"")</f>
        <v/>
      </c>
      <c r="G245" s="156" t="str">
        <f>IFERROR(IF('15 yr'!AI248=0,"",'15 yr'!AI248),"")</f>
        <v/>
      </c>
    </row>
    <row r="246" spans="1:7">
      <c r="A246" s="149" t="str">
        <f>IF('15 yr'!A249=0,"",'15 yr'!A249)</f>
        <v/>
      </c>
      <c r="B246" s="147" t="str">
        <f>IF('15 yr'!B249=0,"",'15 yr'!B249)</f>
        <v/>
      </c>
      <c r="C246" s="148" t="str">
        <f>IF('15 yr'!E249=0,"",'15 yr'!E249)</f>
        <v/>
      </c>
      <c r="D246" s="149" t="str">
        <f>IF('15 yr'!I249=0,"",'15 yr'!I249)</f>
        <v/>
      </c>
      <c r="E246" s="150" t="str">
        <f>IFERROR(IF('15 yr'!AF249=0,"",'15 yr'!AF249),"")</f>
        <v/>
      </c>
      <c r="F246" s="150" t="str">
        <f>IFERROR(IF('15 yr'!AH249=0,"",'15 yr'!AH249),"")</f>
        <v/>
      </c>
      <c r="G246" s="156" t="str">
        <f>IFERROR(IF('15 yr'!AI249=0,"",'15 yr'!AI249),"")</f>
        <v/>
      </c>
    </row>
    <row r="247" spans="1:7">
      <c r="A247" s="149" t="str">
        <f>IF('15 yr'!A250=0,"",'15 yr'!A250)</f>
        <v/>
      </c>
      <c r="B247" s="147" t="str">
        <f>IF('15 yr'!B250=0,"",'15 yr'!B250)</f>
        <v/>
      </c>
      <c r="C247" s="148" t="str">
        <f>IF('15 yr'!E250=0,"",'15 yr'!E250)</f>
        <v/>
      </c>
      <c r="D247" s="149" t="str">
        <f>IF('15 yr'!I250=0,"",'15 yr'!I250)</f>
        <v/>
      </c>
      <c r="E247" s="150" t="str">
        <f>IFERROR(IF('15 yr'!AF250=0,"",'15 yr'!AF250),"")</f>
        <v/>
      </c>
      <c r="F247" s="150" t="str">
        <f>IFERROR(IF('15 yr'!AH250=0,"",'15 yr'!AH250),"")</f>
        <v/>
      </c>
      <c r="G247" s="156" t="str">
        <f>IFERROR(IF('15 yr'!AI250=0,"",'15 yr'!AI250),"")</f>
        <v/>
      </c>
    </row>
    <row r="248" spans="1:7">
      <c r="A248" s="149" t="str">
        <f>IF('15 yr'!A251=0,"",'15 yr'!A251)</f>
        <v/>
      </c>
      <c r="B248" s="147" t="str">
        <f>IF('15 yr'!B251=0,"",'15 yr'!B251)</f>
        <v/>
      </c>
      <c r="C248" s="148" t="str">
        <f>IF('15 yr'!E251=0,"",'15 yr'!E251)</f>
        <v/>
      </c>
      <c r="D248" s="149" t="str">
        <f>IF('15 yr'!I251=0,"",'15 yr'!I251)</f>
        <v/>
      </c>
      <c r="E248" s="150" t="str">
        <f>IFERROR(IF('15 yr'!AF251=0,"",'15 yr'!AF251),"")</f>
        <v/>
      </c>
      <c r="F248" s="150" t="str">
        <f>IFERROR(IF('15 yr'!AH251=0,"",'15 yr'!AH251),"")</f>
        <v/>
      </c>
      <c r="G248" s="156" t="str">
        <f>IFERROR(IF('15 yr'!AI251=0,"",'15 yr'!AI251),"")</f>
        <v/>
      </c>
    </row>
    <row r="249" spans="1:7">
      <c r="A249" s="149" t="str">
        <f>IF('15 yr'!A252=0,"",'15 yr'!A252)</f>
        <v/>
      </c>
      <c r="B249" s="147" t="str">
        <f>IF('15 yr'!B252=0,"",'15 yr'!B252)</f>
        <v/>
      </c>
      <c r="C249" s="148" t="str">
        <f>IF('15 yr'!E252=0,"",'15 yr'!E252)</f>
        <v/>
      </c>
      <c r="D249" s="149" t="str">
        <f>IF('15 yr'!I252=0,"",'15 yr'!I252)</f>
        <v/>
      </c>
      <c r="E249" s="150" t="str">
        <f>IFERROR(IF('15 yr'!AF252=0,"",'15 yr'!AF252),"")</f>
        <v/>
      </c>
      <c r="F249" s="150" t="str">
        <f>IFERROR(IF('15 yr'!AH252=0,"",'15 yr'!AH252),"")</f>
        <v/>
      </c>
      <c r="G249" s="156" t="str">
        <f>IFERROR(IF('15 yr'!AI252=0,"",'15 yr'!AI252),"")</f>
        <v/>
      </c>
    </row>
    <row r="250" spans="1:7">
      <c r="A250" s="149" t="str">
        <f>IF('15 yr'!A253=0,"",'15 yr'!A253)</f>
        <v/>
      </c>
      <c r="B250" s="147" t="str">
        <f>IF('15 yr'!B253=0,"",'15 yr'!B253)</f>
        <v/>
      </c>
      <c r="C250" s="148" t="str">
        <f>IF('15 yr'!E253=0,"",'15 yr'!E253)</f>
        <v/>
      </c>
      <c r="D250" s="149" t="str">
        <f>IF('15 yr'!I253=0,"",'15 yr'!I253)</f>
        <v/>
      </c>
      <c r="E250" s="150" t="str">
        <f>IFERROR(IF('15 yr'!AF253=0,"",'15 yr'!AF253),"")</f>
        <v/>
      </c>
      <c r="F250" s="150" t="str">
        <f>IFERROR(IF('15 yr'!AH253=0,"",'15 yr'!AH253),"")</f>
        <v/>
      </c>
      <c r="G250" s="156" t="str">
        <f>IFERROR(IF('15 yr'!AI253=0,"",'15 yr'!AI253),"")</f>
        <v/>
      </c>
    </row>
    <row r="251" spans="1:7">
      <c r="A251" s="149" t="str">
        <f>IF('15 yr'!A254=0,"",'15 yr'!A254)</f>
        <v/>
      </c>
      <c r="B251" s="147" t="str">
        <f>IF('15 yr'!B254=0,"",'15 yr'!B254)</f>
        <v/>
      </c>
      <c r="C251" s="148" t="str">
        <f>IF('15 yr'!E254=0,"",'15 yr'!E254)</f>
        <v/>
      </c>
      <c r="D251" s="149" t="str">
        <f>IF('15 yr'!I254=0,"",'15 yr'!I254)</f>
        <v/>
      </c>
      <c r="E251" s="150" t="str">
        <f>IFERROR(IF('15 yr'!AF254=0,"",'15 yr'!AF254),"")</f>
        <v/>
      </c>
      <c r="F251" s="150" t="str">
        <f>IFERROR(IF('15 yr'!AH254=0,"",'15 yr'!AH254),"")</f>
        <v/>
      </c>
      <c r="G251" s="156" t="str">
        <f>IFERROR(IF('15 yr'!AI254=0,"",'15 yr'!AI254),"")</f>
        <v/>
      </c>
    </row>
    <row r="252" spans="1:7">
      <c r="A252" s="149" t="str">
        <f>IF('15 yr'!A255=0,"",'15 yr'!A255)</f>
        <v/>
      </c>
      <c r="B252" s="147" t="str">
        <f>IF('15 yr'!B255=0,"",'15 yr'!B255)</f>
        <v/>
      </c>
      <c r="C252" s="148" t="str">
        <f>IF('15 yr'!E255=0,"",'15 yr'!E255)</f>
        <v/>
      </c>
      <c r="D252" s="149" t="str">
        <f>IF('15 yr'!I255=0,"",'15 yr'!I255)</f>
        <v/>
      </c>
      <c r="E252" s="150" t="str">
        <f>IFERROR(IF('15 yr'!AF255=0,"",'15 yr'!AF255),"")</f>
        <v/>
      </c>
      <c r="F252" s="150" t="str">
        <f>IFERROR(IF('15 yr'!AH255=0,"",'15 yr'!AH255),"")</f>
        <v/>
      </c>
      <c r="G252" s="156" t="str">
        <f>IFERROR(IF('15 yr'!AI255=0,"",'15 yr'!AI255),"")</f>
        <v/>
      </c>
    </row>
    <row r="253" spans="1:7">
      <c r="A253" s="149" t="str">
        <f>IF('15 yr'!A256=0,"",'15 yr'!A256)</f>
        <v/>
      </c>
      <c r="B253" s="147" t="str">
        <f>IF('15 yr'!B256=0,"",'15 yr'!B256)</f>
        <v/>
      </c>
      <c r="C253" s="148" t="str">
        <f>IF('15 yr'!E256=0,"",'15 yr'!E256)</f>
        <v/>
      </c>
      <c r="D253" s="149" t="str">
        <f>IF('15 yr'!I256=0,"",'15 yr'!I256)</f>
        <v/>
      </c>
      <c r="E253" s="150" t="str">
        <f>IFERROR(IF('15 yr'!AF256=0,"",'15 yr'!AF256),"")</f>
        <v/>
      </c>
      <c r="F253" s="150" t="str">
        <f>IFERROR(IF('15 yr'!AH256=0,"",'15 yr'!AH256),"")</f>
        <v/>
      </c>
      <c r="G253" s="156" t="str">
        <f>IFERROR(IF('15 yr'!AI256=0,"",'15 yr'!AI256),"")</f>
        <v/>
      </c>
    </row>
    <row r="254" spans="1:7">
      <c r="A254" s="149" t="str">
        <f>IF('15 yr'!A257=0,"",'15 yr'!A257)</f>
        <v/>
      </c>
      <c r="B254" s="147" t="str">
        <f>IF('15 yr'!B257=0,"",'15 yr'!B257)</f>
        <v/>
      </c>
      <c r="C254" s="148" t="str">
        <f>IF('15 yr'!E257=0,"",'15 yr'!E257)</f>
        <v/>
      </c>
      <c r="D254" s="149" t="str">
        <f>IF('15 yr'!I257=0,"",'15 yr'!I257)</f>
        <v/>
      </c>
      <c r="E254" s="150" t="str">
        <f>IFERROR(IF('15 yr'!AF257=0,"",'15 yr'!AF257),"")</f>
        <v/>
      </c>
      <c r="F254" s="150" t="str">
        <f>IFERROR(IF('15 yr'!AH257=0,"",'15 yr'!AH257),"")</f>
        <v/>
      </c>
      <c r="G254" s="156" t="str">
        <f>IFERROR(IF('15 yr'!AI257=0,"",'15 yr'!AI257),"")</f>
        <v/>
      </c>
    </row>
    <row r="255" spans="1:7">
      <c r="A255" s="149" t="str">
        <f>IF('15 yr'!A258=0,"",'15 yr'!A258)</f>
        <v/>
      </c>
      <c r="B255" s="147" t="str">
        <f>IF('15 yr'!B258=0,"",'15 yr'!B258)</f>
        <v/>
      </c>
      <c r="C255" s="148" t="str">
        <f>IF('15 yr'!E258=0,"",'15 yr'!E258)</f>
        <v/>
      </c>
      <c r="D255" s="149" t="str">
        <f>IF('15 yr'!I258=0,"",'15 yr'!I258)</f>
        <v/>
      </c>
      <c r="E255" s="150" t="str">
        <f>IFERROR(IF('15 yr'!AF258=0,"",'15 yr'!AF258),"")</f>
        <v/>
      </c>
      <c r="F255" s="150" t="str">
        <f>IFERROR(IF('15 yr'!AH258=0,"",'15 yr'!AH258),"")</f>
        <v/>
      </c>
      <c r="G255" s="156" t="str">
        <f>IFERROR(IF('15 yr'!AI258=0,"",'15 yr'!AI258),"")</f>
        <v/>
      </c>
    </row>
    <row r="256" spans="1:7">
      <c r="A256" s="149" t="str">
        <f>IF('15 yr'!A259=0,"",'15 yr'!A259)</f>
        <v/>
      </c>
      <c r="B256" s="147" t="str">
        <f>IF('15 yr'!B259=0,"",'15 yr'!B259)</f>
        <v/>
      </c>
      <c r="C256" s="148" t="str">
        <f>IF('15 yr'!E259=0,"",'15 yr'!E259)</f>
        <v/>
      </c>
      <c r="D256" s="149" t="str">
        <f>IF('15 yr'!I259=0,"",'15 yr'!I259)</f>
        <v/>
      </c>
      <c r="E256" s="150" t="str">
        <f>IFERROR(IF('15 yr'!AF259=0,"",'15 yr'!AF259),"")</f>
        <v/>
      </c>
      <c r="F256" s="150" t="str">
        <f>IFERROR(IF('15 yr'!AH259=0,"",'15 yr'!AH259),"")</f>
        <v/>
      </c>
      <c r="G256" s="156" t="str">
        <f>IFERROR(IF('15 yr'!AI259=0,"",'15 yr'!AI259),"")</f>
        <v/>
      </c>
    </row>
    <row r="257" spans="1:7">
      <c r="A257" s="149" t="str">
        <f>IF('15 yr'!A260=0,"",'15 yr'!A260)</f>
        <v/>
      </c>
      <c r="B257" s="147" t="str">
        <f>IF('15 yr'!B260=0,"",'15 yr'!B260)</f>
        <v/>
      </c>
      <c r="C257" s="148" t="str">
        <f>IF('15 yr'!E260=0,"",'15 yr'!E260)</f>
        <v/>
      </c>
      <c r="D257" s="149" t="str">
        <f>IF('15 yr'!I260=0,"",'15 yr'!I260)</f>
        <v/>
      </c>
      <c r="E257" s="150" t="str">
        <f>IFERROR(IF('15 yr'!AF260=0,"",'15 yr'!AF260),"")</f>
        <v/>
      </c>
      <c r="F257" s="150" t="str">
        <f>IFERROR(IF('15 yr'!AH260=0,"",'15 yr'!AH260),"")</f>
        <v/>
      </c>
      <c r="G257" s="156" t="str">
        <f>IFERROR(IF('15 yr'!AI260=0,"",'15 yr'!AI260),"")</f>
        <v/>
      </c>
    </row>
    <row r="258" spans="1:7">
      <c r="A258" s="149" t="str">
        <f>IF('15 yr'!A261=0,"",'15 yr'!A261)</f>
        <v/>
      </c>
      <c r="B258" s="147" t="str">
        <f>IF('15 yr'!B261=0,"",'15 yr'!B261)</f>
        <v/>
      </c>
      <c r="C258" s="148" t="str">
        <f>IF('15 yr'!E261=0,"",'15 yr'!E261)</f>
        <v/>
      </c>
      <c r="D258" s="149" t="str">
        <f>IF('15 yr'!I261=0,"",'15 yr'!I261)</f>
        <v/>
      </c>
      <c r="E258" s="150" t="str">
        <f>IFERROR(IF('15 yr'!AF261=0,"",'15 yr'!AF261),"")</f>
        <v/>
      </c>
      <c r="F258" s="150" t="str">
        <f>IFERROR(IF('15 yr'!AH261=0,"",'15 yr'!AH261),"")</f>
        <v/>
      </c>
      <c r="G258" s="156" t="str">
        <f>IFERROR(IF('15 yr'!AI261=0,"",'15 yr'!AI261),"")</f>
        <v/>
      </c>
    </row>
    <row r="259" spans="1:7">
      <c r="A259" s="149" t="str">
        <f>IF('15 yr'!A262=0,"",'15 yr'!A262)</f>
        <v/>
      </c>
      <c r="B259" s="147" t="str">
        <f>IF('15 yr'!B262=0,"",'15 yr'!B262)</f>
        <v/>
      </c>
      <c r="C259" s="148" t="str">
        <f>IF('15 yr'!E262=0,"",'15 yr'!E262)</f>
        <v/>
      </c>
      <c r="D259" s="149" t="str">
        <f>IF('15 yr'!I262=0,"",'15 yr'!I262)</f>
        <v/>
      </c>
      <c r="E259" s="150" t="str">
        <f>IFERROR(IF('15 yr'!AF262=0,"",'15 yr'!AF262),"")</f>
        <v/>
      </c>
      <c r="F259" s="150" t="str">
        <f>IFERROR(IF('15 yr'!AH262=0,"",'15 yr'!AH262),"")</f>
        <v/>
      </c>
      <c r="G259" s="156" t="str">
        <f>IFERROR(IF('15 yr'!AI262=0,"",'15 yr'!AI262),"")</f>
        <v/>
      </c>
    </row>
    <row r="260" spans="1:7">
      <c r="A260" s="149" t="str">
        <f>IF('15 yr'!A263=0,"",'15 yr'!A263)</f>
        <v/>
      </c>
      <c r="B260" s="147" t="str">
        <f>IF('15 yr'!B263=0,"",'15 yr'!B263)</f>
        <v/>
      </c>
      <c r="C260" s="148" t="str">
        <f>IF('15 yr'!E263=0,"",'15 yr'!E263)</f>
        <v/>
      </c>
      <c r="D260" s="149" t="str">
        <f>IF('15 yr'!I263=0,"",'15 yr'!I263)</f>
        <v/>
      </c>
      <c r="E260" s="150" t="str">
        <f>IFERROR(IF('15 yr'!AF263=0,"",'15 yr'!AF263),"")</f>
        <v/>
      </c>
      <c r="F260" s="150" t="str">
        <f>IFERROR(IF('15 yr'!AH263=0,"",'15 yr'!AH263),"")</f>
        <v/>
      </c>
      <c r="G260" s="156" t="str">
        <f>IFERROR(IF('15 yr'!AI263=0,"",'15 yr'!AI263),"")</f>
        <v/>
      </c>
    </row>
    <row r="261" spans="1:7">
      <c r="A261" s="149" t="str">
        <f>IF('15 yr'!A264=0,"",'15 yr'!A264)</f>
        <v/>
      </c>
      <c r="B261" s="147" t="str">
        <f>IF('15 yr'!B264=0,"",'15 yr'!B264)</f>
        <v/>
      </c>
      <c r="C261" s="148" t="str">
        <f>IF('15 yr'!E264=0,"",'15 yr'!E264)</f>
        <v/>
      </c>
      <c r="D261" s="149" t="str">
        <f>IF('15 yr'!I264=0,"",'15 yr'!I264)</f>
        <v/>
      </c>
      <c r="E261" s="150" t="str">
        <f>IFERROR(IF('15 yr'!AF264=0,"",'15 yr'!AF264),"")</f>
        <v/>
      </c>
      <c r="F261" s="150" t="str">
        <f>IFERROR(IF('15 yr'!AH264=0,"",'15 yr'!AH264),"")</f>
        <v/>
      </c>
      <c r="G261" s="156" t="str">
        <f>IFERROR(IF('15 yr'!AI264=0,"",'15 yr'!AI264),"")</f>
        <v/>
      </c>
    </row>
    <row r="262" spans="1:7">
      <c r="A262" s="149" t="str">
        <f>IF('15 yr'!A265=0,"",'15 yr'!A265)</f>
        <v/>
      </c>
      <c r="B262" s="147" t="str">
        <f>IF('15 yr'!B265=0,"",'15 yr'!B265)</f>
        <v/>
      </c>
      <c r="C262" s="148" t="str">
        <f>IF('15 yr'!E265=0,"",'15 yr'!E265)</f>
        <v/>
      </c>
      <c r="D262" s="149" t="str">
        <f>IF('15 yr'!I265=0,"",'15 yr'!I265)</f>
        <v/>
      </c>
      <c r="E262" s="150" t="str">
        <f>IFERROR(IF('15 yr'!AF265=0,"",'15 yr'!AF265),"")</f>
        <v/>
      </c>
      <c r="F262" s="150" t="str">
        <f>IFERROR(IF('15 yr'!AH265=0,"",'15 yr'!AH265),"")</f>
        <v/>
      </c>
      <c r="G262" s="156" t="str">
        <f>IFERROR(IF('15 yr'!AI265=0,"",'15 yr'!AI265),"")</f>
        <v/>
      </c>
    </row>
    <row r="263" spans="1:7">
      <c r="A263" s="149" t="str">
        <f>IF('15 yr'!A266=0,"",'15 yr'!A266)</f>
        <v/>
      </c>
      <c r="B263" s="147" t="str">
        <f>IF('15 yr'!B266=0,"",'15 yr'!B266)</f>
        <v/>
      </c>
      <c r="C263" s="148" t="str">
        <f>IF('15 yr'!E266=0,"",'15 yr'!E266)</f>
        <v/>
      </c>
      <c r="D263" s="149" t="str">
        <f>IF('15 yr'!I266=0,"",'15 yr'!I266)</f>
        <v/>
      </c>
      <c r="E263" s="150" t="str">
        <f>IFERROR(IF('15 yr'!AF266=0,"",'15 yr'!AF266),"")</f>
        <v/>
      </c>
      <c r="F263" s="150" t="str">
        <f>IFERROR(IF('15 yr'!AH266=0,"",'15 yr'!AH266),"")</f>
        <v/>
      </c>
      <c r="G263" s="156" t="str">
        <f>IFERROR(IF('15 yr'!AI266=0,"",'15 yr'!AI266),"")</f>
        <v/>
      </c>
    </row>
    <row r="264" spans="1:7">
      <c r="A264" s="149" t="str">
        <f>IF('15 yr'!A267=0,"",'15 yr'!A267)</f>
        <v/>
      </c>
      <c r="B264" s="147" t="str">
        <f>IF('15 yr'!B267=0,"",'15 yr'!B267)</f>
        <v/>
      </c>
      <c r="C264" s="148" t="str">
        <f>IF('15 yr'!E267=0,"",'15 yr'!E267)</f>
        <v/>
      </c>
      <c r="D264" s="149" t="str">
        <f>IF('15 yr'!I267=0,"",'15 yr'!I267)</f>
        <v/>
      </c>
      <c r="E264" s="150" t="str">
        <f>IFERROR(IF('15 yr'!AF267=0,"",'15 yr'!AF267),"")</f>
        <v/>
      </c>
      <c r="F264" s="150" t="str">
        <f>IFERROR(IF('15 yr'!AH267=0,"",'15 yr'!AH267),"")</f>
        <v/>
      </c>
      <c r="G264" s="156" t="str">
        <f>IFERROR(IF('15 yr'!AI267=0,"",'15 yr'!AI267),"")</f>
        <v/>
      </c>
    </row>
    <row r="265" spans="1:7">
      <c r="A265" s="149" t="str">
        <f>IF('15 yr'!A268=0,"",'15 yr'!A268)</f>
        <v/>
      </c>
      <c r="B265" s="147" t="str">
        <f>IF('15 yr'!B268=0,"",'15 yr'!B268)</f>
        <v/>
      </c>
      <c r="C265" s="148" t="str">
        <f>IF('15 yr'!E268=0,"",'15 yr'!E268)</f>
        <v/>
      </c>
      <c r="D265" s="149" t="str">
        <f>IF('15 yr'!I268=0,"",'15 yr'!I268)</f>
        <v/>
      </c>
      <c r="E265" s="150" t="str">
        <f>IFERROR(IF('15 yr'!AF268=0,"",'15 yr'!AF268),"")</f>
        <v/>
      </c>
      <c r="F265" s="150" t="str">
        <f>IFERROR(IF('15 yr'!AH268=0,"",'15 yr'!AH268),"")</f>
        <v/>
      </c>
      <c r="G265" s="156" t="str">
        <f>IFERROR(IF('15 yr'!AI268=0,"",'15 yr'!AI268),"")</f>
        <v/>
      </c>
    </row>
    <row r="266" spans="1:7">
      <c r="A266" s="149" t="str">
        <f>IF('15 yr'!A269=0,"",'15 yr'!A269)</f>
        <v/>
      </c>
      <c r="B266" s="147" t="str">
        <f>IF('15 yr'!B269=0,"",'15 yr'!B269)</f>
        <v/>
      </c>
      <c r="C266" s="148" t="str">
        <f>IF('15 yr'!E269=0,"",'15 yr'!E269)</f>
        <v/>
      </c>
      <c r="D266" s="149" t="str">
        <f>IF('15 yr'!I269=0,"",'15 yr'!I269)</f>
        <v/>
      </c>
      <c r="E266" s="150" t="str">
        <f>IFERROR(IF('15 yr'!AF269=0,"",'15 yr'!AF269),"")</f>
        <v/>
      </c>
      <c r="F266" s="150" t="str">
        <f>IFERROR(IF('15 yr'!AH269=0,"",'15 yr'!AH269),"")</f>
        <v/>
      </c>
      <c r="G266" s="156" t="str">
        <f>IFERROR(IF('15 yr'!AI269=0,"",'15 yr'!AI269),"")</f>
        <v/>
      </c>
    </row>
    <row r="267" spans="1:7">
      <c r="A267" s="149" t="str">
        <f>IF('15 yr'!A270=0,"",'15 yr'!A270)</f>
        <v/>
      </c>
      <c r="B267" s="147" t="str">
        <f>IF('15 yr'!B270=0,"",'15 yr'!B270)</f>
        <v/>
      </c>
      <c r="C267" s="148" t="str">
        <f>IF('15 yr'!E270=0,"",'15 yr'!E270)</f>
        <v/>
      </c>
      <c r="D267" s="149" t="str">
        <f>IF('15 yr'!I270=0,"",'15 yr'!I270)</f>
        <v/>
      </c>
      <c r="E267" s="150" t="str">
        <f>IFERROR(IF('15 yr'!AF270=0,"",'15 yr'!AF270),"")</f>
        <v/>
      </c>
      <c r="F267" s="150" t="str">
        <f>IFERROR(IF('15 yr'!AH270=0,"",'15 yr'!AH270),"")</f>
        <v/>
      </c>
      <c r="G267" s="156" t="str">
        <f>IFERROR(IF('15 yr'!AI270=0,"",'15 yr'!AI270),"")</f>
        <v/>
      </c>
    </row>
    <row r="268" spans="1:7">
      <c r="A268" s="149" t="str">
        <f>IF('15 yr'!A271=0,"",'15 yr'!A271)</f>
        <v/>
      </c>
      <c r="B268" s="147" t="str">
        <f>IF('15 yr'!B271=0,"",'15 yr'!B271)</f>
        <v/>
      </c>
      <c r="C268" s="148" t="str">
        <f>IF('15 yr'!E271=0,"",'15 yr'!E271)</f>
        <v/>
      </c>
      <c r="D268" s="149" t="str">
        <f>IF('15 yr'!I271=0,"",'15 yr'!I271)</f>
        <v/>
      </c>
      <c r="E268" s="150" t="str">
        <f>IFERROR(IF('15 yr'!AF271=0,"",'15 yr'!AF271),"")</f>
        <v/>
      </c>
      <c r="F268" s="150" t="str">
        <f>IFERROR(IF('15 yr'!AH271=0,"",'15 yr'!AH271),"")</f>
        <v/>
      </c>
      <c r="G268" s="156" t="str">
        <f>IFERROR(IF('15 yr'!AI271=0,"",'15 yr'!AI271),"")</f>
        <v/>
      </c>
    </row>
    <row r="269" spans="1:7">
      <c r="A269" s="149" t="str">
        <f>IF('15 yr'!A272=0,"",'15 yr'!A272)</f>
        <v/>
      </c>
      <c r="B269" s="147" t="str">
        <f>IF('15 yr'!B272=0,"",'15 yr'!B272)</f>
        <v/>
      </c>
      <c r="C269" s="148" t="str">
        <f>IF('15 yr'!E272=0,"",'15 yr'!E272)</f>
        <v/>
      </c>
      <c r="D269" s="149" t="str">
        <f>IF('15 yr'!I272=0,"",'15 yr'!I272)</f>
        <v/>
      </c>
      <c r="E269" s="150" t="str">
        <f>IFERROR(IF('15 yr'!AF272=0,"",'15 yr'!AF272),"")</f>
        <v/>
      </c>
      <c r="F269" s="150" t="str">
        <f>IFERROR(IF('15 yr'!AH272=0,"",'15 yr'!AH272),"")</f>
        <v/>
      </c>
      <c r="G269" s="156" t="str">
        <f>IFERROR(IF('15 yr'!AI272=0,"",'15 yr'!AI272),"")</f>
        <v/>
      </c>
    </row>
    <row r="270" spans="1:7">
      <c r="A270" s="149" t="str">
        <f>IF('15 yr'!A273=0,"",'15 yr'!A273)</f>
        <v/>
      </c>
      <c r="B270" s="147" t="str">
        <f>IF('15 yr'!B273=0,"",'15 yr'!B273)</f>
        <v/>
      </c>
      <c r="C270" s="148" t="str">
        <f>IF('15 yr'!E273=0,"",'15 yr'!E273)</f>
        <v/>
      </c>
      <c r="D270" s="149" t="str">
        <f>IF('15 yr'!I273=0,"",'15 yr'!I273)</f>
        <v/>
      </c>
      <c r="E270" s="150" t="str">
        <f>IFERROR(IF('15 yr'!AF273=0,"",'15 yr'!AF273),"")</f>
        <v/>
      </c>
      <c r="F270" s="150" t="str">
        <f>IFERROR(IF('15 yr'!AH273=0,"",'15 yr'!AH273),"")</f>
        <v/>
      </c>
      <c r="G270" s="156" t="str">
        <f>IFERROR(IF('15 yr'!AI273=0,"",'15 yr'!AI273),"")</f>
        <v/>
      </c>
    </row>
    <row r="271" spans="1:7">
      <c r="A271" s="149" t="str">
        <f>IF('15 yr'!A274=0,"",'15 yr'!A274)</f>
        <v/>
      </c>
      <c r="B271" s="147" t="str">
        <f>IF('15 yr'!B274=0,"",'15 yr'!B274)</f>
        <v/>
      </c>
      <c r="C271" s="148" t="str">
        <f>IF('15 yr'!E274=0,"",'15 yr'!E274)</f>
        <v/>
      </c>
      <c r="D271" s="149" t="str">
        <f>IF('15 yr'!I274=0,"",'15 yr'!I274)</f>
        <v/>
      </c>
      <c r="E271" s="150" t="str">
        <f>IFERROR(IF('15 yr'!AF274=0,"",'15 yr'!AF274),"")</f>
        <v/>
      </c>
      <c r="F271" s="150" t="str">
        <f>IFERROR(IF('15 yr'!AH274=0,"",'15 yr'!AH274),"")</f>
        <v/>
      </c>
      <c r="G271" s="156" t="str">
        <f>IFERROR(IF('15 yr'!AI274=0,"",'15 yr'!AI274),"")</f>
        <v/>
      </c>
    </row>
    <row r="272" spans="1:7">
      <c r="A272" s="149" t="str">
        <f>IF('15 yr'!A275=0,"",'15 yr'!A275)</f>
        <v/>
      </c>
      <c r="B272" s="147" t="str">
        <f>IF('15 yr'!B275=0,"",'15 yr'!B275)</f>
        <v/>
      </c>
      <c r="C272" s="148" t="str">
        <f>IF('15 yr'!E275=0,"",'15 yr'!E275)</f>
        <v/>
      </c>
      <c r="D272" s="149" t="str">
        <f>IF('15 yr'!I275=0,"",'15 yr'!I275)</f>
        <v/>
      </c>
      <c r="E272" s="150" t="str">
        <f>IFERROR(IF('15 yr'!AF275=0,"",'15 yr'!AF275),"")</f>
        <v/>
      </c>
      <c r="F272" s="150" t="str">
        <f>IFERROR(IF('15 yr'!AH275=0,"",'15 yr'!AH275),"")</f>
        <v/>
      </c>
      <c r="G272" s="156" t="str">
        <f>IFERROR(IF('15 yr'!AI275=0,"",'15 yr'!AI275),"")</f>
        <v/>
      </c>
    </row>
    <row r="273" spans="1:7">
      <c r="A273" s="149" t="str">
        <f>IF('15 yr'!A276=0,"",'15 yr'!A276)</f>
        <v/>
      </c>
      <c r="B273" s="147" t="str">
        <f>IF('15 yr'!B276=0,"",'15 yr'!B276)</f>
        <v/>
      </c>
      <c r="C273" s="148" t="str">
        <f>IF('15 yr'!E276=0,"",'15 yr'!E276)</f>
        <v/>
      </c>
      <c r="D273" s="149" t="str">
        <f>IF('15 yr'!I276=0,"",'15 yr'!I276)</f>
        <v/>
      </c>
      <c r="E273" s="150" t="str">
        <f>IFERROR(IF('15 yr'!AF276=0,"",'15 yr'!AF276),"")</f>
        <v/>
      </c>
      <c r="F273" s="150" t="str">
        <f>IFERROR(IF('15 yr'!AH276=0,"",'15 yr'!AH276),"")</f>
        <v/>
      </c>
      <c r="G273" s="156" t="str">
        <f>IFERROR(IF('15 yr'!AI276=0,"",'15 yr'!AI276),"")</f>
        <v/>
      </c>
    </row>
    <row r="274" spans="1:7">
      <c r="A274" s="149" t="str">
        <f>IF('15 yr'!A277=0,"",'15 yr'!A277)</f>
        <v/>
      </c>
      <c r="B274" s="147" t="str">
        <f>IF('15 yr'!B277=0,"",'15 yr'!B277)</f>
        <v/>
      </c>
      <c r="C274" s="148" t="str">
        <f>IF('15 yr'!E277=0,"",'15 yr'!E277)</f>
        <v/>
      </c>
      <c r="D274" s="149" t="str">
        <f>IF('15 yr'!I277=0,"",'15 yr'!I277)</f>
        <v/>
      </c>
      <c r="E274" s="150" t="str">
        <f>IFERROR(IF('15 yr'!AF277=0,"",'15 yr'!AF277),"")</f>
        <v/>
      </c>
      <c r="F274" s="150" t="str">
        <f>IFERROR(IF('15 yr'!AH277=0,"",'15 yr'!AH277),"")</f>
        <v/>
      </c>
      <c r="G274" s="156" t="str">
        <f>IFERROR(IF('15 yr'!AI277=0,"",'15 yr'!AI277),"")</f>
        <v/>
      </c>
    </row>
    <row r="275" spans="1:7">
      <c r="A275" s="149" t="str">
        <f>IF('15 yr'!A278=0,"",'15 yr'!A278)</f>
        <v/>
      </c>
      <c r="B275" s="147" t="str">
        <f>IF('15 yr'!B278=0,"",'15 yr'!B278)</f>
        <v/>
      </c>
      <c r="C275" s="148" t="str">
        <f>IF('15 yr'!E278=0,"",'15 yr'!E278)</f>
        <v/>
      </c>
      <c r="D275" s="149" t="str">
        <f>IF('15 yr'!I278=0,"",'15 yr'!I278)</f>
        <v/>
      </c>
      <c r="E275" s="150" t="str">
        <f>IFERROR(IF('15 yr'!AF278=0,"",'15 yr'!AF278),"")</f>
        <v/>
      </c>
      <c r="F275" s="150" t="str">
        <f>IFERROR(IF('15 yr'!AH278=0,"",'15 yr'!AH278),"")</f>
        <v/>
      </c>
      <c r="G275" s="156" t="str">
        <f>IFERROR(IF('15 yr'!AI278=0,"",'15 yr'!AI278),"")</f>
        <v/>
      </c>
    </row>
    <row r="276" spans="1:7">
      <c r="A276" s="149" t="str">
        <f>IF('15 yr'!A279=0,"",'15 yr'!A279)</f>
        <v/>
      </c>
      <c r="B276" s="147" t="str">
        <f>IF('15 yr'!B279=0,"",'15 yr'!B279)</f>
        <v/>
      </c>
      <c r="C276" s="148" t="str">
        <f>IF('15 yr'!E279=0,"",'15 yr'!E279)</f>
        <v/>
      </c>
      <c r="D276" s="149" t="str">
        <f>IF('15 yr'!I279=0,"",'15 yr'!I279)</f>
        <v/>
      </c>
      <c r="E276" s="150" t="str">
        <f>IFERROR(IF('15 yr'!AF279=0,"",'15 yr'!AF279),"")</f>
        <v/>
      </c>
      <c r="F276" s="150" t="str">
        <f>IFERROR(IF('15 yr'!AH279=0,"",'15 yr'!AH279),"")</f>
        <v/>
      </c>
      <c r="G276" s="156" t="str">
        <f>IFERROR(IF('15 yr'!AI279=0,"",'15 yr'!AI279),"")</f>
        <v/>
      </c>
    </row>
    <row r="277" spans="1:7">
      <c r="A277" s="149" t="str">
        <f>IF('15 yr'!A280=0,"",'15 yr'!A280)</f>
        <v/>
      </c>
      <c r="B277" s="147" t="str">
        <f>IF('15 yr'!B280=0,"",'15 yr'!B280)</f>
        <v/>
      </c>
      <c r="C277" s="148" t="str">
        <f>IF('15 yr'!E280=0,"",'15 yr'!E280)</f>
        <v/>
      </c>
      <c r="D277" s="149" t="str">
        <f>IF('15 yr'!I280=0,"",'15 yr'!I280)</f>
        <v/>
      </c>
      <c r="E277" s="150" t="str">
        <f>IFERROR(IF('15 yr'!AF280=0,"",'15 yr'!AF280),"")</f>
        <v/>
      </c>
      <c r="F277" s="150" t="str">
        <f>IFERROR(IF('15 yr'!AH280=0,"",'15 yr'!AH280),"")</f>
        <v/>
      </c>
      <c r="G277" s="156" t="str">
        <f>IFERROR(IF('15 yr'!AI280=0,"",'15 yr'!AI280),"")</f>
        <v/>
      </c>
    </row>
    <row r="278" spans="1:7">
      <c r="A278" s="149" t="str">
        <f>IF('15 yr'!A281=0,"",'15 yr'!A281)</f>
        <v/>
      </c>
      <c r="B278" s="147" t="str">
        <f>IF('15 yr'!B281=0,"",'15 yr'!B281)</f>
        <v/>
      </c>
      <c r="C278" s="148" t="str">
        <f>IF('15 yr'!E281=0,"",'15 yr'!E281)</f>
        <v/>
      </c>
      <c r="D278" s="149" t="str">
        <f>IF('15 yr'!I281=0,"",'15 yr'!I281)</f>
        <v/>
      </c>
      <c r="E278" s="150" t="str">
        <f>IFERROR(IF('15 yr'!AF281=0,"",'15 yr'!AF281),"")</f>
        <v/>
      </c>
      <c r="F278" s="150" t="str">
        <f>IFERROR(IF('15 yr'!AH281=0,"",'15 yr'!AH281),"")</f>
        <v/>
      </c>
      <c r="G278" s="156" t="str">
        <f>IFERROR(IF('15 yr'!AI281=0,"",'15 yr'!AI281),"")</f>
        <v/>
      </c>
    </row>
    <row r="279" spans="1:7">
      <c r="A279" s="149" t="str">
        <f>IF('15 yr'!A282=0,"",'15 yr'!A282)</f>
        <v/>
      </c>
      <c r="B279" s="147" t="str">
        <f>IF('15 yr'!B282=0,"",'15 yr'!B282)</f>
        <v/>
      </c>
      <c r="C279" s="148" t="str">
        <f>IF('15 yr'!E282=0,"",'15 yr'!E282)</f>
        <v/>
      </c>
      <c r="D279" s="149" t="str">
        <f>IF('15 yr'!I282=0,"",'15 yr'!I282)</f>
        <v/>
      </c>
      <c r="E279" s="150" t="str">
        <f>IFERROR(IF('15 yr'!AF282=0,"",'15 yr'!AF282),"")</f>
        <v/>
      </c>
      <c r="F279" s="150" t="str">
        <f>IFERROR(IF('15 yr'!AH282=0,"",'15 yr'!AH282),"")</f>
        <v/>
      </c>
      <c r="G279" s="156" t="str">
        <f>IFERROR(IF('15 yr'!AI282=0,"",'15 yr'!AI282),"")</f>
        <v/>
      </c>
    </row>
    <row r="280" spans="1:7">
      <c r="A280" s="149" t="str">
        <f>IF('15 yr'!A283=0,"",'15 yr'!A283)</f>
        <v/>
      </c>
      <c r="B280" s="147" t="str">
        <f>IF('15 yr'!B283=0,"",'15 yr'!B283)</f>
        <v/>
      </c>
      <c r="C280" s="148" t="str">
        <f>IF('15 yr'!E283=0,"",'15 yr'!E283)</f>
        <v/>
      </c>
      <c r="D280" s="149" t="str">
        <f>IF('15 yr'!I283=0,"",'15 yr'!I283)</f>
        <v/>
      </c>
      <c r="E280" s="150" t="str">
        <f>IFERROR(IF('15 yr'!AF283=0,"",'15 yr'!AF283),"")</f>
        <v/>
      </c>
      <c r="F280" s="150" t="str">
        <f>IFERROR(IF('15 yr'!AH283=0,"",'15 yr'!AH283),"")</f>
        <v/>
      </c>
      <c r="G280" s="156" t="str">
        <f>IFERROR(IF('15 yr'!AI283=0,"",'15 yr'!AI283),"")</f>
        <v/>
      </c>
    </row>
    <row r="281" spans="1:7">
      <c r="A281" s="149" t="str">
        <f>IF('15 yr'!A284=0,"",'15 yr'!A284)</f>
        <v/>
      </c>
      <c r="B281" s="147" t="str">
        <f>IF('15 yr'!B284=0,"",'15 yr'!B284)</f>
        <v/>
      </c>
      <c r="C281" s="148" t="str">
        <f>IF('15 yr'!E284=0,"",'15 yr'!E284)</f>
        <v/>
      </c>
      <c r="D281" s="149" t="str">
        <f>IF('15 yr'!I284=0,"",'15 yr'!I284)</f>
        <v/>
      </c>
      <c r="E281" s="150" t="str">
        <f>IFERROR(IF('15 yr'!AF284=0,"",'15 yr'!AF284),"")</f>
        <v/>
      </c>
      <c r="F281" s="150" t="str">
        <f>IFERROR(IF('15 yr'!AH284=0,"",'15 yr'!AH284),"")</f>
        <v/>
      </c>
      <c r="G281" s="156" t="str">
        <f>IFERROR(IF('15 yr'!AI284=0,"",'15 yr'!AI284),"")</f>
        <v/>
      </c>
    </row>
    <row r="282" spans="1:7">
      <c r="A282" s="149" t="str">
        <f>IF('15 yr'!A285=0,"",'15 yr'!A285)</f>
        <v/>
      </c>
      <c r="B282" s="147" t="str">
        <f>IF('15 yr'!B285=0,"",'15 yr'!B285)</f>
        <v/>
      </c>
      <c r="C282" s="148" t="str">
        <f>IF('15 yr'!E285=0,"",'15 yr'!E285)</f>
        <v/>
      </c>
      <c r="D282" s="149" t="str">
        <f>IF('15 yr'!I285=0,"",'15 yr'!I285)</f>
        <v/>
      </c>
      <c r="E282" s="150" t="str">
        <f>IFERROR(IF('15 yr'!AF285=0,"",'15 yr'!AF285),"")</f>
        <v/>
      </c>
      <c r="F282" s="150" t="str">
        <f>IFERROR(IF('15 yr'!AH285=0,"",'15 yr'!AH285),"")</f>
        <v/>
      </c>
      <c r="G282" s="156" t="str">
        <f>IFERROR(IF('15 yr'!AI285=0,"",'15 yr'!AI285),"")</f>
        <v/>
      </c>
    </row>
    <row r="283" spans="1:7">
      <c r="A283" s="149" t="str">
        <f>IF('15 yr'!A286=0,"",'15 yr'!A286)</f>
        <v/>
      </c>
      <c r="B283" s="147" t="str">
        <f>IF('15 yr'!B286=0,"",'15 yr'!B286)</f>
        <v/>
      </c>
      <c r="C283" s="148" t="str">
        <f>IF('15 yr'!E286=0,"",'15 yr'!E286)</f>
        <v/>
      </c>
      <c r="D283" s="149" t="str">
        <f>IF('15 yr'!I286=0,"",'15 yr'!I286)</f>
        <v/>
      </c>
      <c r="E283" s="150" t="str">
        <f>IFERROR(IF('15 yr'!AF286=0,"",'15 yr'!AF286),"")</f>
        <v/>
      </c>
      <c r="F283" s="150" t="str">
        <f>IFERROR(IF('15 yr'!AH286=0,"",'15 yr'!AH286),"")</f>
        <v/>
      </c>
      <c r="G283" s="156" t="str">
        <f>IFERROR(IF('15 yr'!AI286=0,"",'15 yr'!AI286),"")</f>
        <v/>
      </c>
    </row>
    <row r="284" spans="1:7">
      <c r="A284" s="149" t="str">
        <f>IF('15 yr'!A287=0,"",'15 yr'!A287)</f>
        <v/>
      </c>
      <c r="B284" s="147" t="str">
        <f>IF('15 yr'!B287=0,"",'15 yr'!B287)</f>
        <v/>
      </c>
      <c r="C284" s="148" t="str">
        <f>IF('15 yr'!E287=0,"",'15 yr'!E287)</f>
        <v/>
      </c>
      <c r="D284" s="149" t="str">
        <f>IF('15 yr'!I287=0,"",'15 yr'!I287)</f>
        <v/>
      </c>
      <c r="E284" s="150" t="str">
        <f>IFERROR(IF('15 yr'!AF287=0,"",'15 yr'!AF287),"")</f>
        <v/>
      </c>
      <c r="F284" s="150" t="str">
        <f>IFERROR(IF('15 yr'!AH287=0,"",'15 yr'!AH287),"")</f>
        <v/>
      </c>
      <c r="G284" s="156" t="str">
        <f>IFERROR(IF('15 yr'!AI287=0,"",'15 yr'!AI287),"")</f>
        <v/>
      </c>
    </row>
    <row r="285" spans="1:7">
      <c r="A285" s="149" t="str">
        <f>IF('15 yr'!A288=0,"",'15 yr'!A288)</f>
        <v/>
      </c>
      <c r="B285" s="147" t="str">
        <f>IF('15 yr'!B288=0,"",'15 yr'!B288)</f>
        <v/>
      </c>
      <c r="C285" s="148" t="str">
        <f>IF('15 yr'!E288=0,"",'15 yr'!E288)</f>
        <v/>
      </c>
      <c r="D285" s="149" t="str">
        <f>IF('15 yr'!I288=0,"",'15 yr'!I288)</f>
        <v/>
      </c>
      <c r="E285" s="150" t="str">
        <f>IFERROR(IF('15 yr'!AF288=0,"",'15 yr'!AF288),"")</f>
        <v/>
      </c>
      <c r="F285" s="150" t="str">
        <f>IFERROR(IF('15 yr'!AH288=0,"",'15 yr'!AH288),"")</f>
        <v/>
      </c>
      <c r="G285" s="156" t="str">
        <f>IFERROR(IF('15 yr'!AI288=0,"",'15 yr'!AI288),"")</f>
        <v/>
      </c>
    </row>
    <row r="286" spans="1:7">
      <c r="A286" s="149" t="str">
        <f>IF('15 yr'!A289=0,"",'15 yr'!A289)</f>
        <v/>
      </c>
      <c r="B286" s="147" t="str">
        <f>IF('15 yr'!B289=0,"",'15 yr'!B289)</f>
        <v/>
      </c>
      <c r="C286" s="148" t="str">
        <f>IF('15 yr'!E289=0,"",'15 yr'!E289)</f>
        <v/>
      </c>
      <c r="D286" s="149" t="str">
        <f>IF('15 yr'!I289=0,"",'15 yr'!I289)</f>
        <v/>
      </c>
      <c r="E286" s="150" t="str">
        <f>IFERROR(IF('15 yr'!AF289=0,"",'15 yr'!AF289),"")</f>
        <v/>
      </c>
      <c r="F286" s="150" t="str">
        <f>IFERROR(IF('15 yr'!AH289=0,"",'15 yr'!AH289),"")</f>
        <v/>
      </c>
      <c r="G286" s="156" t="str">
        <f>IFERROR(IF('15 yr'!AI289=0,"",'15 yr'!AI289),"")</f>
        <v/>
      </c>
    </row>
    <row r="287" spans="1:7">
      <c r="A287" s="149" t="str">
        <f>IF('15 yr'!A290=0,"",'15 yr'!A290)</f>
        <v/>
      </c>
      <c r="B287" s="147" t="str">
        <f>IF('15 yr'!B290=0,"",'15 yr'!B290)</f>
        <v/>
      </c>
      <c r="C287" s="148" t="str">
        <f>IF('15 yr'!E290=0,"",'15 yr'!E290)</f>
        <v/>
      </c>
      <c r="D287" s="149" t="str">
        <f>IF('15 yr'!I290=0,"",'15 yr'!I290)</f>
        <v/>
      </c>
      <c r="E287" s="150" t="str">
        <f>IFERROR(IF('15 yr'!AF290=0,"",'15 yr'!AF290),"")</f>
        <v/>
      </c>
      <c r="F287" s="150" t="str">
        <f>IFERROR(IF('15 yr'!AH290=0,"",'15 yr'!AH290),"")</f>
        <v/>
      </c>
      <c r="G287" s="156" t="str">
        <f>IFERROR(IF('15 yr'!AI290=0,"",'15 yr'!AI290),"")</f>
        <v/>
      </c>
    </row>
    <row r="288" spans="1:7">
      <c r="A288" s="149" t="str">
        <f>IF('15 yr'!A291=0,"",'15 yr'!A291)</f>
        <v/>
      </c>
      <c r="B288" s="147" t="str">
        <f>IF('15 yr'!B291=0,"",'15 yr'!B291)</f>
        <v/>
      </c>
      <c r="C288" s="148" t="str">
        <f>IF('15 yr'!E291=0,"",'15 yr'!E291)</f>
        <v/>
      </c>
      <c r="D288" s="149" t="str">
        <f>IF('15 yr'!I291=0,"",'15 yr'!I291)</f>
        <v/>
      </c>
      <c r="E288" s="150" t="str">
        <f>IFERROR(IF('15 yr'!AF291=0,"",'15 yr'!AF291),"")</f>
        <v/>
      </c>
      <c r="F288" s="150" t="str">
        <f>IFERROR(IF('15 yr'!AH291=0,"",'15 yr'!AH291),"")</f>
        <v/>
      </c>
      <c r="G288" s="156" t="str">
        <f>IFERROR(IF('15 yr'!AI291=0,"",'15 yr'!AI291),"")</f>
        <v/>
      </c>
    </row>
    <row r="289" spans="1:7">
      <c r="A289" s="149" t="str">
        <f>IF('15 yr'!A292=0,"",'15 yr'!A292)</f>
        <v/>
      </c>
      <c r="B289" s="147" t="str">
        <f>IF('15 yr'!B292=0,"",'15 yr'!B292)</f>
        <v/>
      </c>
      <c r="C289" s="148" t="str">
        <f>IF('15 yr'!E292=0,"",'15 yr'!E292)</f>
        <v/>
      </c>
      <c r="D289" s="149" t="str">
        <f>IF('15 yr'!I292=0,"",'15 yr'!I292)</f>
        <v/>
      </c>
      <c r="E289" s="150" t="str">
        <f>IFERROR(IF('15 yr'!AF292=0,"",'15 yr'!AF292),"")</f>
        <v/>
      </c>
      <c r="F289" s="150" t="str">
        <f>IFERROR(IF('15 yr'!AH292=0,"",'15 yr'!AH292),"")</f>
        <v/>
      </c>
      <c r="G289" s="156" t="str">
        <f>IFERROR(IF('15 yr'!AI292=0,"",'15 yr'!AI292),"")</f>
        <v/>
      </c>
    </row>
    <row r="290" spans="1:7">
      <c r="A290" s="149" t="str">
        <f>IF('15 yr'!A293=0,"",'15 yr'!A293)</f>
        <v/>
      </c>
      <c r="B290" s="147" t="str">
        <f>IF('15 yr'!B293=0,"",'15 yr'!B293)</f>
        <v/>
      </c>
      <c r="C290" s="148" t="str">
        <f>IF('15 yr'!E293=0,"",'15 yr'!E293)</f>
        <v/>
      </c>
      <c r="D290" s="149" t="str">
        <f>IF('15 yr'!I293=0,"",'15 yr'!I293)</f>
        <v/>
      </c>
      <c r="E290" s="150" t="str">
        <f>IFERROR(IF('15 yr'!AF293=0,"",'15 yr'!AF293),"")</f>
        <v/>
      </c>
      <c r="F290" s="150" t="str">
        <f>IFERROR(IF('15 yr'!AH293=0,"",'15 yr'!AH293),"")</f>
        <v/>
      </c>
      <c r="G290" s="156" t="str">
        <f>IFERROR(IF('15 yr'!AI293=0,"",'15 yr'!AI293),"")</f>
        <v/>
      </c>
    </row>
    <row r="291" spans="1:7">
      <c r="A291" s="149" t="str">
        <f>IF('15 yr'!A294=0,"",'15 yr'!A294)</f>
        <v/>
      </c>
      <c r="B291" s="147" t="str">
        <f>IF('15 yr'!B294=0,"",'15 yr'!B294)</f>
        <v/>
      </c>
      <c r="C291" s="148" t="str">
        <f>IF('15 yr'!E294=0,"",'15 yr'!E294)</f>
        <v/>
      </c>
      <c r="D291" s="149" t="str">
        <f>IF('15 yr'!I294=0,"",'15 yr'!I294)</f>
        <v/>
      </c>
      <c r="E291" s="150" t="str">
        <f>IFERROR(IF('15 yr'!AF294=0,"",'15 yr'!AF294),"")</f>
        <v/>
      </c>
      <c r="F291" s="150" t="str">
        <f>IFERROR(IF('15 yr'!AH294=0,"",'15 yr'!AH294),"")</f>
        <v/>
      </c>
      <c r="G291" s="156" t="str">
        <f>IFERROR(IF('15 yr'!AI294=0,"",'15 yr'!AI294),"")</f>
        <v/>
      </c>
    </row>
    <row r="292" spans="1:7">
      <c r="A292" s="149" t="str">
        <f>IF('15 yr'!A295=0,"",'15 yr'!A295)</f>
        <v/>
      </c>
      <c r="B292" s="147" t="str">
        <f>IF('15 yr'!B295=0,"",'15 yr'!B295)</f>
        <v/>
      </c>
      <c r="C292" s="148" t="str">
        <f>IF('15 yr'!E295=0,"",'15 yr'!E295)</f>
        <v/>
      </c>
      <c r="D292" s="149" t="str">
        <f>IF('15 yr'!I295=0,"",'15 yr'!I295)</f>
        <v/>
      </c>
      <c r="E292" s="150" t="str">
        <f>IFERROR(IF('15 yr'!AF295=0,"",'15 yr'!AF295),"")</f>
        <v/>
      </c>
      <c r="F292" s="150" t="str">
        <f>IFERROR(IF('15 yr'!AH295=0,"",'15 yr'!AH295),"")</f>
        <v/>
      </c>
      <c r="G292" s="156" t="str">
        <f>IFERROR(IF('15 yr'!AI295=0,"",'15 yr'!AI295),"")</f>
        <v/>
      </c>
    </row>
    <row r="293" spans="1:7">
      <c r="A293" s="149" t="str">
        <f>IF('15 yr'!A296=0,"",'15 yr'!A296)</f>
        <v/>
      </c>
      <c r="B293" s="147" t="str">
        <f>IF('15 yr'!B296=0,"",'15 yr'!B296)</f>
        <v/>
      </c>
      <c r="C293" s="148" t="str">
        <f>IF('15 yr'!E296=0,"",'15 yr'!E296)</f>
        <v/>
      </c>
      <c r="D293" s="149" t="str">
        <f>IF('15 yr'!I296=0,"",'15 yr'!I296)</f>
        <v/>
      </c>
      <c r="E293" s="150" t="str">
        <f>IFERROR(IF('15 yr'!AF296=0,"",'15 yr'!AF296),"")</f>
        <v/>
      </c>
      <c r="F293" s="150" t="str">
        <f>IFERROR(IF('15 yr'!AH296=0,"",'15 yr'!AH296),"")</f>
        <v/>
      </c>
      <c r="G293" s="156" t="str">
        <f>IFERROR(IF('15 yr'!AI296=0,"",'15 yr'!AI296),"")</f>
        <v/>
      </c>
    </row>
    <row r="294" spans="1:7">
      <c r="A294" s="149" t="str">
        <f>IF('15 yr'!A297=0,"",'15 yr'!A297)</f>
        <v/>
      </c>
      <c r="B294" s="147" t="str">
        <f>IF('15 yr'!B297=0,"",'15 yr'!B297)</f>
        <v/>
      </c>
      <c r="C294" s="148" t="str">
        <f>IF('15 yr'!E297=0,"",'15 yr'!E297)</f>
        <v/>
      </c>
      <c r="D294" s="149" t="str">
        <f>IF('15 yr'!I297=0,"",'15 yr'!I297)</f>
        <v/>
      </c>
      <c r="E294" s="150" t="str">
        <f>IFERROR(IF('15 yr'!AF297=0,"",'15 yr'!AF297),"")</f>
        <v/>
      </c>
      <c r="F294" s="150" t="str">
        <f>IFERROR(IF('15 yr'!AH297=0,"",'15 yr'!AH297),"")</f>
        <v/>
      </c>
      <c r="G294" s="156" t="str">
        <f>IFERROR(IF('15 yr'!AI297=0,"",'15 yr'!AI297),"")</f>
        <v/>
      </c>
    </row>
    <row r="295" spans="1:7">
      <c r="A295" s="149" t="str">
        <f>IF('15 yr'!A298=0,"",'15 yr'!A298)</f>
        <v/>
      </c>
      <c r="B295" s="147" t="str">
        <f>IF('15 yr'!B298=0,"",'15 yr'!B298)</f>
        <v/>
      </c>
      <c r="C295" s="148" t="str">
        <f>IF('15 yr'!E298=0,"",'15 yr'!E298)</f>
        <v/>
      </c>
      <c r="D295" s="149" t="str">
        <f>IF('15 yr'!I298=0,"",'15 yr'!I298)</f>
        <v/>
      </c>
      <c r="E295" s="150" t="str">
        <f>IFERROR(IF('15 yr'!AF298=0,"",'15 yr'!AF298),"")</f>
        <v/>
      </c>
      <c r="F295" s="150" t="str">
        <f>IFERROR(IF('15 yr'!AH298=0,"",'15 yr'!AH298),"")</f>
        <v/>
      </c>
      <c r="G295" s="156" t="str">
        <f>IFERROR(IF('15 yr'!AI298=0,"",'15 yr'!AI298),"")</f>
        <v/>
      </c>
    </row>
    <row r="296" spans="1:7">
      <c r="A296" s="149" t="str">
        <f>IF('15 yr'!A299=0,"",'15 yr'!A299)</f>
        <v/>
      </c>
      <c r="B296" s="147" t="str">
        <f>IF('15 yr'!B299=0,"",'15 yr'!B299)</f>
        <v/>
      </c>
      <c r="C296" s="148" t="str">
        <f>IF('15 yr'!E299=0,"",'15 yr'!E299)</f>
        <v/>
      </c>
      <c r="D296" s="149" t="str">
        <f>IF('15 yr'!I299=0,"",'15 yr'!I299)</f>
        <v/>
      </c>
      <c r="E296" s="150" t="str">
        <f>IFERROR(IF('15 yr'!AF299=0,"",'15 yr'!AF299),"")</f>
        <v/>
      </c>
      <c r="F296" s="150" t="str">
        <f>IFERROR(IF('15 yr'!AH299=0,"",'15 yr'!AH299),"")</f>
        <v/>
      </c>
      <c r="G296" s="156" t="str">
        <f>IFERROR(IF('15 yr'!AI299=0,"",'15 yr'!AI299),"")</f>
        <v/>
      </c>
    </row>
    <row r="297" spans="1:7">
      <c r="A297" s="149" t="str">
        <f>IF('15 yr'!A300=0,"",'15 yr'!A300)</f>
        <v/>
      </c>
      <c r="B297" s="147" t="str">
        <f>IF('15 yr'!B300=0,"",'15 yr'!B300)</f>
        <v/>
      </c>
      <c r="C297" s="148" t="str">
        <f>IF('15 yr'!E300=0,"",'15 yr'!E300)</f>
        <v/>
      </c>
      <c r="D297" s="149" t="str">
        <f>IF('15 yr'!I300=0,"",'15 yr'!I300)</f>
        <v/>
      </c>
      <c r="E297" s="150" t="str">
        <f>IFERROR(IF('15 yr'!AF300=0,"",'15 yr'!AF300),"")</f>
        <v/>
      </c>
      <c r="F297" s="150" t="str">
        <f>IFERROR(IF('15 yr'!AH300=0,"",'15 yr'!AH300),"")</f>
        <v/>
      </c>
      <c r="G297" s="156" t="str">
        <f>IFERROR(IF('15 yr'!AI300=0,"",'15 yr'!AI300),"")</f>
        <v/>
      </c>
    </row>
    <row r="298" spans="1:7">
      <c r="A298" s="149" t="str">
        <f>IF('15 yr'!A301=0,"",'15 yr'!A301)</f>
        <v/>
      </c>
      <c r="B298" s="147" t="str">
        <f>IF('15 yr'!B301=0,"",'15 yr'!B301)</f>
        <v/>
      </c>
      <c r="C298" s="148" t="str">
        <f>IF('15 yr'!E301=0,"",'15 yr'!E301)</f>
        <v/>
      </c>
      <c r="D298" s="149" t="str">
        <f>IF('15 yr'!I301=0,"",'15 yr'!I301)</f>
        <v/>
      </c>
      <c r="E298" s="150" t="str">
        <f>IFERROR(IF('15 yr'!AF301=0,"",'15 yr'!AF301),"")</f>
        <v/>
      </c>
      <c r="F298" s="150" t="str">
        <f>IFERROR(IF('15 yr'!AH301=0,"",'15 yr'!AH301),"")</f>
        <v/>
      </c>
      <c r="G298" s="156" t="str">
        <f>IFERROR(IF('15 yr'!AI301=0,"",'15 yr'!AI301),"")</f>
        <v/>
      </c>
    </row>
    <row r="299" spans="1:7">
      <c r="A299" s="149" t="str">
        <f>IF('15 yr'!A302=0,"",'15 yr'!A302)</f>
        <v/>
      </c>
      <c r="B299" s="147" t="str">
        <f>IF('15 yr'!B302=0,"",'15 yr'!B302)</f>
        <v/>
      </c>
      <c r="C299" s="148" t="str">
        <f>IF('15 yr'!E302=0,"",'15 yr'!E302)</f>
        <v/>
      </c>
      <c r="D299" s="149" t="str">
        <f>IF('15 yr'!I302=0,"",'15 yr'!I302)</f>
        <v/>
      </c>
      <c r="E299" s="150" t="str">
        <f>IFERROR(IF('15 yr'!AF302=0,"",'15 yr'!AF302),"")</f>
        <v/>
      </c>
      <c r="F299" s="150" t="str">
        <f>IFERROR(IF('15 yr'!AH302=0,"",'15 yr'!AH302),"")</f>
        <v/>
      </c>
      <c r="G299" s="156" t="str">
        <f>IFERROR(IF('15 yr'!AI302=0,"",'15 yr'!AI302),"")</f>
        <v/>
      </c>
    </row>
    <row r="300" spans="1:7">
      <c r="A300" s="149" t="str">
        <f>IF('15 yr'!A303=0,"",'15 yr'!A303)</f>
        <v/>
      </c>
      <c r="B300" s="147" t="str">
        <f>IF('15 yr'!B303=0,"",'15 yr'!B303)</f>
        <v/>
      </c>
      <c r="C300" s="148" t="str">
        <f>IF('15 yr'!E303=0,"",'15 yr'!E303)</f>
        <v/>
      </c>
      <c r="D300" s="149" t="str">
        <f>IF('15 yr'!I303=0,"",'15 yr'!I303)</f>
        <v/>
      </c>
      <c r="E300" s="150" t="str">
        <f>IFERROR(IF('15 yr'!AF303=0,"",'15 yr'!AF303),"")</f>
        <v/>
      </c>
      <c r="F300" s="150" t="str">
        <f>IFERROR(IF('15 yr'!AH303=0,"",'15 yr'!AH303),"")</f>
        <v/>
      </c>
      <c r="G300" s="156" t="str">
        <f>IFERROR(IF('15 yr'!AI303=0,"",'15 yr'!AI303),"")</f>
        <v/>
      </c>
    </row>
    <row r="301" spans="1:7">
      <c r="A301" s="149" t="str">
        <f>IF('15 yr'!A304=0,"",'15 yr'!A304)</f>
        <v/>
      </c>
      <c r="B301" s="147" t="str">
        <f>IF('15 yr'!B304=0,"",'15 yr'!B304)</f>
        <v/>
      </c>
      <c r="C301" s="148" t="str">
        <f>IF('15 yr'!E304=0,"",'15 yr'!E304)</f>
        <v/>
      </c>
      <c r="D301" s="149" t="str">
        <f>IF('15 yr'!I304=0,"",'15 yr'!I304)</f>
        <v/>
      </c>
      <c r="E301" s="150" t="str">
        <f>IFERROR(IF('15 yr'!AF304=0,"",'15 yr'!AF304),"")</f>
        <v/>
      </c>
      <c r="F301" s="150" t="str">
        <f>IFERROR(IF('15 yr'!AH304=0,"",'15 yr'!AH304),"")</f>
        <v/>
      </c>
      <c r="G301" s="156" t="str">
        <f>IFERROR(IF('15 yr'!AI304=0,"",'15 yr'!AI304),"")</f>
        <v/>
      </c>
    </row>
    <row r="302" spans="1:7">
      <c r="A302" s="149" t="str">
        <f>IF('15 yr'!A305=0,"",'15 yr'!A305)</f>
        <v/>
      </c>
      <c r="B302" s="147" t="str">
        <f>IF('15 yr'!B305=0,"",'15 yr'!B305)</f>
        <v/>
      </c>
      <c r="C302" s="148" t="str">
        <f>IF('15 yr'!E305=0,"",'15 yr'!E305)</f>
        <v/>
      </c>
      <c r="D302" s="149" t="str">
        <f>IF('15 yr'!I305=0,"",'15 yr'!I305)</f>
        <v/>
      </c>
      <c r="E302" s="150" t="str">
        <f>IFERROR(IF('15 yr'!AF305=0,"",'15 yr'!AF305),"")</f>
        <v/>
      </c>
      <c r="F302" s="150" t="str">
        <f>IFERROR(IF('15 yr'!AH305=0,"",'15 yr'!AH305),"")</f>
        <v/>
      </c>
      <c r="G302" s="156" t="str">
        <f>IFERROR(IF('15 yr'!AI305=0,"",'15 yr'!AI305),"")</f>
        <v/>
      </c>
    </row>
    <row r="303" spans="1:7">
      <c r="A303" s="149" t="str">
        <f>IF('15 yr'!A306=0,"",'15 yr'!A306)</f>
        <v/>
      </c>
      <c r="B303" s="147" t="str">
        <f>IF('15 yr'!B306=0,"",'15 yr'!B306)</f>
        <v/>
      </c>
      <c r="C303" s="148" t="str">
        <f>IF('15 yr'!E306=0,"",'15 yr'!E306)</f>
        <v/>
      </c>
      <c r="D303" s="149" t="str">
        <f>IF('15 yr'!I306=0,"",'15 yr'!I306)</f>
        <v/>
      </c>
      <c r="E303" s="150" t="str">
        <f>IFERROR(IF('15 yr'!AF306=0,"",'15 yr'!AF306),"")</f>
        <v/>
      </c>
      <c r="F303" s="150" t="str">
        <f>IFERROR(IF('15 yr'!AH306=0,"",'15 yr'!AH306),"")</f>
        <v/>
      </c>
      <c r="G303" s="156" t="str">
        <f>IFERROR(IF('15 yr'!AI306=0,"",'15 yr'!AI306),"")</f>
        <v/>
      </c>
    </row>
    <row r="304" spans="1:7">
      <c r="A304" s="149" t="str">
        <f>IF('15 yr'!A307=0,"",'15 yr'!A307)</f>
        <v/>
      </c>
      <c r="B304" s="147" t="str">
        <f>IF('15 yr'!B307=0,"",'15 yr'!B307)</f>
        <v/>
      </c>
      <c r="C304" s="148" t="str">
        <f>IF('15 yr'!E307=0,"",'15 yr'!E307)</f>
        <v/>
      </c>
      <c r="D304" s="149" t="str">
        <f>IF('15 yr'!I307=0,"",'15 yr'!I307)</f>
        <v/>
      </c>
      <c r="E304" s="150" t="str">
        <f>IFERROR(IF('15 yr'!AF307=0,"",'15 yr'!AF307),"")</f>
        <v/>
      </c>
      <c r="F304" s="150" t="str">
        <f>IFERROR(IF('15 yr'!AH307=0,"",'15 yr'!AH307),"")</f>
        <v/>
      </c>
      <c r="G304" s="156" t="str">
        <f>IFERROR(IF('15 yr'!AI307=0,"",'15 yr'!AI307),"")</f>
        <v/>
      </c>
    </row>
    <row r="305" spans="1:7">
      <c r="A305" s="149" t="str">
        <f>IF('15 yr'!A308=0,"",'15 yr'!A308)</f>
        <v/>
      </c>
      <c r="B305" s="147" t="str">
        <f>IF('15 yr'!B308=0,"",'15 yr'!B308)</f>
        <v/>
      </c>
      <c r="C305" s="148" t="str">
        <f>IF('15 yr'!E308=0,"",'15 yr'!E308)</f>
        <v/>
      </c>
      <c r="D305" s="149" t="str">
        <f>IF('15 yr'!I308=0,"",'15 yr'!I308)</f>
        <v/>
      </c>
      <c r="E305" s="150" t="str">
        <f>IFERROR(IF('15 yr'!AF308=0,"",'15 yr'!AF308),"")</f>
        <v/>
      </c>
      <c r="F305" s="150" t="str">
        <f>IFERROR(IF('15 yr'!AH308=0,"",'15 yr'!AH308),"")</f>
        <v/>
      </c>
      <c r="G305" s="156" t="str">
        <f>IFERROR(IF('15 yr'!AI308=0,"",'15 yr'!AI308),"")</f>
        <v/>
      </c>
    </row>
    <row r="306" spans="1:7">
      <c r="A306" s="149" t="str">
        <f>IF('15 yr'!A309=0,"",'15 yr'!A309)</f>
        <v/>
      </c>
      <c r="B306" s="147" t="str">
        <f>IF('15 yr'!B309=0,"",'15 yr'!B309)</f>
        <v/>
      </c>
      <c r="C306" s="148" t="str">
        <f>IF('15 yr'!E309=0,"",'15 yr'!E309)</f>
        <v/>
      </c>
      <c r="D306" s="149" t="str">
        <f>IF('15 yr'!I309=0,"",'15 yr'!I309)</f>
        <v/>
      </c>
      <c r="E306" s="150" t="str">
        <f>IFERROR(IF('15 yr'!AF309=0,"",'15 yr'!AF309),"")</f>
        <v/>
      </c>
      <c r="F306" s="150" t="str">
        <f>IFERROR(IF('15 yr'!AH309=0,"",'15 yr'!AH309),"")</f>
        <v/>
      </c>
      <c r="G306" s="156" t="str">
        <f>IFERROR(IF('15 yr'!AI309=0,"",'15 yr'!AI309),"")</f>
        <v/>
      </c>
    </row>
    <row r="307" spans="1:7">
      <c r="A307" s="149" t="str">
        <f>IF('15 yr'!A310=0,"",'15 yr'!A310)</f>
        <v/>
      </c>
      <c r="B307" s="147" t="str">
        <f>IF('15 yr'!B310=0,"",'15 yr'!B310)</f>
        <v/>
      </c>
      <c r="C307" s="148" t="str">
        <f>IF('15 yr'!E310=0,"",'15 yr'!E310)</f>
        <v/>
      </c>
      <c r="D307" s="149" t="str">
        <f>IF('15 yr'!I310=0,"",'15 yr'!I310)</f>
        <v/>
      </c>
      <c r="E307" s="150" t="str">
        <f>IFERROR(IF('15 yr'!AF310=0,"",'15 yr'!AF310),"")</f>
        <v/>
      </c>
      <c r="F307" s="150" t="str">
        <f>IFERROR(IF('15 yr'!AH310=0,"",'15 yr'!AH310),"")</f>
        <v/>
      </c>
      <c r="G307" s="156" t="str">
        <f>IFERROR(IF('15 yr'!AI310=0,"",'15 yr'!AI310),"")</f>
        <v/>
      </c>
    </row>
    <row r="308" spans="1:7">
      <c r="A308" s="149" t="str">
        <f>IF('15 yr'!A311=0,"",'15 yr'!A311)</f>
        <v/>
      </c>
      <c r="B308" s="147" t="str">
        <f>IF('15 yr'!B311=0,"",'15 yr'!B311)</f>
        <v/>
      </c>
      <c r="C308" s="148" t="str">
        <f>IF('15 yr'!E311=0,"",'15 yr'!E311)</f>
        <v/>
      </c>
      <c r="D308" s="149" t="str">
        <f>IF('15 yr'!I311=0,"",'15 yr'!I311)</f>
        <v/>
      </c>
      <c r="E308" s="150" t="str">
        <f>IFERROR(IF('15 yr'!AF311=0,"",'15 yr'!AF311),"")</f>
        <v/>
      </c>
      <c r="F308" s="150" t="str">
        <f>IFERROR(IF('15 yr'!AH311=0,"",'15 yr'!AH311),"")</f>
        <v/>
      </c>
      <c r="G308" s="156" t="str">
        <f>IFERROR(IF('15 yr'!AI311=0,"",'15 yr'!AI311),"")</f>
        <v/>
      </c>
    </row>
    <row r="309" spans="1:7">
      <c r="A309" s="149" t="str">
        <f>IF('15 yr'!A312=0,"",'15 yr'!A312)</f>
        <v/>
      </c>
      <c r="B309" s="147" t="str">
        <f>IF('15 yr'!B312=0,"",'15 yr'!B312)</f>
        <v/>
      </c>
      <c r="C309" s="148" t="str">
        <f>IF('15 yr'!E312=0,"",'15 yr'!E312)</f>
        <v/>
      </c>
      <c r="D309" s="149" t="str">
        <f>IF('15 yr'!I312=0,"",'15 yr'!I312)</f>
        <v/>
      </c>
      <c r="E309" s="150" t="str">
        <f>IFERROR(IF('15 yr'!AF312=0,"",'15 yr'!AF312),"")</f>
        <v/>
      </c>
      <c r="F309" s="150" t="str">
        <f>IFERROR(IF('15 yr'!AH312=0,"",'15 yr'!AH312),"")</f>
        <v/>
      </c>
      <c r="G309" s="156" t="str">
        <f>IFERROR(IF('15 yr'!AI312=0,"",'15 yr'!AI312),"")</f>
        <v/>
      </c>
    </row>
    <row r="310" spans="1:7">
      <c r="A310" s="149" t="str">
        <f>IF('15 yr'!A313=0,"",'15 yr'!A313)</f>
        <v/>
      </c>
      <c r="B310" s="147" t="str">
        <f>IF('15 yr'!B313=0,"",'15 yr'!B313)</f>
        <v/>
      </c>
      <c r="C310" s="148" t="str">
        <f>IF('15 yr'!E313=0,"",'15 yr'!E313)</f>
        <v/>
      </c>
      <c r="D310" s="149" t="str">
        <f>IF('15 yr'!I313=0,"",'15 yr'!I313)</f>
        <v/>
      </c>
      <c r="E310" s="150" t="str">
        <f>IFERROR(IF('15 yr'!AF313=0,"",'15 yr'!AF313),"")</f>
        <v/>
      </c>
      <c r="F310" s="150" t="str">
        <f>IFERROR(IF('15 yr'!AH313=0,"",'15 yr'!AH313),"")</f>
        <v/>
      </c>
      <c r="G310" s="156" t="str">
        <f>IFERROR(IF('15 yr'!AI313=0,"",'15 yr'!AI313),"")</f>
        <v/>
      </c>
    </row>
    <row r="311" spans="1:7">
      <c r="A311" s="149" t="str">
        <f>IF('15 yr'!A314=0,"",'15 yr'!A314)</f>
        <v/>
      </c>
      <c r="B311" s="147" t="str">
        <f>IF('15 yr'!B314=0,"",'15 yr'!B314)</f>
        <v/>
      </c>
      <c r="C311" s="148" t="str">
        <f>IF('15 yr'!E314=0,"",'15 yr'!E314)</f>
        <v/>
      </c>
      <c r="D311" s="149" t="str">
        <f>IF('15 yr'!I314=0,"",'15 yr'!I314)</f>
        <v/>
      </c>
      <c r="E311" s="150" t="str">
        <f>IFERROR(IF('15 yr'!AF314=0,"",'15 yr'!AF314),"")</f>
        <v/>
      </c>
      <c r="F311" s="150" t="str">
        <f>IFERROR(IF('15 yr'!AH314=0,"",'15 yr'!AH314),"")</f>
        <v/>
      </c>
      <c r="G311" s="156" t="str">
        <f>IFERROR(IF('15 yr'!AI314=0,"",'15 yr'!AI314),"")</f>
        <v/>
      </c>
    </row>
    <row r="312" spans="1:7">
      <c r="A312" s="149" t="str">
        <f>IF('15 yr'!A315=0,"",'15 yr'!A315)</f>
        <v/>
      </c>
      <c r="B312" s="147" t="str">
        <f>IF('15 yr'!B315=0,"",'15 yr'!B315)</f>
        <v/>
      </c>
      <c r="C312" s="148" t="str">
        <f>IF('15 yr'!E315=0,"",'15 yr'!E315)</f>
        <v/>
      </c>
      <c r="D312" s="149" t="str">
        <f>IF('15 yr'!I315=0,"",'15 yr'!I315)</f>
        <v/>
      </c>
      <c r="E312" s="150" t="str">
        <f>IFERROR(IF('15 yr'!AF315=0,"",'15 yr'!AF315),"")</f>
        <v/>
      </c>
      <c r="F312" s="150" t="str">
        <f>IFERROR(IF('15 yr'!AH315=0,"",'15 yr'!AH315),"")</f>
        <v/>
      </c>
      <c r="G312" s="156" t="str">
        <f>IFERROR(IF('15 yr'!AI315=0,"",'15 yr'!AI315),"")</f>
        <v/>
      </c>
    </row>
    <row r="313" spans="1:7">
      <c r="A313" s="149" t="str">
        <f>IF('15 yr'!A316=0,"",'15 yr'!A316)</f>
        <v/>
      </c>
      <c r="B313" s="147" t="str">
        <f>IF('15 yr'!B316=0,"",'15 yr'!B316)</f>
        <v/>
      </c>
      <c r="C313" s="148" t="str">
        <f>IF('15 yr'!E316=0,"",'15 yr'!E316)</f>
        <v/>
      </c>
      <c r="D313" s="149" t="str">
        <f>IF('15 yr'!I316=0,"",'15 yr'!I316)</f>
        <v/>
      </c>
      <c r="E313" s="150" t="str">
        <f>IFERROR(IF('15 yr'!AF316=0,"",'15 yr'!AF316),"")</f>
        <v/>
      </c>
      <c r="F313" s="150" t="str">
        <f>IFERROR(IF('15 yr'!AH316=0,"",'15 yr'!AH316),"")</f>
        <v/>
      </c>
      <c r="G313" s="156" t="str">
        <f>IFERROR(IF('15 yr'!AI316=0,"",'15 yr'!AI316),"")</f>
        <v/>
      </c>
    </row>
    <row r="314" spans="1:7">
      <c r="A314" s="149" t="str">
        <f>IF('15 yr'!A317=0,"",'15 yr'!A317)</f>
        <v/>
      </c>
      <c r="B314" s="147" t="str">
        <f>IF('15 yr'!B317=0,"",'15 yr'!B317)</f>
        <v/>
      </c>
      <c r="C314" s="148" t="str">
        <f>IF('15 yr'!E317=0,"",'15 yr'!E317)</f>
        <v/>
      </c>
      <c r="D314" s="149" t="str">
        <f>IF('15 yr'!I317=0,"",'15 yr'!I317)</f>
        <v/>
      </c>
      <c r="E314" s="150" t="str">
        <f>IFERROR(IF('15 yr'!AF317=0,"",'15 yr'!AF317),"")</f>
        <v/>
      </c>
      <c r="F314" s="150" t="str">
        <f>IFERROR(IF('15 yr'!AH317=0,"",'15 yr'!AH317),"")</f>
        <v/>
      </c>
      <c r="G314" s="156" t="str">
        <f>IFERROR(IF('15 yr'!AI317=0,"",'15 yr'!AI317),"")</f>
        <v/>
      </c>
    </row>
    <row r="315" spans="1:7">
      <c r="A315" s="149" t="str">
        <f>IF('15 yr'!A318=0,"",'15 yr'!A318)</f>
        <v/>
      </c>
      <c r="B315" s="147" t="str">
        <f>IF('15 yr'!B318=0,"",'15 yr'!B318)</f>
        <v/>
      </c>
      <c r="C315" s="148" t="str">
        <f>IF('15 yr'!E318=0,"",'15 yr'!E318)</f>
        <v/>
      </c>
      <c r="D315" s="149" t="str">
        <f>IF('15 yr'!I318=0,"",'15 yr'!I318)</f>
        <v/>
      </c>
      <c r="E315" s="150" t="str">
        <f>IFERROR(IF('15 yr'!AF318=0,"",'15 yr'!AF318),"")</f>
        <v/>
      </c>
      <c r="F315" s="150" t="str">
        <f>IFERROR(IF('15 yr'!AH318=0,"",'15 yr'!AH318),"")</f>
        <v/>
      </c>
      <c r="G315" s="156" t="str">
        <f>IFERROR(IF('15 yr'!AI318=0,"",'15 yr'!AI318),"")</f>
        <v/>
      </c>
    </row>
    <row r="316" spans="1:7">
      <c r="A316" s="149" t="str">
        <f>IF('15 yr'!A319=0,"",'15 yr'!A319)</f>
        <v/>
      </c>
      <c r="B316" s="147" t="str">
        <f>IF('15 yr'!B319=0,"",'15 yr'!B319)</f>
        <v/>
      </c>
      <c r="C316" s="148" t="str">
        <f>IF('15 yr'!E319=0,"",'15 yr'!E319)</f>
        <v/>
      </c>
      <c r="D316" s="149" t="str">
        <f>IF('15 yr'!I319=0,"",'15 yr'!I319)</f>
        <v/>
      </c>
      <c r="E316" s="150" t="str">
        <f>IFERROR(IF('15 yr'!AF319=0,"",'15 yr'!AF319),"")</f>
        <v/>
      </c>
      <c r="F316" s="150" t="str">
        <f>IFERROR(IF('15 yr'!AH319=0,"",'15 yr'!AH319),"")</f>
        <v/>
      </c>
      <c r="G316" s="156" t="str">
        <f>IFERROR(IF('15 yr'!AI319=0,"",'15 yr'!AI319),"")</f>
        <v/>
      </c>
    </row>
    <row r="317" spans="1:7">
      <c r="A317" s="149" t="str">
        <f>IF('15 yr'!A320=0,"",'15 yr'!A320)</f>
        <v/>
      </c>
      <c r="B317" s="147" t="str">
        <f>IF('15 yr'!B320=0,"",'15 yr'!B320)</f>
        <v/>
      </c>
      <c r="C317" s="148" t="str">
        <f>IF('15 yr'!E320=0,"",'15 yr'!E320)</f>
        <v/>
      </c>
      <c r="D317" s="149" t="str">
        <f>IF('15 yr'!I320=0,"",'15 yr'!I320)</f>
        <v/>
      </c>
      <c r="E317" s="150" t="str">
        <f>IFERROR(IF('15 yr'!AF320=0,"",'15 yr'!AF320),"")</f>
        <v/>
      </c>
      <c r="F317" s="150" t="str">
        <f>IFERROR(IF('15 yr'!AH320=0,"",'15 yr'!AH320),"")</f>
        <v/>
      </c>
      <c r="G317" s="156" t="str">
        <f>IFERROR(IF('15 yr'!AI320=0,"",'15 yr'!AI320),"")</f>
        <v/>
      </c>
    </row>
    <row r="318" spans="1:7">
      <c r="A318" s="149" t="str">
        <f>IF('15 yr'!A321=0,"",'15 yr'!A321)</f>
        <v/>
      </c>
      <c r="B318" s="147" t="str">
        <f>IF('15 yr'!B321=0,"",'15 yr'!B321)</f>
        <v/>
      </c>
      <c r="C318" s="148" t="str">
        <f>IF('15 yr'!E321=0,"",'15 yr'!E321)</f>
        <v/>
      </c>
      <c r="D318" s="149" t="str">
        <f>IF('15 yr'!I321=0,"",'15 yr'!I321)</f>
        <v/>
      </c>
      <c r="E318" s="150" t="str">
        <f>IFERROR(IF('15 yr'!AF321=0,"",'15 yr'!AF321),"")</f>
        <v/>
      </c>
      <c r="F318" s="150" t="str">
        <f>IFERROR(IF('15 yr'!AH321=0,"",'15 yr'!AH321),"")</f>
        <v/>
      </c>
      <c r="G318" s="156" t="str">
        <f>IFERROR(IF('15 yr'!AI321=0,"",'15 yr'!AI321),"")</f>
        <v/>
      </c>
    </row>
    <row r="319" spans="1:7">
      <c r="A319" s="149" t="str">
        <f>IF('15 yr'!A322=0,"",'15 yr'!A322)</f>
        <v/>
      </c>
      <c r="B319" s="147" t="str">
        <f>IF('15 yr'!B322=0,"",'15 yr'!B322)</f>
        <v/>
      </c>
      <c r="C319" s="148" t="str">
        <f>IF('15 yr'!E322=0,"",'15 yr'!E322)</f>
        <v/>
      </c>
      <c r="D319" s="149" t="str">
        <f>IF('15 yr'!I322=0,"",'15 yr'!I322)</f>
        <v/>
      </c>
      <c r="E319" s="150" t="str">
        <f>IFERROR(IF('15 yr'!AF322=0,"",'15 yr'!AF322),"")</f>
        <v/>
      </c>
      <c r="F319" s="150" t="str">
        <f>IFERROR(IF('15 yr'!AH322=0,"",'15 yr'!AH322),"")</f>
        <v/>
      </c>
      <c r="G319" s="156" t="str">
        <f>IFERROR(IF('15 yr'!AI322=0,"",'15 yr'!AI322),"")</f>
        <v/>
      </c>
    </row>
    <row r="320" spans="1:7">
      <c r="A320" s="149" t="str">
        <f>IF('15 yr'!A323=0,"",'15 yr'!A323)</f>
        <v/>
      </c>
      <c r="B320" s="147" t="str">
        <f>IF('15 yr'!B323=0,"",'15 yr'!B323)</f>
        <v/>
      </c>
      <c r="C320" s="148" t="str">
        <f>IF('15 yr'!E323=0,"",'15 yr'!E323)</f>
        <v/>
      </c>
      <c r="D320" s="149" t="str">
        <f>IF('15 yr'!I323=0,"",'15 yr'!I323)</f>
        <v/>
      </c>
      <c r="E320" s="150" t="str">
        <f>IFERROR(IF('15 yr'!AF323=0,"",'15 yr'!AF323),"")</f>
        <v/>
      </c>
      <c r="F320" s="150" t="str">
        <f>IFERROR(IF('15 yr'!AH323=0,"",'15 yr'!AH323),"")</f>
        <v/>
      </c>
      <c r="G320" s="156" t="str">
        <f>IFERROR(IF('15 yr'!AI323=0,"",'15 yr'!AI323),"")</f>
        <v/>
      </c>
    </row>
    <row r="321" spans="1:7">
      <c r="A321" s="149" t="str">
        <f>IF('15 yr'!A324=0,"",'15 yr'!A324)</f>
        <v/>
      </c>
      <c r="B321" s="147" t="str">
        <f>IF('15 yr'!B324=0,"",'15 yr'!B324)</f>
        <v/>
      </c>
      <c r="C321" s="148" t="str">
        <f>IF('15 yr'!E324=0,"",'15 yr'!E324)</f>
        <v/>
      </c>
      <c r="D321" s="149" t="str">
        <f>IF('15 yr'!I324=0,"",'15 yr'!I324)</f>
        <v/>
      </c>
      <c r="E321" s="150" t="str">
        <f>IFERROR(IF('15 yr'!AF324=0,"",'15 yr'!AF324),"")</f>
        <v/>
      </c>
      <c r="F321" s="150" t="str">
        <f>IFERROR(IF('15 yr'!AH324=0,"",'15 yr'!AH324),"")</f>
        <v/>
      </c>
      <c r="G321" s="156" t="str">
        <f>IFERROR(IF('15 yr'!AI324=0,"",'15 yr'!AI324),"")</f>
        <v/>
      </c>
    </row>
    <row r="322" spans="1:7">
      <c r="A322" s="149" t="str">
        <f>IF('15 yr'!A325=0,"",'15 yr'!A325)</f>
        <v/>
      </c>
      <c r="B322" s="147" t="str">
        <f>IF('15 yr'!B325=0,"",'15 yr'!B325)</f>
        <v/>
      </c>
      <c r="C322" s="148" t="str">
        <f>IF('15 yr'!E325=0,"",'15 yr'!E325)</f>
        <v/>
      </c>
      <c r="D322" s="149" t="str">
        <f>IF('15 yr'!I325=0,"",'15 yr'!I325)</f>
        <v/>
      </c>
      <c r="E322" s="150" t="str">
        <f>IFERROR(IF('15 yr'!AF325=0,"",'15 yr'!AF325),"")</f>
        <v/>
      </c>
      <c r="F322" s="150" t="str">
        <f>IFERROR(IF('15 yr'!AH325=0,"",'15 yr'!AH325),"")</f>
        <v/>
      </c>
      <c r="G322" s="156" t="str">
        <f>IFERROR(IF('15 yr'!AI325=0,"",'15 yr'!AI325),"")</f>
        <v/>
      </c>
    </row>
    <row r="323" spans="1:7">
      <c r="A323" s="149" t="str">
        <f>IF('15 yr'!A326=0,"",'15 yr'!A326)</f>
        <v/>
      </c>
      <c r="B323" s="147" t="str">
        <f>IF('15 yr'!B326=0,"",'15 yr'!B326)</f>
        <v/>
      </c>
      <c r="C323" s="148" t="str">
        <f>IF('15 yr'!E326=0,"",'15 yr'!E326)</f>
        <v/>
      </c>
      <c r="D323" s="149" t="str">
        <f>IF('15 yr'!I326=0,"",'15 yr'!I326)</f>
        <v/>
      </c>
      <c r="E323" s="150" t="str">
        <f>IFERROR(IF('15 yr'!AF326=0,"",'15 yr'!AF326),"")</f>
        <v/>
      </c>
      <c r="F323" s="150" t="str">
        <f>IFERROR(IF('15 yr'!AH326=0,"",'15 yr'!AH326),"")</f>
        <v/>
      </c>
      <c r="G323" s="156" t="str">
        <f>IFERROR(IF('15 yr'!AI326=0,"",'15 yr'!AI326),"")</f>
        <v/>
      </c>
    </row>
    <row r="324" spans="1:7">
      <c r="A324" s="149" t="str">
        <f>IF('15 yr'!A327=0,"",'15 yr'!A327)</f>
        <v/>
      </c>
      <c r="B324" s="147" t="str">
        <f>IF('15 yr'!B327=0,"",'15 yr'!B327)</f>
        <v/>
      </c>
      <c r="C324" s="148" t="str">
        <f>IF('15 yr'!E327=0,"",'15 yr'!E327)</f>
        <v/>
      </c>
      <c r="D324" s="149" t="str">
        <f>IF('15 yr'!I327=0,"",'15 yr'!I327)</f>
        <v/>
      </c>
      <c r="E324" s="150" t="str">
        <f>IFERROR(IF('15 yr'!AF327=0,"",'15 yr'!AF327),"")</f>
        <v/>
      </c>
      <c r="F324" s="150" t="str">
        <f>IFERROR(IF('15 yr'!AH327=0,"",'15 yr'!AH327),"")</f>
        <v/>
      </c>
      <c r="G324" s="156" t="str">
        <f>IFERROR(IF('15 yr'!AI327=0,"",'15 yr'!AI327),"")</f>
        <v/>
      </c>
    </row>
    <row r="325" spans="1:7">
      <c r="A325" s="149" t="str">
        <f>IF('15 yr'!A328=0,"",'15 yr'!A328)</f>
        <v/>
      </c>
      <c r="B325" s="147" t="str">
        <f>IF('15 yr'!B328=0,"",'15 yr'!B328)</f>
        <v/>
      </c>
      <c r="C325" s="148" t="str">
        <f>IF('15 yr'!E328=0,"",'15 yr'!E328)</f>
        <v/>
      </c>
      <c r="D325" s="149" t="str">
        <f>IF('15 yr'!I328=0,"",'15 yr'!I328)</f>
        <v/>
      </c>
      <c r="E325" s="150" t="str">
        <f>IFERROR(IF('15 yr'!AF328=0,"",'15 yr'!AF328),"")</f>
        <v/>
      </c>
      <c r="F325" s="150" t="str">
        <f>IFERROR(IF('15 yr'!AH328=0,"",'15 yr'!AH328),"")</f>
        <v/>
      </c>
      <c r="G325" s="156" t="str">
        <f>IFERROR(IF('15 yr'!AI328=0,"",'15 yr'!AI328),"")</f>
        <v/>
      </c>
    </row>
    <row r="326" spans="1:7">
      <c r="A326" s="149" t="str">
        <f>IF('15 yr'!A329=0,"",'15 yr'!A329)</f>
        <v/>
      </c>
      <c r="B326" s="147" t="str">
        <f>IF('15 yr'!B329=0,"",'15 yr'!B329)</f>
        <v/>
      </c>
      <c r="C326" s="148" t="str">
        <f>IF('15 yr'!E329=0,"",'15 yr'!E329)</f>
        <v/>
      </c>
      <c r="D326" s="149" t="str">
        <f>IF('15 yr'!I329=0,"",'15 yr'!I329)</f>
        <v/>
      </c>
      <c r="E326" s="150" t="str">
        <f>IFERROR(IF('15 yr'!AF329=0,"",'15 yr'!AF329),"")</f>
        <v/>
      </c>
      <c r="F326" s="150" t="str">
        <f>IFERROR(IF('15 yr'!AH329=0,"",'15 yr'!AH329),"")</f>
        <v/>
      </c>
      <c r="G326" s="156" t="str">
        <f>IFERROR(IF('15 yr'!AI329=0,"",'15 yr'!AI329),"")</f>
        <v/>
      </c>
    </row>
    <row r="327" spans="1:7">
      <c r="A327" s="149" t="str">
        <f>IF('15 yr'!A330=0,"",'15 yr'!A330)</f>
        <v/>
      </c>
      <c r="B327" s="147" t="str">
        <f>IF('15 yr'!B330=0,"",'15 yr'!B330)</f>
        <v/>
      </c>
      <c r="C327" s="148" t="str">
        <f>IF('15 yr'!E330=0,"",'15 yr'!E330)</f>
        <v/>
      </c>
      <c r="D327" s="149" t="str">
        <f>IF('15 yr'!I330=0,"",'15 yr'!I330)</f>
        <v/>
      </c>
      <c r="E327" s="150" t="str">
        <f>IFERROR(IF('15 yr'!AF330=0,"",'15 yr'!AF330),"")</f>
        <v/>
      </c>
      <c r="F327" s="150" t="str">
        <f>IFERROR(IF('15 yr'!AH330=0,"",'15 yr'!AH330),"")</f>
        <v/>
      </c>
      <c r="G327" s="156" t="str">
        <f>IFERROR(IF('15 yr'!AI330=0,"",'15 yr'!AI330),"")</f>
        <v/>
      </c>
    </row>
    <row r="328" spans="1:7">
      <c r="A328" s="149" t="str">
        <f>IF('15 yr'!A331=0,"",'15 yr'!A331)</f>
        <v/>
      </c>
      <c r="B328" s="147" t="str">
        <f>IF('15 yr'!B331=0,"",'15 yr'!B331)</f>
        <v/>
      </c>
      <c r="C328" s="148" t="str">
        <f>IF('15 yr'!E331=0,"",'15 yr'!E331)</f>
        <v/>
      </c>
      <c r="D328" s="149" t="str">
        <f>IF('15 yr'!I331=0,"",'15 yr'!I331)</f>
        <v/>
      </c>
      <c r="E328" s="150" t="str">
        <f>IFERROR(IF('15 yr'!AF331=0,"",'15 yr'!AF331),"")</f>
        <v/>
      </c>
      <c r="F328" s="150" t="str">
        <f>IFERROR(IF('15 yr'!AH331=0,"",'15 yr'!AH331),"")</f>
        <v/>
      </c>
      <c r="G328" s="156" t="str">
        <f>IFERROR(IF('15 yr'!AI331=0,"",'15 yr'!AI331),"")</f>
        <v/>
      </c>
    </row>
    <row r="329" spans="1:7">
      <c r="A329" s="149" t="str">
        <f>IF('15 yr'!A332=0,"",'15 yr'!A332)</f>
        <v/>
      </c>
      <c r="B329" s="147" t="str">
        <f>IF('15 yr'!B332=0,"",'15 yr'!B332)</f>
        <v/>
      </c>
      <c r="C329" s="148" t="str">
        <f>IF('15 yr'!E332=0,"",'15 yr'!E332)</f>
        <v/>
      </c>
      <c r="D329" s="149" t="str">
        <f>IF('15 yr'!I332=0,"",'15 yr'!I332)</f>
        <v/>
      </c>
      <c r="E329" s="150" t="str">
        <f>IFERROR(IF('15 yr'!AF332=0,"",'15 yr'!AF332),"")</f>
        <v/>
      </c>
      <c r="F329" s="150" t="str">
        <f>IFERROR(IF('15 yr'!AH332=0,"",'15 yr'!AH332),"")</f>
        <v/>
      </c>
      <c r="G329" s="156" t="str">
        <f>IFERROR(IF('15 yr'!AI332=0,"",'15 yr'!AI332),"")</f>
        <v/>
      </c>
    </row>
    <row r="330" spans="1:7">
      <c r="A330" s="149" t="str">
        <f>IF('15 yr'!A333=0,"",'15 yr'!A333)</f>
        <v/>
      </c>
      <c r="B330" s="147" t="str">
        <f>IF('15 yr'!B333=0,"",'15 yr'!B333)</f>
        <v/>
      </c>
      <c r="C330" s="148" t="str">
        <f>IF('15 yr'!E333=0,"",'15 yr'!E333)</f>
        <v/>
      </c>
      <c r="D330" s="149" t="str">
        <f>IF('15 yr'!I333=0,"",'15 yr'!I333)</f>
        <v/>
      </c>
      <c r="E330" s="150" t="str">
        <f>IFERROR(IF('15 yr'!AF333=0,"",'15 yr'!AF333),"")</f>
        <v/>
      </c>
      <c r="F330" s="150" t="str">
        <f>IFERROR(IF('15 yr'!AH333=0,"",'15 yr'!AH333),"")</f>
        <v/>
      </c>
      <c r="G330" s="156" t="str">
        <f>IFERROR(IF('15 yr'!AI333=0,"",'15 yr'!AI333),"")</f>
        <v/>
      </c>
    </row>
    <row r="331" spans="1:7">
      <c r="A331" s="149" t="str">
        <f>IF('15 yr'!A334=0,"",'15 yr'!A334)</f>
        <v/>
      </c>
      <c r="B331" s="147" t="str">
        <f>IF('15 yr'!B334=0,"",'15 yr'!B334)</f>
        <v/>
      </c>
      <c r="C331" s="148" t="str">
        <f>IF('15 yr'!E334=0,"",'15 yr'!E334)</f>
        <v/>
      </c>
      <c r="D331" s="149" t="str">
        <f>IF('15 yr'!I334=0,"",'15 yr'!I334)</f>
        <v/>
      </c>
      <c r="E331" s="150" t="str">
        <f>IFERROR(IF('15 yr'!AF334=0,"",'15 yr'!AF334),"")</f>
        <v/>
      </c>
      <c r="F331" s="150" t="str">
        <f>IFERROR(IF('15 yr'!AH334=0,"",'15 yr'!AH334),"")</f>
        <v/>
      </c>
      <c r="G331" s="156" t="str">
        <f>IFERROR(IF('15 yr'!AI334=0,"",'15 yr'!AI334),"")</f>
        <v/>
      </c>
    </row>
    <row r="332" spans="1:7">
      <c r="A332" s="149" t="str">
        <f>IF('15 yr'!A335=0,"",'15 yr'!A335)</f>
        <v/>
      </c>
      <c r="B332" s="147" t="str">
        <f>IF('15 yr'!B335=0,"",'15 yr'!B335)</f>
        <v/>
      </c>
      <c r="C332" s="148" t="str">
        <f>IF('15 yr'!E335=0,"",'15 yr'!E335)</f>
        <v/>
      </c>
      <c r="D332" s="149" t="str">
        <f>IF('15 yr'!I335=0,"",'15 yr'!I335)</f>
        <v/>
      </c>
      <c r="E332" s="150" t="str">
        <f>IFERROR(IF('15 yr'!AF335=0,"",'15 yr'!AF335),"")</f>
        <v/>
      </c>
      <c r="F332" s="150" t="str">
        <f>IFERROR(IF('15 yr'!AH335=0,"",'15 yr'!AH335),"")</f>
        <v/>
      </c>
      <c r="G332" s="156" t="str">
        <f>IFERROR(IF('15 yr'!AI335=0,"",'15 yr'!AI335),"")</f>
        <v/>
      </c>
    </row>
    <row r="333" spans="1:7">
      <c r="A333" s="149" t="str">
        <f>IF('15 yr'!A336=0,"",'15 yr'!A336)</f>
        <v/>
      </c>
      <c r="B333" s="147" t="str">
        <f>IF('15 yr'!B336=0,"",'15 yr'!B336)</f>
        <v/>
      </c>
      <c r="C333" s="148" t="str">
        <f>IF('15 yr'!E336=0,"",'15 yr'!E336)</f>
        <v/>
      </c>
      <c r="D333" s="149" t="str">
        <f>IF('15 yr'!I336=0,"",'15 yr'!I336)</f>
        <v/>
      </c>
      <c r="E333" s="150" t="str">
        <f>IFERROR(IF('15 yr'!AF336=0,"",'15 yr'!AF336),"")</f>
        <v/>
      </c>
      <c r="F333" s="150" t="str">
        <f>IFERROR(IF('15 yr'!AH336=0,"",'15 yr'!AH336),"")</f>
        <v/>
      </c>
      <c r="G333" s="156" t="str">
        <f>IFERROR(IF('15 yr'!AI336=0,"",'15 yr'!AI336),"")</f>
        <v/>
      </c>
    </row>
    <row r="334" spans="1:7">
      <c r="A334" s="149" t="str">
        <f>IF('15 yr'!A337=0,"",'15 yr'!A337)</f>
        <v/>
      </c>
      <c r="B334" s="147" t="str">
        <f>IF('15 yr'!B337=0,"",'15 yr'!B337)</f>
        <v/>
      </c>
      <c r="C334" s="148" t="str">
        <f>IF('15 yr'!E337=0,"",'15 yr'!E337)</f>
        <v/>
      </c>
      <c r="D334" s="149" t="str">
        <f>IF('15 yr'!I337=0,"",'15 yr'!I337)</f>
        <v/>
      </c>
      <c r="E334" s="150" t="str">
        <f>IFERROR(IF('15 yr'!AF337=0,"",'15 yr'!AF337),"")</f>
        <v/>
      </c>
      <c r="F334" s="150" t="str">
        <f>IFERROR(IF('15 yr'!AH337=0,"",'15 yr'!AH337),"")</f>
        <v/>
      </c>
      <c r="G334" s="156" t="str">
        <f>IFERROR(IF('15 yr'!AI337=0,"",'15 yr'!AI337),"")</f>
        <v/>
      </c>
    </row>
    <row r="335" spans="1:7">
      <c r="A335" s="149" t="str">
        <f>IF('15 yr'!A338=0,"",'15 yr'!A338)</f>
        <v/>
      </c>
      <c r="B335" s="147" t="str">
        <f>IF('15 yr'!B338=0,"",'15 yr'!B338)</f>
        <v/>
      </c>
      <c r="C335" s="148" t="str">
        <f>IF('15 yr'!E338=0,"",'15 yr'!E338)</f>
        <v/>
      </c>
      <c r="D335" s="149" t="str">
        <f>IF('15 yr'!I338=0,"",'15 yr'!I338)</f>
        <v/>
      </c>
      <c r="E335" s="150" t="str">
        <f>IFERROR(IF('15 yr'!AF338=0,"",'15 yr'!AF338),"")</f>
        <v/>
      </c>
      <c r="F335" s="150" t="str">
        <f>IFERROR(IF('15 yr'!AH338=0,"",'15 yr'!AH338),"")</f>
        <v/>
      </c>
      <c r="G335" s="156" t="str">
        <f>IFERROR(IF('15 yr'!AI338=0,"",'15 yr'!AI338),"")</f>
        <v/>
      </c>
    </row>
    <row r="336" spans="1:7">
      <c r="A336" s="149" t="str">
        <f>IF('15 yr'!A339=0,"",'15 yr'!A339)</f>
        <v/>
      </c>
      <c r="B336" s="147" t="str">
        <f>IF('15 yr'!B339=0,"",'15 yr'!B339)</f>
        <v/>
      </c>
      <c r="C336" s="148" t="str">
        <f>IF('15 yr'!E339=0,"",'15 yr'!E339)</f>
        <v/>
      </c>
      <c r="D336" s="149" t="str">
        <f>IF('15 yr'!I339=0,"",'15 yr'!I339)</f>
        <v/>
      </c>
      <c r="E336" s="150" t="str">
        <f>IFERROR(IF('15 yr'!AF339=0,"",'15 yr'!AF339),"")</f>
        <v/>
      </c>
      <c r="F336" s="150" t="str">
        <f>IFERROR(IF('15 yr'!AH339=0,"",'15 yr'!AH339),"")</f>
        <v/>
      </c>
      <c r="G336" s="156" t="str">
        <f>IFERROR(IF('15 yr'!AI339=0,"",'15 yr'!AI339),"")</f>
        <v/>
      </c>
    </row>
    <row r="337" spans="1:7">
      <c r="A337" s="149" t="str">
        <f>IF('15 yr'!A340=0,"",'15 yr'!A340)</f>
        <v/>
      </c>
      <c r="B337" s="147" t="str">
        <f>IF('15 yr'!B340=0,"",'15 yr'!B340)</f>
        <v/>
      </c>
      <c r="C337" s="148" t="str">
        <f>IF('15 yr'!E340=0,"",'15 yr'!E340)</f>
        <v/>
      </c>
      <c r="D337" s="149" t="str">
        <f>IF('15 yr'!I340=0,"",'15 yr'!I340)</f>
        <v/>
      </c>
      <c r="E337" s="150" t="str">
        <f>IFERROR(IF('15 yr'!AF340=0,"",'15 yr'!AF340),"")</f>
        <v/>
      </c>
      <c r="F337" s="150" t="str">
        <f>IFERROR(IF('15 yr'!AH340=0,"",'15 yr'!AH340),"")</f>
        <v/>
      </c>
      <c r="G337" s="156" t="str">
        <f>IFERROR(IF('15 yr'!AI340=0,"",'15 yr'!AI340),"")</f>
        <v/>
      </c>
    </row>
    <row r="338" spans="1:7">
      <c r="A338" s="149" t="str">
        <f>IF('15 yr'!A341=0,"",'15 yr'!A341)</f>
        <v/>
      </c>
      <c r="B338" s="147" t="str">
        <f>IF('15 yr'!B341=0,"",'15 yr'!B341)</f>
        <v/>
      </c>
      <c r="C338" s="148" t="str">
        <f>IF('15 yr'!E341=0,"",'15 yr'!E341)</f>
        <v/>
      </c>
      <c r="D338" s="149" t="str">
        <f>IF('15 yr'!I341=0,"",'15 yr'!I341)</f>
        <v/>
      </c>
      <c r="E338" s="150" t="str">
        <f>IFERROR(IF('15 yr'!AF341=0,"",'15 yr'!AF341),"")</f>
        <v/>
      </c>
      <c r="F338" s="150" t="str">
        <f>IFERROR(IF('15 yr'!AH341=0,"",'15 yr'!AH341),"")</f>
        <v/>
      </c>
      <c r="G338" s="156" t="str">
        <f>IFERROR(IF('15 yr'!AI341=0,"",'15 yr'!AI341),"")</f>
        <v/>
      </c>
    </row>
    <row r="339" spans="1:7">
      <c r="A339" s="149" t="str">
        <f>IF('15 yr'!A342=0,"",'15 yr'!A342)</f>
        <v/>
      </c>
      <c r="B339" s="147" t="str">
        <f>IF('15 yr'!B342=0,"",'15 yr'!B342)</f>
        <v/>
      </c>
      <c r="C339" s="148" t="str">
        <f>IF('15 yr'!E342=0,"",'15 yr'!E342)</f>
        <v/>
      </c>
      <c r="D339" s="149" t="str">
        <f>IF('15 yr'!I342=0,"",'15 yr'!I342)</f>
        <v/>
      </c>
      <c r="E339" s="150" t="str">
        <f>IFERROR(IF('15 yr'!AF342=0,"",'15 yr'!AF342),"")</f>
        <v/>
      </c>
      <c r="F339" s="150" t="str">
        <f>IFERROR(IF('15 yr'!AH342=0,"",'15 yr'!AH342),"")</f>
        <v/>
      </c>
      <c r="G339" s="156" t="str">
        <f>IFERROR(IF('15 yr'!AI342=0,"",'15 yr'!AI342),"")</f>
        <v/>
      </c>
    </row>
    <row r="340" spans="1:7">
      <c r="A340" s="149" t="str">
        <f>IF('15 yr'!A343=0,"",'15 yr'!A343)</f>
        <v/>
      </c>
      <c r="B340" s="147" t="str">
        <f>IF('15 yr'!B343=0,"",'15 yr'!B343)</f>
        <v/>
      </c>
      <c r="C340" s="148" t="str">
        <f>IF('15 yr'!E343=0,"",'15 yr'!E343)</f>
        <v/>
      </c>
      <c r="D340" s="149" t="str">
        <f>IF('15 yr'!I343=0,"",'15 yr'!I343)</f>
        <v/>
      </c>
      <c r="E340" s="150" t="str">
        <f>IFERROR(IF('15 yr'!AF343=0,"",'15 yr'!AF343),"")</f>
        <v/>
      </c>
      <c r="F340" s="150" t="str">
        <f>IFERROR(IF('15 yr'!AH343=0,"",'15 yr'!AH343),"")</f>
        <v/>
      </c>
      <c r="G340" s="156" t="str">
        <f>IFERROR(IF('15 yr'!AI343=0,"",'15 yr'!AI343),"")</f>
        <v/>
      </c>
    </row>
    <row r="341" spans="1:7">
      <c r="A341" s="149" t="str">
        <f>IF('15 yr'!A344=0,"",'15 yr'!A344)</f>
        <v/>
      </c>
      <c r="B341" s="147" t="str">
        <f>IF('15 yr'!B344=0,"",'15 yr'!B344)</f>
        <v/>
      </c>
      <c r="C341" s="148" t="str">
        <f>IF('15 yr'!E344=0,"",'15 yr'!E344)</f>
        <v/>
      </c>
      <c r="D341" s="149" t="str">
        <f>IF('15 yr'!I344=0,"",'15 yr'!I344)</f>
        <v/>
      </c>
      <c r="E341" s="150" t="str">
        <f>IFERROR(IF('15 yr'!AF344=0,"",'15 yr'!AF344),"")</f>
        <v/>
      </c>
      <c r="F341" s="150" t="str">
        <f>IFERROR(IF('15 yr'!AH344=0,"",'15 yr'!AH344),"")</f>
        <v/>
      </c>
      <c r="G341" s="156" t="str">
        <f>IFERROR(IF('15 yr'!AI344=0,"",'15 yr'!AI344),"")</f>
        <v/>
      </c>
    </row>
    <row r="342" spans="1:7">
      <c r="A342" s="149" t="str">
        <f>IF('15 yr'!A345=0,"",'15 yr'!A345)</f>
        <v/>
      </c>
      <c r="B342" s="147" t="str">
        <f>IF('15 yr'!B345=0,"",'15 yr'!B345)</f>
        <v/>
      </c>
      <c r="C342" s="148" t="str">
        <f>IF('15 yr'!E345=0,"",'15 yr'!E345)</f>
        <v/>
      </c>
      <c r="D342" s="149" t="str">
        <f>IF('15 yr'!I345=0,"",'15 yr'!I345)</f>
        <v/>
      </c>
      <c r="E342" s="150" t="str">
        <f>IFERROR(IF('15 yr'!AF345=0,"",'15 yr'!AF345),"")</f>
        <v/>
      </c>
      <c r="F342" s="150" t="str">
        <f>IFERROR(IF('15 yr'!AH345=0,"",'15 yr'!AH345),"")</f>
        <v/>
      </c>
      <c r="G342" s="156" t="str">
        <f>IFERROR(IF('15 yr'!AI345=0,"",'15 yr'!AI345),"")</f>
        <v/>
      </c>
    </row>
    <row r="343" spans="1:7">
      <c r="A343" s="149" t="str">
        <f>IF('15 yr'!A346=0,"",'15 yr'!A346)</f>
        <v/>
      </c>
      <c r="B343" s="147" t="str">
        <f>IF('15 yr'!B346=0,"",'15 yr'!B346)</f>
        <v/>
      </c>
      <c r="C343" s="148" t="str">
        <f>IF('15 yr'!E346=0,"",'15 yr'!E346)</f>
        <v/>
      </c>
      <c r="D343" s="149" t="str">
        <f>IF('15 yr'!I346=0,"",'15 yr'!I346)</f>
        <v/>
      </c>
      <c r="E343" s="150" t="str">
        <f>IFERROR(IF('15 yr'!AF346=0,"",'15 yr'!AF346),"")</f>
        <v/>
      </c>
      <c r="F343" s="150" t="str">
        <f>IFERROR(IF('15 yr'!AH346=0,"",'15 yr'!AH346),"")</f>
        <v/>
      </c>
      <c r="G343" s="156" t="str">
        <f>IFERROR(IF('15 yr'!AI346=0,"",'15 yr'!AI346),"")</f>
        <v/>
      </c>
    </row>
    <row r="344" spans="1:7">
      <c r="A344" s="149" t="str">
        <f>IF('15 yr'!A347=0,"",'15 yr'!A347)</f>
        <v/>
      </c>
      <c r="B344" s="147" t="str">
        <f>IF('15 yr'!B347=0,"",'15 yr'!B347)</f>
        <v/>
      </c>
      <c r="C344" s="148" t="str">
        <f>IF('15 yr'!E347=0,"",'15 yr'!E347)</f>
        <v/>
      </c>
      <c r="D344" s="149" t="str">
        <f>IF('15 yr'!I347=0,"",'15 yr'!I347)</f>
        <v/>
      </c>
      <c r="E344" s="150" t="str">
        <f>IFERROR(IF('15 yr'!AF347=0,"",'15 yr'!AF347),"")</f>
        <v/>
      </c>
      <c r="F344" s="150" t="str">
        <f>IFERROR(IF('15 yr'!AH347=0,"",'15 yr'!AH347),"")</f>
        <v/>
      </c>
      <c r="G344" s="156" t="str">
        <f>IFERROR(IF('15 yr'!AI347=0,"",'15 yr'!AI347),"")</f>
        <v/>
      </c>
    </row>
    <row r="345" spans="1:7">
      <c r="A345" s="149" t="str">
        <f>IF('15 yr'!A348=0,"",'15 yr'!A348)</f>
        <v/>
      </c>
      <c r="B345" s="147" t="str">
        <f>IF('15 yr'!B348=0,"",'15 yr'!B348)</f>
        <v/>
      </c>
      <c r="C345" s="148" t="str">
        <f>IF('15 yr'!E348=0,"",'15 yr'!E348)</f>
        <v/>
      </c>
      <c r="D345" s="149" t="str">
        <f>IF('15 yr'!I348=0,"",'15 yr'!I348)</f>
        <v/>
      </c>
      <c r="E345" s="150" t="str">
        <f>IFERROR(IF('15 yr'!AF348=0,"",'15 yr'!AF348),"")</f>
        <v/>
      </c>
      <c r="F345" s="150" t="str">
        <f>IFERROR(IF('15 yr'!AH348=0,"",'15 yr'!AH348),"")</f>
        <v/>
      </c>
      <c r="G345" s="156" t="str">
        <f>IFERROR(IF('15 yr'!AI348=0,"",'15 yr'!AI348),"")</f>
        <v/>
      </c>
    </row>
    <row r="346" spans="1:7">
      <c r="A346" s="149" t="str">
        <f>IF('15 yr'!A349=0,"",'15 yr'!A349)</f>
        <v/>
      </c>
      <c r="B346" s="147" t="str">
        <f>IF('15 yr'!B349=0,"",'15 yr'!B349)</f>
        <v/>
      </c>
      <c r="C346" s="148" t="str">
        <f>IF('15 yr'!E349=0,"",'15 yr'!E349)</f>
        <v/>
      </c>
      <c r="D346" s="149" t="str">
        <f>IF('15 yr'!I349=0,"",'15 yr'!I349)</f>
        <v/>
      </c>
      <c r="E346" s="150" t="str">
        <f>IFERROR(IF('15 yr'!AF349=0,"",'15 yr'!AF349),"")</f>
        <v/>
      </c>
      <c r="F346" s="150" t="str">
        <f>IFERROR(IF('15 yr'!AH349=0,"",'15 yr'!AH349),"")</f>
        <v/>
      </c>
      <c r="G346" s="156" t="str">
        <f>IFERROR(IF('15 yr'!AI349=0,"",'15 yr'!AI349),"")</f>
        <v/>
      </c>
    </row>
    <row r="347" spans="1:7">
      <c r="A347" s="149" t="str">
        <f>IF('15 yr'!A350=0,"",'15 yr'!A350)</f>
        <v/>
      </c>
      <c r="B347" s="147" t="str">
        <f>IF('15 yr'!B350=0,"",'15 yr'!B350)</f>
        <v/>
      </c>
      <c r="C347" s="148" t="str">
        <f>IF('15 yr'!E350=0,"",'15 yr'!E350)</f>
        <v/>
      </c>
      <c r="D347" s="149" t="str">
        <f>IF('15 yr'!I350=0,"",'15 yr'!I350)</f>
        <v/>
      </c>
      <c r="E347" s="150" t="str">
        <f>IFERROR(IF('15 yr'!AF350=0,"",'15 yr'!AF350),"")</f>
        <v/>
      </c>
      <c r="F347" s="150" t="str">
        <f>IFERROR(IF('15 yr'!AH350=0,"",'15 yr'!AH350),"")</f>
        <v/>
      </c>
      <c r="G347" s="156" t="str">
        <f>IFERROR(IF('15 yr'!AI350=0,"",'15 yr'!AI350),"")</f>
        <v/>
      </c>
    </row>
    <row r="348" spans="1:7">
      <c r="A348" s="149" t="str">
        <f>IF('15 yr'!A351=0,"",'15 yr'!A351)</f>
        <v/>
      </c>
      <c r="B348" s="147" t="str">
        <f>IF('15 yr'!B351=0,"",'15 yr'!B351)</f>
        <v/>
      </c>
      <c r="C348" s="148" t="str">
        <f>IF('15 yr'!E351=0,"",'15 yr'!E351)</f>
        <v/>
      </c>
      <c r="D348" s="149" t="str">
        <f>IF('15 yr'!I351=0,"",'15 yr'!I351)</f>
        <v/>
      </c>
      <c r="E348" s="150" t="str">
        <f>IFERROR(IF('15 yr'!AF351=0,"",'15 yr'!AF351),"")</f>
        <v/>
      </c>
      <c r="F348" s="150" t="str">
        <f>IFERROR(IF('15 yr'!AH351=0,"",'15 yr'!AH351),"")</f>
        <v/>
      </c>
      <c r="G348" s="156" t="str">
        <f>IFERROR(IF('15 yr'!AI351=0,"",'15 yr'!AI351),"")</f>
        <v/>
      </c>
    </row>
    <row r="349" spans="1:7">
      <c r="A349" s="149" t="str">
        <f>IF('15 yr'!A352=0,"",'15 yr'!A352)</f>
        <v/>
      </c>
      <c r="B349" s="147" t="str">
        <f>IF('15 yr'!B352=0,"",'15 yr'!B352)</f>
        <v/>
      </c>
      <c r="C349" s="148" t="str">
        <f>IF('15 yr'!E352=0,"",'15 yr'!E352)</f>
        <v/>
      </c>
      <c r="D349" s="149" t="str">
        <f>IF('15 yr'!I352=0,"",'15 yr'!I352)</f>
        <v/>
      </c>
      <c r="E349" s="150" t="str">
        <f>IFERROR(IF('15 yr'!AF352=0,"",'15 yr'!AF352),"")</f>
        <v/>
      </c>
      <c r="F349" s="150" t="str">
        <f>IFERROR(IF('15 yr'!AH352=0,"",'15 yr'!AH352),"")</f>
        <v/>
      </c>
      <c r="G349" s="156" t="str">
        <f>IFERROR(IF('15 yr'!AI352=0,"",'15 yr'!AI352),"")</f>
        <v/>
      </c>
    </row>
    <row r="350" spans="1:7">
      <c r="A350" s="149" t="str">
        <f>IF('15 yr'!A353=0,"",'15 yr'!A353)</f>
        <v/>
      </c>
      <c r="B350" s="147" t="str">
        <f>IF('15 yr'!B353=0,"",'15 yr'!B353)</f>
        <v/>
      </c>
      <c r="C350" s="148" t="str">
        <f>IF('15 yr'!E353=0,"",'15 yr'!E353)</f>
        <v/>
      </c>
      <c r="D350" s="149" t="str">
        <f>IF('15 yr'!I353=0,"",'15 yr'!I353)</f>
        <v/>
      </c>
      <c r="E350" s="150" t="str">
        <f>IFERROR(IF('15 yr'!AF353=0,"",'15 yr'!AF353),"")</f>
        <v/>
      </c>
      <c r="F350" s="150" t="str">
        <f>IFERROR(IF('15 yr'!AH353=0,"",'15 yr'!AH353),"")</f>
        <v/>
      </c>
      <c r="G350" s="156" t="str">
        <f>IFERROR(IF('15 yr'!AI353=0,"",'15 yr'!AI353),"")</f>
        <v/>
      </c>
    </row>
    <row r="351" spans="1:7">
      <c r="A351" s="149" t="str">
        <f>IF('15 yr'!A354=0,"",'15 yr'!A354)</f>
        <v/>
      </c>
      <c r="B351" s="147" t="str">
        <f>IF('15 yr'!B354=0,"",'15 yr'!B354)</f>
        <v/>
      </c>
      <c r="C351" s="148" t="str">
        <f>IF('15 yr'!E354=0,"",'15 yr'!E354)</f>
        <v/>
      </c>
      <c r="D351" s="149" t="str">
        <f>IF('15 yr'!I354=0,"",'15 yr'!I354)</f>
        <v/>
      </c>
      <c r="E351" s="150" t="str">
        <f>IFERROR(IF('15 yr'!AF354=0,"",'15 yr'!AF354),"")</f>
        <v/>
      </c>
      <c r="F351" s="150" t="str">
        <f>IFERROR(IF('15 yr'!AH354=0,"",'15 yr'!AH354),"")</f>
        <v/>
      </c>
      <c r="G351" s="156" t="str">
        <f>IFERROR(IF('15 yr'!AI354=0,"",'15 yr'!AI354),"")</f>
        <v/>
      </c>
    </row>
    <row r="352" spans="1:7">
      <c r="A352" s="149" t="str">
        <f>IF('15 yr'!A355=0,"",'15 yr'!A355)</f>
        <v/>
      </c>
      <c r="B352" s="147" t="str">
        <f>IF('15 yr'!B355=0,"",'15 yr'!B355)</f>
        <v/>
      </c>
      <c r="C352" s="148" t="str">
        <f>IF('15 yr'!E355=0,"",'15 yr'!E355)</f>
        <v/>
      </c>
      <c r="D352" s="149" t="str">
        <f>IF('15 yr'!I355=0,"",'15 yr'!I355)</f>
        <v/>
      </c>
      <c r="E352" s="150" t="str">
        <f>IFERROR(IF('15 yr'!AF355=0,"",'15 yr'!AF355),"")</f>
        <v/>
      </c>
      <c r="F352" s="150" t="str">
        <f>IFERROR(IF('15 yr'!AH355=0,"",'15 yr'!AH355),"")</f>
        <v/>
      </c>
      <c r="G352" s="156" t="str">
        <f>IFERROR(IF('15 yr'!AI355=0,"",'15 yr'!AI355),"")</f>
        <v/>
      </c>
    </row>
    <row r="353" spans="1:7">
      <c r="A353" s="149" t="str">
        <f>IF('15 yr'!A356=0,"",'15 yr'!A356)</f>
        <v/>
      </c>
      <c r="B353" s="147" t="str">
        <f>IF('15 yr'!B356=0,"",'15 yr'!B356)</f>
        <v/>
      </c>
      <c r="C353" s="148" t="str">
        <f>IF('15 yr'!E356=0,"",'15 yr'!E356)</f>
        <v/>
      </c>
      <c r="D353" s="149" t="str">
        <f>IF('15 yr'!I356=0,"",'15 yr'!I356)</f>
        <v/>
      </c>
      <c r="E353" s="150" t="str">
        <f>IFERROR(IF('15 yr'!AF356=0,"",'15 yr'!AF356),"")</f>
        <v/>
      </c>
      <c r="F353" s="150" t="str">
        <f>IFERROR(IF('15 yr'!AH356=0,"",'15 yr'!AH356),"")</f>
        <v/>
      </c>
      <c r="G353" s="156" t="str">
        <f>IFERROR(IF('15 yr'!AI356=0,"",'15 yr'!AI356),"")</f>
        <v/>
      </c>
    </row>
    <row r="354" spans="1:7">
      <c r="A354" s="149" t="str">
        <f>IF('15 yr'!A357=0,"",'15 yr'!A357)</f>
        <v/>
      </c>
      <c r="B354" s="147" t="str">
        <f>IF('15 yr'!B357=0,"",'15 yr'!B357)</f>
        <v/>
      </c>
      <c r="C354" s="148" t="str">
        <f>IF('15 yr'!E357=0,"",'15 yr'!E357)</f>
        <v/>
      </c>
      <c r="D354" s="149" t="str">
        <f>IF('15 yr'!I357=0,"",'15 yr'!I357)</f>
        <v/>
      </c>
      <c r="E354" s="150" t="str">
        <f>IFERROR(IF('15 yr'!AF357=0,"",'15 yr'!AF357),"")</f>
        <v/>
      </c>
      <c r="F354" s="150" t="str">
        <f>IFERROR(IF('15 yr'!AH357=0,"",'15 yr'!AH357),"")</f>
        <v/>
      </c>
      <c r="G354" s="156" t="str">
        <f>IFERROR(IF('15 yr'!AI357=0,"",'15 yr'!AI357),"")</f>
        <v/>
      </c>
    </row>
    <row r="355" spans="1:7">
      <c r="A355" s="149" t="str">
        <f>IF('15 yr'!A358=0,"",'15 yr'!A358)</f>
        <v/>
      </c>
      <c r="B355" s="147" t="str">
        <f>IF('15 yr'!B358=0,"",'15 yr'!B358)</f>
        <v/>
      </c>
      <c r="C355" s="148" t="str">
        <f>IF('15 yr'!E358=0,"",'15 yr'!E358)</f>
        <v/>
      </c>
      <c r="D355" s="149" t="str">
        <f>IF('15 yr'!I358=0,"",'15 yr'!I358)</f>
        <v/>
      </c>
      <c r="E355" s="150" t="str">
        <f>IFERROR(IF('15 yr'!AF358=0,"",'15 yr'!AF358),"")</f>
        <v/>
      </c>
      <c r="F355" s="150" t="str">
        <f>IFERROR(IF('15 yr'!AH358=0,"",'15 yr'!AH358),"")</f>
        <v/>
      </c>
      <c r="G355" s="156" t="str">
        <f>IFERROR(IF('15 yr'!AI358=0,"",'15 yr'!AI358),"")</f>
        <v/>
      </c>
    </row>
    <row r="356" spans="1:7">
      <c r="A356" s="149" t="str">
        <f>IF('15 yr'!A359=0,"",'15 yr'!A359)</f>
        <v/>
      </c>
      <c r="B356" s="147" t="str">
        <f>IF('15 yr'!B359=0,"",'15 yr'!B359)</f>
        <v/>
      </c>
      <c r="C356" s="148" t="str">
        <f>IF('15 yr'!E359=0,"",'15 yr'!E359)</f>
        <v/>
      </c>
      <c r="D356" s="149" t="str">
        <f>IF('15 yr'!I359=0,"",'15 yr'!I359)</f>
        <v/>
      </c>
      <c r="E356" s="150" t="str">
        <f>IFERROR(IF('15 yr'!AF359=0,"",'15 yr'!AF359),"")</f>
        <v/>
      </c>
      <c r="F356" s="150" t="str">
        <f>IFERROR(IF('15 yr'!AH359=0,"",'15 yr'!AH359),"")</f>
        <v/>
      </c>
      <c r="G356" s="156" t="str">
        <f>IFERROR(IF('15 yr'!AI359=0,"",'15 yr'!AI359),"")</f>
        <v/>
      </c>
    </row>
    <row r="357" spans="1:7">
      <c r="A357" s="149" t="str">
        <f>IF('15 yr'!A360=0,"",'15 yr'!A360)</f>
        <v/>
      </c>
      <c r="B357" s="147" t="str">
        <f>IF('15 yr'!B360=0,"",'15 yr'!B360)</f>
        <v/>
      </c>
      <c r="C357" s="148" t="str">
        <f>IF('15 yr'!E360=0,"",'15 yr'!E360)</f>
        <v/>
      </c>
      <c r="D357" s="149" t="str">
        <f>IF('15 yr'!I360=0,"",'15 yr'!I360)</f>
        <v/>
      </c>
      <c r="E357" s="150" t="str">
        <f>IFERROR(IF('15 yr'!AF360=0,"",'15 yr'!AF360),"")</f>
        <v/>
      </c>
      <c r="F357" s="150" t="str">
        <f>IFERROR(IF('15 yr'!AH360=0,"",'15 yr'!AH360),"")</f>
        <v/>
      </c>
      <c r="G357" s="156" t="str">
        <f>IFERROR(IF('15 yr'!AI360=0,"",'15 yr'!AI360),"")</f>
        <v/>
      </c>
    </row>
    <row r="358" spans="1:7">
      <c r="A358" s="149" t="str">
        <f>IF('15 yr'!A361=0,"",'15 yr'!A361)</f>
        <v/>
      </c>
      <c r="B358" s="147" t="str">
        <f>IF('15 yr'!B361=0,"",'15 yr'!B361)</f>
        <v/>
      </c>
      <c r="C358" s="148" t="str">
        <f>IF('15 yr'!E361=0,"",'15 yr'!E361)</f>
        <v/>
      </c>
      <c r="D358" s="149" t="str">
        <f>IF('15 yr'!I361=0,"",'15 yr'!I361)</f>
        <v/>
      </c>
      <c r="E358" s="150" t="str">
        <f>IFERROR(IF('15 yr'!AF361=0,"",'15 yr'!AF361),"")</f>
        <v/>
      </c>
      <c r="F358" s="150" t="str">
        <f>IFERROR(IF('15 yr'!AH361=0,"",'15 yr'!AH361),"")</f>
        <v/>
      </c>
      <c r="G358" s="156" t="str">
        <f>IFERROR(IF('15 yr'!AI361=0,"",'15 yr'!AI361),"")</f>
        <v/>
      </c>
    </row>
    <row r="359" spans="1:7">
      <c r="A359" s="149" t="str">
        <f>IF('15 yr'!A362=0,"",'15 yr'!A362)</f>
        <v/>
      </c>
      <c r="B359" s="147" t="str">
        <f>IF('15 yr'!B362=0,"",'15 yr'!B362)</f>
        <v/>
      </c>
      <c r="C359" s="148" t="str">
        <f>IF('15 yr'!E362=0,"",'15 yr'!E362)</f>
        <v/>
      </c>
      <c r="D359" s="149" t="str">
        <f>IF('15 yr'!I362=0,"",'15 yr'!I362)</f>
        <v/>
      </c>
      <c r="E359" s="150" t="str">
        <f>IFERROR(IF('15 yr'!AF362=0,"",'15 yr'!AF362),"")</f>
        <v/>
      </c>
      <c r="F359" s="150" t="str">
        <f>IFERROR(IF('15 yr'!AH362=0,"",'15 yr'!AH362),"")</f>
        <v/>
      </c>
      <c r="G359" s="156" t="str">
        <f>IFERROR(IF('15 yr'!AI362=0,"",'15 yr'!AI362),"")</f>
        <v/>
      </c>
    </row>
    <row r="360" spans="1:7">
      <c r="A360" s="149" t="str">
        <f>IF('15 yr'!A363=0,"",'15 yr'!A363)</f>
        <v/>
      </c>
      <c r="B360" s="147" t="str">
        <f>IF('15 yr'!B363=0,"",'15 yr'!B363)</f>
        <v/>
      </c>
      <c r="C360" s="148" t="str">
        <f>IF('15 yr'!E363=0,"",'15 yr'!E363)</f>
        <v/>
      </c>
      <c r="D360" s="149" t="str">
        <f>IF('15 yr'!I363=0,"",'15 yr'!I363)</f>
        <v/>
      </c>
      <c r="E360" s="150" t="str">
        <f>IFERROR(IF('15 yr'!AF363=0,"",'15 yr'!AF363),"")</f>
        <v/>
      </c>
      <c r="F360" s="150" t="str">
        <f>IFERROR(IF('15 yr'!AH363=0,"",'15 yr'!AH363),"")</f>
        <v/>
      </c>
      <c r="G360" s="156" t="str">
        <f>IFERROR(IF('15 yr'!AI363=0,"",'15 yr'!AI363),"")</f>
        <v/>
      </c>
    </row>
    <row r="361" spans="1:7">
      <c r="A361" s="149" t="str">
        <f>IF('15 yr'!A364=0,"",'15 yr'!A364)</f>
        <v/>
      </c>
      <c r="B361" s="147" t="str">
        <f>IF('15 yr'!B364=0,"",'15 yr'!B364)</f>
        <v/>
      </c>
      <c r="C361" s="148" t="str">
        <f>IF('15 yr'!E364=0,"",'15 yr'!E364)</f>
        <v/>
      </c>
      <c r="D361" s="149" t="str">
        <f>IF('15 yr'!I364=0,"",'15 yr'!I364)</f>
        <v/>
      </c>
      <c r="E361" s="150" t="str">
        <f>IFERROR(IF('15 yr'!AF364=0,"",'15 yr'!AF364),"")</f>
        <v/>
      </c>
      <c r="F361" s="150" t="str">
        <f>IFERROR(IF('15 yr'!AH364=0,"",'15 yr'!AH364),"")</f>
        <v/>
      </c>
      <c r="G361" s="156" t="str">
        <f>IFERROR(IF('15 yr'!AI364=0,"",'15 yr'!AI364),"")</f>
        <v/>
      </c>
    </row>
    <row r="362" spans="1:7">
      <c r="A362" s="149" t="str">
        <f>IF('15 yr'!A365=0,"",'15 yr'!A365)</f>
        <v/>
      </c>
      <c r="B362" s="147" t="str">
        <f>IF('15 yr'!B365=0,"",'15 yr'!B365)</f>
        <v/>
      </c>
      <c r="C362" s="148" t="str">
        <f>IF('15 yr'!E365=0,"",'15 yr'!E365)</f>
        <v/>
      </c>
      <c r="D362" s="149" t="str">
        <f>IF('15 yr'!I365=0,"",'15 yr'!I365)</f>
        <v/>
      </c>
      <c r="E362" s="150" t="str">
        <f>IFERROR(IF('15 yr'!AF365=0,"",'15 yr'!AF365),"")</f>
        <v/>
      </c>
      <c r="F362" s="150" t="str">
        <f>IFERROR(IF('15 yr'!AH365=0,"",'15 yr'!AH365),"")</f>
        <v/>
      </c>
      <c r="G362" s="156" t="str">
        <f>IFERROR(IF('15 yr'!AI365=0,"",'15 yr'!AI365),"")</f>
        <v/>
      </c>
    </row>
    <row r="363" spans="1:7">
      <c r="A363" s="149" t="str">
        <f>IF('15 yr'!A366=0,"",'15 yr'!A366)</f>
        <v/>
      </c>
      <c r="B363" s="147" t="str">
        <f>IF('15 yr'!B366=0,"",'15 yr'!B366)</f>
        <v/>
      </c>
      <c r="C363" s="148" t="str">
        <f>IF('15 yr'!E366=0,"",'15 yr'!E366)</f>
        <v/>
      </c>
      <c r="D363" s="149" t="str">
        <f>IF('15 yr'!I366=0,"",'15 yr'!I366)</f>
        <v/>
      </c>
      <c r="E363" s="150" t="str">
        <f>IFERROR(IF('15 yr'!AF366=0,"",'15 yr'!AF366),"")</f>
        <v/>
      </c>
      <c r="F363" s="150" t="str">
        <f>IFERROR(IF('15 yr'!AH366=0,"",'15 yr'!AH366),"")</f>
        <v/>
      </c>
      <c r="G363" s="156" t="str">
        <f>IFERROR(IF('15 yr'!AI366=0,"",'15 yr'!AI366),"")</f>
        <v/>
      </c>
    </row>
    <row r="364" spans="1:7">
      <c r="A364" s="149" t="str">
        <f>IF('15 yr'!A367=0,"",'15 yr'!A367)</f>
        <v/>
      </c>
      <c r="B364" s="147" t="str">
        <f>IF('15 yr'!B367=0,"",'15 yr'!B367)</f>
        <v/>
      </c>
      <c r="C364" s="148" t="str">
        <f>IF('15 yr'!E367=0,"",'15 yr'!E367)</f>
        <v/>
      </c>
      <c r="D364" s="149" t="str">
        <f>IF('15 yr'!I367=0,"",'15 yr'!I367)</f>
        <v/>
      </c>
      <c r="E364" s="150" t="str">
        <f>IFERROR(IF('15 yr'!AF367=0,"",'15 yr'!AF367),"")</f>
        <v/>
      </c>
      <c r="F364" s="150" t="str">
        <f>IFERROR(IF('15 yr'!AH367=0,"",'15 yr'!AH367),"")</f>
        <v/>
      </c>
      <c r="G364" s="156" t="str">
        <f>IFERROR(IF('15 yr'!AI367=0,"",'15 yr'!AI367),"")</f>
        <v/>
      </c>
    </row>
    <row r="365" spans="1:7">
      <c r="A365" s="149" t="str">
        <f>IF('15 yr'!A368=0,"",'15 yr'!A368)</f>
        <v/>
      </c>
      <c r="B365" s="147" t="str">
        <f>IF('15 yr'!B368=0,"",'15 yr'!B368)</f>
        <v/>
      </c>
      <c r="C365" s="148" t="str">
        <f>IF('15 yr'!E368=0,"",'15 yr'!E368)</f>
        <v/>
      </c>
      <c r="D365" s="149" t="str">
        <f>IF('15 yr'!I368=0,"",'15 yr'!I368)</f>
        <v/>
      </c>
      <c r="E365" s="150" t="str">
        <f>IFERROR(IF('15 yr'!AF368=0,"",'15 yr'!AF368),"")</f>
        <v/>
      </c>
      <c r="F365" s="150" t="str">
        <f>IFERROR(IF('15 yr'!AH368=0,"",'15 yr'!AH368),"")</f>
        <v/>
      </c>
      <c r="G365" s="156" t="str">
        <f>IFERROR(IF('15 yr'!AI368=0,"",'15 yr'!AI368),"")</f>
        <v/>
      </c>
    </row>
    <row r="366" spans="1:7">
      <c r="A366" s="149" t="str">
        <f>IF('15 yr'!A369=0,"",'15 yr'!A369)</f>
        <v/>
      </c>
      <c r="B366" s="147" t="str">
        <f>IF('15 yr'!B369=0,"",'15 yr'!B369)</f>
        <v/>
      </c>
      <c r="C366" s="148" t="str">
        <f>IF('15 yr'!E369=0,"",'15 yr'!E369)</f>
        <v/>
      </c>
      <c r="D366" s="149" t="str">
        <f>IF('15 yr'!I369=0,"",'15 yr'!I369)</f>
        <v/>
      </c>
      <c r="E366" s="150" t="str">
        <f>IFERROR(IF('15 yr'!AF369=0,"",'15 yr'!AF369),"")</f>
        <v/>
      </c>
      <c r="F366" s="150" t="str">
        <f>IFERROR(IF('15 yr'!AH369=0,"",'15 yr'!AH369),"")</f>
        <v/>
      </c>
      <c r="G366" s="156" t="str">
        <f>IFERROR(IF('15 yr'!AI369=0,"",'15 yr'!AI369),"")</f>
        <v/>
      </c>
    </row>
    <row r="367" spans="1:7">
      <c r="A367" s="149" t="str">
        <f>IF('15 yr'!A370=0,"",'15 yr'!A370)</f>
        <v/>
      </c>
      <c r="B367" s="147" t="str">
        <f>IF('15 yr'!B370=0,"",'15 yr'!B370)</f>
        <v/>
      </c>
      <c r="C367" s="148" t="str">
        <f>IF('15 yr'!E370=0,"",'15 yr'!E370)</f>
        <v/>
      </c>
      <c r="D367" s="149" t="str">
        <f>IF('15 yr'!I370=0,"",'15 yr'!I370)</f>
        <v/>
      </c>
      <c r="E367" s="150" t="str">
        <f>IFERROR(IF('15 yr'!AF370=0,"",'15 yr'!AF370),"")</f>
        <v/>
      </c>
      <c r="F367" s="150" t="str">
        <f>IFERROR(IF('15 yr'!AH370=0,"",'15 yr'!AH370),"")</f>
        <v/>
      </c>
      <c r="G367" s="156" t="str">
        <f>IFERROR(IF('15 yr'!AI370=0,"",'15 yr'!AI370),"")</f>
        <v/>
      </c>
    </row>
    <row r="368" spans="1:7">
      <c r="A368" s="149" t="str">
        <f>IF('15 yr'!A371=0,"",'15 yr'!A371)</f>
        <v/>
      </c>
      <c r="B368" s="147" t="str">
        <f>IF('15 yr'!B371=0,"",'15 yr'!B371)</f>
        <v/>
      </c>
      <c r="C368" s="148" t="str">
        <f>IF('15 yr'!E371=0,"",'15 yr'!E371)</f>
        <v/>
      </c>
      <c r="D368" s="149" t="str">
        <f>IF('15 yr'!I371=0,"",'15 yr'!I371)</f>
        <v/>
      </c>
      <c r="E368" s="150" t="str">
        <f>IFERROR(IF('15 yr'!AF371=0,"",'15 yr'!AF371),"")</f>
        <v/>
      </c>
      <c r="F368" s="150" t="str">
        <f>IFERROR(IF('15 yr'!AH371=0,"",'15 yr'!AH371),"")</f>
        <v/>
      </c>
      <c r="G368" s="156" t="str">
        <f>IFERROR(IF('15 yr'!AI371=0,"",'15 yr'!AI371),"")</f>
        <v/>
      </c>
    </row>
    <row r="369" spans="1:7">
      <c r="A369" s="149" t="str">
        <f>IF('15 yr'!A372=0,"",'15 yr'!A372)</f>
        <v/>
      </c>
      <c r="B369" s="147" t="str">
        <f>IF('15 yr'!B372=0,"",'15 yr'!B372)</f>
        <v/>
      </c>
      <c r="C369" s="148" t="str">
        <f>IF('15 yr'!E372=0,"",'15 yr'!E372)</f>
        <v/>
      </c>
      <c r="D369" s="149" t="str">
        <f>IF('15 yr'!I372=0,"",'15 yr'!I372)</f>
        <v/>
      </c>
      <c r="E369" s="150" t="str">
        <f>IFERROR(IF('15 yr'!AF372=0,"",'15 yr'!AF372),"")</f>
        <v/>
      </c>
      <c r="F369" s="150" t="str">
        <f>IFERROR(IF('15 yr'!AH372=0,"",'15 yr'!AH372),"")</f>
        <v/>
      </c>
      <c r="G369" s="156" t="str">
        <f>IFERROR(IF('15 yr'!AI372=0,"",'15 yr'!AI372),"")</f>
        <v/>
      </c>
    </row>
    <row r="370" spans="1:7">
      <c r="A370" s="149" t="str">
        <f>IF('15 yr'!A373=0,"",'15 yr'!A373)</f>
        <v/>
      </c>
      <c r="B370" s="147" t="str">
        <f>IF('15 yr'!B373=0,"",'15 yr'!B373)</f>
        <v/>
      </c>
      <c r="C370" s="148" t="str">
        <f>IF('15 yr'!E373=0,"",'15 yr'!E373)</f>
        <v/>
      </c>
      <c r="D370" s="149" t="str">
        <f>IF('15 yr'!I373=0,"",'15 yr'!I373)</f>
        <v/>
      </c>
      <c r="E370" s="150" t="str">
        <f>IFERROR(IF('15 yr'!AF373=0,"",'15 yr'!AF373),"")</f>
        <v/>
      </c>
      <c r="F370" s="150" t="str">
        <f>IFERROR(IF('15 yr'!AH373=0,"",'15 yr'!AH373),"")</f>
        <v/>
      </c>
      <c r="G370" s="156" t="str">
        <f>IFERROR(IF('15 yr'!AI373=0,"",'15 yr'!AI373),"")</f>
        <v/>
      </c>
    </row>
    <row r="371" spans="1:7">
      <c r="A371" s="149" t="str">
        <f>IF('15 yr'!A374=0,"",'15 yr'!A374)</f>
        <v/>
      </c>
      <c r="B371" s="147" t="str">
        <f>IF('15 yr'!B374=0,"",'15 yr'!B374)</f>
        <v/>
      </c>
      <c r="C371" s="148" t="str">
        <f>IF('15 yr'!E374=0,"",'15 yr'!E374)</f>
        <v/>
      </c>
      <c r="D371" s="149" t="str">
        <f>IF('15 yr'!I374=0,"",'15 yr'!I374)</f>
        <v/>
      </c>
      <c r="E371" s="150" t="str">
        <f>IFERROR(IF('15 yr'!AF374=0,"",'15 yr'!AF374),"")</f>
        <v/>
      </c>
      <c r="F371" s="150" t="str">
        <f>IFERROR(IF('15 yr'!AH374=0,"",'15 yr'!AH374),"")</f>
        <v/>
      </c>
      <c r="G371" s="156" t="str">
        <f>IFERROR(IF('15 yr'!AI374=0,"",'15 yr'!AI374),"")</f>
        <v/>
      </c>
    </row>
    <row r="372" spans="1:7">
      <c r="A372" s="149" t="str">
        <f>IF('15 yr'!A375=0,"",'15 yr'!A375)</f>
        <v/>
      </c>
      <c r="B372" s="147" t="str">
        <f>IF('15 yr'!B375=0,"",'15 yr'!B375)</f>
        <v/>
      </c>
      <c r="C372" s="148" t="str">
        <f>IF('15 yr'!E375=0,"",'15 yr'!E375)</f>
        <v/>
      </c>
      <c r="D372" s="149" t="str">
        <f>IF('15 yr'!I375=0,"",'15 yr'!I375)</f>
        <v/>
      </c>
      <c r="E372" s="150" t="str">
        <f>IFERROR(IF('15 yr'!AF375=0,"",'15 yr'!AF375),"")</f>
        <v/>
      </c>
      <c r="F372" s="150" t="str">
        <f>IFERROR(IF('15 yr'!AH375=0,"",'15 yr'!AH375),"")</f>
        <v/>
      </c>
      <c r="G372" s="156" t="str">
        <f>IFERROR(IF('15 yr'!AI375=0,"",'15 yr'!AI375),"")</f>
        <v/>
      </c>
    </row>
    <row r="373" spans="1:7">
      <c r="A373" s="149" t="str">
        <f>IF('15 yr'!A376=0,"",'15 yr'!A376)</f>
        <v/>
      </c>
      <c r="B373" s="147" t="str">
        <f>IF('15 yr'!B376=0,"",'15 yr'!B376)</f>
        <v/>
      </c>
      <c r="C373" s="148" t="str">
        <f>IF('15 yr'!E376=0,"",'15 yr'!E376)</f>
        <v/>
      </c>
      <c r="D373" s="149" t="str">
        <f>IF('15 yr'!I376=0,"",'15 yr'!I376)</f>
        <v/>
      </c>
      <c r="E373" s="150" t="str">
        <f>IFERROR(IF('15 yr'!AF376=0,"",'15 yr'!AF376),"")</f>
        <v/>
      </c>
      <c r="F373" s="150" t="str">
        <f>IFERROR(IF('15 yr'!AH376=0,"",'15 yr'!AH376),"")</f>
        <v/>
      </c>
      <c r="G373" s="156" t="str">
        <f>IFERROR(IF('15 yr'!AI376=0,"",'15 yr'!AI376),"")</f>
        <v/>
      </c>
    </row>
    <row r="374" spans="1:7">
      <c r="A374" s="149" t="str">
        <f>IF('15 yr'!A377=0,"",'15 yr'!A377)</f>
        <v/>
      </c>
      <c r="B374" s="147" t="str">
        <f>IF('15 yr'!B377=0,"",'15 yr'!B377)</f>
        <v/>
      </c>
      <c r="C374" s="148" t="str">
        <f>IF('15 yr'!E377=0,"",'15 yr'!E377)</f>
        <v/>
      </c>
      <c r="D374" s="149" t="str">
        <f>IF('15 yr'!I377=0,"",'15 yr'!I377)</f>
        <v/>
      </c>
      <c r="E374" s="150" t="str">
        <f>IFERROR(IF('15 yr'!AF377=0,"",'15 yr'!AF377),"")</f>
        <v/>
      </c>
      <c r="F374" s="150" t="str">
        <f>IFERROR(IF('15 yr'!AH377=0,"",'15 yr'!AH377),"")</f>
        <v/>
      </c>
      <c r="G374" s="156" t="str">
        <f>IFERROR(IF('15 yr'!AI377=0,"",'15 yr'!AI377),"")</f>
        <v/>
      </c>
    </row>
    <row r="375" spans="1:7">
      <c r="A375" s="149" t="str">
        <f>IF('15 yr'!A378=0,"",'15 yr'!A378)</f>
        <v/>
      </c>
      <c r="B375" s="147" t="str">
        <f>IF('15 yr'!B378=0,"",'15 yr'!B378)</f>
        <v/>
      </c>
      <c r="C375" s="148" t="str">
        <f>IF('15 yr'!E378=0,"",'15 yr'!E378)</f>
        <v/>
      </c>
      <c r="D375" s="149" t="str">
        <f>IF('15 yr'!I378=0,"",'15 yr'!I378)</f>
        <v/>
      </c>
      <c r="E375" s="150" t="str">
        <f>IFERROR(IF('15 yr'!AF378=0,"",'15 yr'!AF378),"")</f>
        <v/>
      </c>
      <c r="F375" s="150" t="str">
        <f>IFERROR(IF('15 yr'!AH378=0,"",'15 yr'!AH378),"")</f>
        <v/>
      </c>
      <c r="G375" s="156" t="str">
        <f>IFERROR(IF('15 yr'!AI378=0,"",'15 yr'!AI378),"")</f>
        <v/>
      </c>
    </row>
    <row r="376" spans="1:7">
      <c r="A376" s="149" t="str">
        <f>IF('15 yr'!A379=0,"",'15 yr'!A379)</f>
        <v/>
      </c>
      <c r="B376" s="147" t="str">
        <f>IF('15 yr'!B379=0,"",'15 yr'!B379)</f>
        <v/>
      </c>
      <c r="C376" s="148" t="str">
        <f>IF('15 yr'!E379=0,"",'15 yr'!E379)</f>
        <v/>
      </c>
      <c r="D376" s="149" t="str">
        <f>IF('15 yr'!I379=0,"",'15 yr'!I379)</f>
        <v/>
      </c>
      <c r="E376" s="150" t="str">
        <f>IFERROR(IF('15 yr'!AF379=0,"",'15 yr'!AF379),"")</f>
        <v/>
      </c>
      <c r="F376" s="150" t="str">
        <f>IFERROR(IF('15 yr'!AH379=0,"",'15 yr'!AH379),"")</f>
        <v/>
      </c>
      <c r="G376" s="156" t="str">
        <f>IFERROR(IF('15 yr'!AI379=0,"",'15 yr'!AI379),"")</f>
        <v/>
      </c>
    </row>
    <row r="377" spans="1:7">
      <c r="A377" s="149" t="str">
        <f>IF('15 yr'!A380=0,"",'15 yr'!A380)</f>
        <v/>
      </c>
      <c r="B377" s="147" t="str">
        <f>IF('15 yr'!B380=0,"",'15 yr'!B380)</f>
        <v/>
      </c>
      <c r="C377" s="148" t="str">
        <f>IF('15 yr'!E380=0,"",'15 yr'!E380)</f>
        <v/>
      </c>
      <c r="D377" s="149" t="str">
        <f>IF('15 yr'!I380=0,"",'15 yr'!I380)</f>
        <v/>
      </c>
      <c r="E377" s="150" t="str">
        <f>IFERROR(IF('15 yr'!AF380=0,"",'15 yr'!AF380),"")</f>
        <v/>
      </c>
      <c r="F377" s="150" t="str">
        <f>IFERROR(IF('15 yr'!AH380=0,"",'15 yr'!AH380),"")</f>
        <v/>
      </c>
      <c r="G377" s="156" t="str">
        <f>IFERROR(IF('15 yr'!AI380=0,"",'15 yr'!AI380),"")</f>
        <v/>
      </c>
    </row>
    <row r="378" spans="1:7">
      <c r="A378" s="149" t="str">
        <f>IF('15 yr'!A381=0,"",'15 yr'!A381)</f>
        <v/>
      </c>
      <c r="B378" s="147" t="str">
        <f>IF('15 yr'!B381=0,"",'15 yr'!B381)</f>
        <v/>
      </c>
      <c r="C378" s="148" t="str">
        <f>IF('15 yr'!E381=0,"",'15 yr'!E381)</f>
        <v/>
      </c>
      <c r="D378" s="149" t="str">
        <f>IF('15 yr'!I381=0,"",'15 yr'!I381)</f>
        <v/>
      </c>
      <c r="E378" s="150" t="str">
        <f>IFERROR(IF('15 yr'!AF381=0,"",'15 yr'!AF381),"")</f>
        <v/>
      </c>
      <c r="F378" s="150" t="str">
        <f>IFERROR(IF('15 yr'!AH381=0,"",'15 yr'!AH381),"")</f>
        <v/>
      </c>
      <c r="G378" s="156" t="str">
        <f>IFERROR(IF('15 yr'!AI381=0,"",'15 yr'!AI381),"")</f>
        <v/>
      </c>
    </row>
    <row r="379" spans="1:7">
      <c r="A379" s="149" t="str">
        <f>IF('15 yr'!A382=0,"",'15 yr'!A382)</f>
        <v/>
      </c>
      <c r="B379" s="147" t="str">
        <f>IF('15 yr'!B382=0,"",'15 yr'!B382)</f>
        <v/>
      </c>
      <c r="C379" s="148" t="str">
        <f>IF('15 yr'!E382=0,"",'15 yr'!E382)</f>
        <v/>
      </c>
      <c r="D379" s="149" t="str">
        <f>IF('15 yr'!I382=0,"",'15 yr'!I382)</f>
        <v/>
      </c>
      <c r="E379" s="150" t="str">
        <f>IFERROR(IF('15 yr'!AF382=0,"",'15 yr'!AF382),"")</f>
        <v/>
      </c>
      <c r="F379" s="150" t="str">
        <f>IFERROR(IF('15 yr'!AH382=0,"",'15 yr'!AH382),"")</f>
        <v/>
      </c>
      <c r="G379" s="156" t="str">
        <f>IFERROR(IF('15 yr'!AI382=0,"",'15 yr'!AI382),"")</f>
        <v/>
      </c>
    </row>
    <row r="380" spans="1:7">
      <c r="A380" s="149" t="str">
        <f>IF('15 yr'!A383=0,"",'15 yr'!A383)</f>
        <v/>
      </c>
      <c r="B380" s="147" t="str">
        <f>IF('15 yr'!B383=0,"",'15 yr'!B383)</f>
        <v/>
      </c>
      <c r="C380" s="148" t="str">
        <f>IF('15 yr'!E383=0,"",'15 yr'!E383)</f>
        <v/>
      </c>
      <c r="D380" s="149" t="str">
        <f>IF('15 yr'!I383=0,"",'15 yr'!I383)</f>
        <v/>
      </c>
      <c r="E380" s="150" t="str">
        <f>IFERROR(IF('15 yr'!AF383=0,"",'15 yr'!AF383),"")</f>
        <v/>
      </c>
      <c r="F380" s="150" t="str">
        <f>IFERROR(IF('15 yr'!AH383=0,"",'15 yr'!AH383),"")</f>
        <v/>
      </c>
      <c r="G380" s="156" t="str">
        <f>IFERROR(IF('15 yr'!AI383=0,"",'15 yr'!AI383),"")</f>
        <v/>
      </c>
    </row>
    <row r="381" spans="1:7">
      <c r="A381" s="149" t="str">
        <f>IF('15 yr'!A384=0,"",'15 yr'!A384)</f>
        <v/>
      </c>
      <c r="B381" s="147" t="str">
        <f>IF('15 yr'!B384=0,"",'15 yr'!B384)</f>
        <v/>
      </c>
      <c r="C381" s="148" t="str">
        <f>IF('15 yr'!E384=0,"",'15 yr'!E384)</f>
        <v/>
      </c>
      <c r="D381" s="149" t="str">
        <f>IF('15 yr'!I384=0,"",'15 yr'!I384)</f>
        <v/>
      </c>
      <c r="E381" s="150" t="str">
        <f>IFERROR(IF('15 yr'!AF384=0,"",'15 yr'!AF384),"")</f>
        <v/>
      </c>
      <c r="F381" s="150" t="str">
        <f>IFERROR(IF('15 yr'!AH384=0,"",'15 yr'!AH384),"")</f>
        <v/>
      </c>
      <c r="G381" s="156" t="str">
        <f>IFERROR(IF('15 yr'!AI384=0,"",'15 yr'!AI384),"")</f>
        <v/>
      </c>
    </row>
    <row r="382" spans="1:7">
      <c r="A382" s="149" t="str">
        <f>IF('15 yr'!A385=0,"",'15 yr'!A385)</f>
        <v/>
      </c>
      <c r="B382" s="147" t="str">
        <f>IF('15 yr'!B385=0,"",'15 yr'!B385)</f>
        <v/>
      </c>
      <c r="C382" s="148" t="str">
        <f>IF('15 yr'!E385=0,"",'15 yr'!E385)</f>
        <v/>
      </c>
      <c r="D382" s="149" t="str">
        <f>IF('15 yr'!I385=0,"",'15 yr'!I385)</f>
        <v/>
      </c>
      <c r="E382" s="150" t="str">
        <f>IFERROR(IF('15 yr'!AF385=0,"",'15 yr'!AF385),"")</f>
        <v/>
      </c>
      <c r="F382" s="150" t="str">
        <f>IFERROR(IF('15 yr'!AH385=0,"",'15 yr'!AH385),"")</f>
        <v/>
      </c>
      <c r="G382" s="156" t="str">
        <f>IFERROR(IF('15 yr'!AI385=0,"",'15 yr'!AI385),"")</f>
        <v/>
      </c>
    </row>
    <row r="383" spans="1:7">
      <c r="A383" s="149" t="str">
        <f>IF('15 yr'!A386=0,"",'15 yr'!A386)</f>
        <v/>
      </c>
      <c r="B383" s="147" t="str">
        <f>IF('15 yr'!B386=0,"",'15 yr'!B386)</f>
        <v/>
      </c>
      <c r="C383" s="148" t="str">
        <f>IF('15 yr'!E386=0,"",'15 yr'!E386)</f>
        <v/>
      </c>
      <c r="D383" s="149" t="str">
        <f>IF('15 yr'!I386=0,"",'15 yr'!I386)</f>
        <v/>
      </c>
      <c r="E383" s="150" t="str">
        <f>IFERROR(IF('15 yr'!AF386=0,"",'15 yr'!AF386),"")</f>
        <v/>
      </c>
      <c r="F383" s="150" t="str">
        <f>IFERROR(IF('15 yr'!AH386=0,"",'15 yr'!AH386),"")</f>
        <v/>
      </c>
      <c r="G383" s="156" t="str">
        <f>IFERROR(IF('15 yr'!AI386=0,"",'15 yr'!AI386),"")</f>
        <v/>
      </c>
    </row>
    <row r="384" spans="1:7">
      <c r="A384" s="149" t="str">
        <f>IF('15 yr'!A387=0,"",'15 yr'!A387)</f>
        <v/>
      </c>
      <c r="B384" s="147" t="str">
        <f>IF('15 yr'!B387=0,"",'15 yr'!B387)</f>
        <v/>
      </c>
      <c r="C384" s="148" t="str">
        <f>IF('15 yr'!E387=0,"",'15 yr'!E387)</f>
        <v/>
      </c>
      <c r="D384" s="149" t="str">
        <f>IF('15 yr'!I387=0,"",'15 yr'!I387)</f>
        <v/>
      </c>
      <c r="E384" s="150" t="str">
        <f>IFERROR(IF('15 yr'!AF387=0,"",'15 yr'!AF387),"")</f>
        <v/>
      </c>
      <c r="F384" s="150" t="str">
        <f>IFERROR(IF('15 yr'!AH387=0,"",'15 yr'!AH387),"")</f>
        <v/>
      </c>
      <c r="G384" s="156" t="str">
        <f>IFERROR(IF('15 yr'!AI387=0,"",'15 yr'!AI387),"")</f>
        <v/>
      </c>
    </row>
    <row r="385" spans="1:7">
      <c r="A385" s="149" t="str">
        <f>IF('15 yr'!A388=0,"",'15 yr'!A388)</f>
        <v/>
      </c>
      <c r="B385" s="147" t="str">
        <f>IF('15 yr'!B388=0,"",'15 yr'!B388)</f>
        <v/>
      </c>
      <c r="C385" s="148" t="str">
        <f>IF('15 yr'!E388=0,"",'15 yr'!E388)</f>
        <v/>
      </c>
      <c r="D385" s="149" t="str">
        <f>IF('15 yr'!I388=0,"",'15 yr'!I388)</f>
        <v/>
      </c>
      <c r="E385" s="150" t="str">
        <f>IFERROR(IF('15 yr'!AF388=0,"",'15 yr'!AF388),"")</f>
        <v/>
      </c>
      <c r="F385" s="150" t="str">
        <f>IFERROR(IF('15 yr'!AH388=0,"",'15 yr'!AH388),"")</f>
        <v/>
      </c>
      <c r="G385" s="156" t="str">
        <f>IFERROR(IF('15 yr'!AI388=0,"",'15 yr'!AI388),"")</f>
        <v/>
      </c>
    </row>
    <row r="386" spans="1:7">
      <c r="A386" s="149" t="str">
        <f>IF('15 yr'!A389=0,"",'15 yr'!A389)</f>
        <v/>
      </c>
      <c r="B386" s="147" t="str">
        <f>IF('15 yr'!B389=0,"",'15 yr'!B389)</f>
        <v/>
      </c>
      <c r="C386" s="148" t="str">
        <f>IF('15 yr'!E389=0,"",'15 yr'!E389)</f>
        <v/>
      </c>
      <c r="D386" s="149" t="str">
        <f>IF('15 yr'!I389=0,"",'15 yr'!I389)</f>
        <v/>
      </c>
      <c r="E386" s="150" t="str">
        <f>IFERROR(IF('15 yr'!AF389=0,"",'15 yr'!AF389),"")</f>
        <v/>
      </c>
      <c r="F386" s="150" t="str">
        <f>IFERROR(IF('15 yr'!AH389=0,"",'15 yr'!AH389),"")</f>
        <v/>
      </c>
      <c r="G386" s="156" t="str">
        <f>IFERROR(IF('15 yr'!AI389=0,"",'15 yr'!AI389),"")</f>
        <v/>
      </c>
    </row>
    <row r="387" spans="1:7">
      <c r="A387" s="149" t="str">
        <f>IF('15 yr'!A390=0,"",'15 yr'!A390)</f>
        <v/>
      </c>
      <c r="B387" s="147" t="str">
        <f>IF('15 yr'!B390=0,"",'15 yr'!B390)</f>
        <v/>
      </c>
      <c r="C387" s="148" t="str">
        <f>IF('15 yr'!E390=0,"",'15 yr'!E390)</f>
        <v/>
      </c>
      <c r="D387" s="149" t="str">
        <f>IF('15 yr'!I390=0,"",'15 yr'!I390)</f>
        <v/>
      </c>
      <c r="E387" s="150" t="str">
        <f>IFERROR(IF('15 yr'!AF390=0,"",'15 yr'!AF390),"")</f>
        <v/>
      </c>
      <c r="F387" s="150" t="str">
        <f>IFERROR(IF('15 yr'!AH390=0,"",'15 yr'!AH390),"")</f>
        <v/>
      </c>
      <c r="G387" s="156" t="str">
        <f>IFERROR(IF('15 yr'!AI390=0,"",'15 yr'!AI390),"")</f>
        <v/>
      </c>
    </row>
    <row r="388" spans="1:7">
      <c r="A388" s="149" t="str">
        <f>IF('15 yr'!A391=0,"",'15 yr'!A391)</f>
        <v/>
      </c>
      <c r="B388" s="147" t="str">
        <f>IF('15 yr'!B391=0,"",'15 yr'!B391)</f>
        <v/>
      </c>
      <c r="C388" s="148" t="str">
        <f>IF('15 yr'!E391=0,"",'15 yr'!E391)</f>
        <v/>
      </c>
      <c r="D388" s="149" t="str">
        <f>IF('15 yr'!I391=0,"",'15 yr'!I391)</f>
        <v/>
      </c>
      <c r="E388" s="150" t="str">
        <f>IFERROR(IF('15 yr'!AF391=0,"",'15 yr'!AF391),"")</f>
        <v/>
      </c>
      <c r="F388" s="150" t="str">
        <f>IFERROR(IF('15 yr'!AH391=0,"",'15 yr'!AH391),"")</f>
        <v/>
      </c>
      <c r="G388" s="156" t="str">
        <f>IFERROR(IF('15 yr'!AI391=0,"",'15 yr'!AI391),"")</f>
        <v/>
      </c>
    </row>
    <row r="389" spans="1:7">
      <c r="A389" s="149" t="str">
        <f>IF('15 yr'!A392=0,"",'15 yr'!A392)</f>
        <v/>
      </c>
      <c r="B389" s="147" t="str">
        <f>IF('15 yr'!B392=0,"",'15 yr'!B392)</f>
        <v/>
      </c>
      <c r="C389" s="148" t="str">
        <f>IF('15 yr'!E392=0,"",'15 yr'!E392)</f>
        <v/>
      </c>
      <c r="D389" s="149" t="str">
        <f>IF('15 yr'!I392=0,"",'15 yr'!I392)</f>
        <v/>
      </c>
      <c r="E389" s="150" t="str">
        <f>IFERROR(IF('15 yr'!AF392=0,"",'15 yr'!AF392),"")</f>
        <v/>
      </c>
      <c r="F389" s="150" t="str">
        <f>IFERROR(IF('15 yr'!AH392=0,"",'15 yr'!AH392),"")</f>
        <v/>
      </c>
      <c r="G389" s="156" t="str">
        <f>IFERROR(IF('15 yr'!AI392=0,"",'15 yr'!AI392),"")</f>
        <v/>
      </c>
    </row>
    <row r="390" spans="1:7">
      <c r="A390" s="149" t="str">
        <f>IF('15 yr'!A393=0,"",'15 yr'!A393)</f>
        <v/>
      </c>
      <c r="B390" s="147" t="str">
        <f>IF('15 yr'!B393=0,"",'15 yr'!B393)</f>
        <v/>
      </c>
      <c r="C390" s="148" t="str">
        <f>IF('15 yr'!E393=0,"",'15 yr'!E393)</f>
        <v/>
      </c>
      <c r="D390" s="149" t="str">
        <f>IF('15 yr'!I393=0,"",'15 yr'!I393)</f>
        <v/>
      </c>
      <c r="E390" s="150" t="str">
        <f>IFERROR(IF('15 yr'!AF393=0,"",'15 yr'!AF393),"")</f>
        <v/>
      </c>
      <c r="F390" s="150" t="str">
        <f>IFERROR(IF('15 yr'!AH393=0,"",'15 yr'!AH393),"")</f>
        <v/>
      </c>
      <c r="G390" s="156" t="str">
        <f>IFERROR(IF('15 yr'!AI393=0,"",'15 yr'!AI393),"")</f>
        <v/>
      </c>
    </row>
    <row r="391" spans="1:7">
      <c r="A391" s="149" t="str">
        <f>IF('15 yr'!A394=0,"",'15 yr'!A394)</f>
        <v/>
      </c>
      <c r="B391" s="147" t="str">
        <f>IF('15 yr'!B394=0,"",'15 yr'!B394)</f>
        <v/>
      </c>
      <c r="C391" s="148" t="str">
        <f>IF('15 yr'!E394=0,"",'15 yr'!E394)</f>
        <v/>
      </c>
      <c r="D391" s="149" t="str">
        <f>IF('15 yr'!I394=0,"",'15 yr'!I394)</f>
        <v/>
      </c>
      <c r="E391" s="150" t="str">
        <f>IFERROR(IF('15 yr'!AF394=0,"",'15 yr'!AF394),"")</f>
        <v/>
      </c>
      <c r="F391" s="150" t="str">
        <f>IFERROR(IF('15 yr'!AH394=0,"",'15 yr'!AH394),"")</f>
        <v/>
      </c>
      <c r="G391" s="156" t="str">
        <f>IFERROR(IF('15 yr'!AI394=0,"",'15 yr'!AI394),"")</f>
        <v/>
      </c>
    </row>
    <row r="392" spans="1:7">
      <c r="A392" s="149" t="str">
        <f>IF('15 yr'!A395=0,"",'15 yr'!A395)</f>
        <v/>
      </c>
      <c r="B392" s="147" t="str">
        <f>IF('15 yr'!B395=0,"",'15 yr'!B395)</f>
        <v/>
      </c>
      <c r="C392" s="148" t="str">
        <f>IF('15 yr'!E395=0,"",'15 yr'!E395)</f>
        <v/>
      </c>
      <c r="D392" s="149" t="str">
        <f>IF('15 yr'!I395=0,"",'15 yr'!I395)</f>
        <v/>
      </c>
      <c r="E392" s="150" t="str">
        <f>IFERROR(IF('15 yr'!AF395=0,"",'15 yr'!AF395),"")</f>
        <v/>
      </c>
      <c r="F392" s="150" t="str">
        <f>IFERROR(IF('15 yr'!AH395=0,"",'15 yr'!AH395),"")</f>
        <v/>
      </c>
      <c r="G392" s="156" t="str">
        <f>IFERROR(IF('15 yr'!AI395=0,"",'15 yr'!AI395),"")</f>
        <v/>
      </c>
    </row>
    <row r="393" spans="1:7">
      <c r="A393" s="149" t="str">
        <f>IF('15 yr'!A396=0,"",'15 yr'!A396)</f>
        <v/>
      </c>
      <c r="B393" s="147" t="str">
        <f>IF('15 yr'!B396=0,"",'15 yr'!B396)</f>
        <v/>
      </c>
      <c r="C393" s="148" t="str">
        <f>IF('15 yr'!E396=0,"",'15 yr'!E396)</f>
        <v/>
      </c>
      <c r="D393" s="149" t="str">
        <f>IF('15 yr'!I396=0,"",'15 yr'!I396)</f>
        <v/>
      </c>
      <c r="E393" s="150" t="str">
        <f>IFERROR(IF('15 yr'!AF396=0,"",'15 yr'!AF396),"")</f>
        <v/>
      </c>
      <c r="F393" s="150" t="str">
        <f>IFERROR(IF('15 yr'!AH396=0,"",'15 yr'!AH396),"")</f>
        <v/>
      </c>
      <c r="G393" s="156" t="str">
        <f>IFERROR(IF('15 yr'!AI396=0,"",'15 yr'!AI396),"")</f>
        <v/>
      </c>
    </row>
    <row r="394" spans="1:7">
      <c r="A394" s="149" t="str">
        <f>IF('15 yr'!A397=0,"",'15 yr'!A397)</f>
        <v/>
      </c>
      <c r="B394" s="147" t="str">
        <f>IF('15 yr'!B397=0,"",'15 yr'!B397)</f>
        <v/>
      </c>
      <c r="C394" s="148" t="str">
        <f>IF('15 yr'!E397=0,"",'15 yr'!E397)</f>
        <v/>
      </c>
      <c r="D394" s="149" t="str">
        <f>IF('15 yr'!I397=0,"",'15 yr'!I397)</f>
        <v/>
      </c>
      <c r="E394" s="150" t="str">
        <f>IFERROR(IF('15 yr'!AF397=0,"",'15 yr'!AF397),"")</f>
        <v/>
      </c>
      <c r="F394" s="150" t="str">
        <f>IFERROR(IF('15 yr'!AH397=0,"",'15 yr'!AH397),"")</f>
        <v/>
      </c>
      <c r="G394" s="156" t="str">
        <f>IFERROR(IF('15 yr'!AI397=0,"",'15 yr'!AI397),"")</f>
        <v/>
      </c>
    </row>
    <row r="395" spans="1:7">
      <c r="A395" s="149" t="str">
        <f>IF('15 yr'!A398=0,"",'15 yr'!A398)</f>
        <v/>
      </c>
      <c r="B395" s="147" t="str">
        <f>IF('15 yr'!B398=0,"",'15 yr'!B398)</f>
        <v/>
      </c>
      <c r="C395" s="148" t="str">
        <f>IF('15 yr'!E398=0,"",'15 yr'!E398)</f>
        <v/>
      </c>
      <c r="D395" s="149" t="str">
        <f>IF('15 yr'!I398=0,"",'15 yr'!I398)</f>
        <v/>
      </c>
      <c r="E395" s="150" t="str">
        <f>IFERROR(IF('15 yr'!AF398=0,"",'15 yr'!AF398),"")</f>
        <v/>
      </c>
      <c r="F395" s="150" t="str">
        <f>IFERROR(IF('15 yr'!AH398=0,"",'15 yr'!AH398),"")</f>
        <v/>
      </c>
      <c r="G395" s="156" t="str">
        <f>IFERROR(IF('15 yr'!AI398=0,"",'15 yr'!AI398),"")</f>
        <v/>
      </c>
    </row>
    <row r="396" spans="1:7">
      <c r="A396" s="149" t="str">
        <f>IF('15 yr'!A399=0,"",'15 yr'!A399)</f>
        <v/>
      </c>
      <c r="B396" s="147" t="str">
        <f>IF('15 yr'!B399=0,"",'15 yr'!B399)</f>
        <v/>
      </c>
      <c r="C396" s="148" t="str">
        <f>IF('15 yr'!E399=0,"",'15 yr'!E399)</f>
        <v/>
      </c>
      <c r="D396" s="149" t="str">
        <f>IF('15 yr'!I399=0,"",'15 yr'!I399)</f>
        <v/>
      </c>
      <c r="E396" s="150" t="str">
        <f>IFERROR(IF('15 yr'!AF399=0,"",'15 yr'!AF399),"")</f>
        <v/>
      </c>
      <c r="F396" s="150" t="str">
        <f>IFERROR(IF('15 yr'!AH399=0,"",'15 yr'!AH399),"")</f>
        <v/>
      </c>
      <c r="G396" s="156" t="str">
        <f>IFERROR(IF('15 yr'!AI399=0,"",'15 yr'!AI399),"")</f>
        <v/>
      </c>
    </row>
    <row r="397" spans="1:7">
      <c r="A397" s="149" t="str">
        <f>IF('15 yr'!A400=0,"",'15 yr'!A400)</f>
        <v/>
      </c>
      <c r="B397" s="147" t="str">
        <f>IF('15 yr'!B400=0,"",'15 yr'!B400)</f>
        <v/>
      </c>
      <c r="C397" s="148" t="str">
        <f>IF('15 yr'!E400=0,"",'15 yr'!E400)</f>
        <v/>
      </c>
      <c r="D397" s="149" t="str">
        <f>IF('15 yr'!I400=0,"",'15 yr'!I400)</f>
        <v/>
      </c>
      <c r="E397" s="150" t="str">
        <f>IFERROR(IF('15 yr'!AF400=0,"",'15 yr'!AF400),"")</f>
        <v/>
      </c>
      <c r="F397" s="150" t="str">
        <f>IFERROR(IF('15 yr'!AH400=0,"",'15 yr'!AH400),"")</f>
        <v/>
      </c>
      <c r="G397" s="156" t="str">
        <f>IFERROR(IF('15 yr'!AI400=0,"",'15 yr'!AI400),"")</f>
        <v/>
      </c>
    </row>
    <row r="398" spans="1:7">
      <c r="A398" s="149" t="str">
        <f>IF('15 yr'!A401=0,"",'15 yr'!A401)</f>
        <v/>
      </c>
      <c r="B398" s="147" t="str">
        <f>IF('15 yr'!B401=0,"",'15 yr'!B401)</f>
        <v/>
      </c>
      <c r="C398" s="148" t="str">
        <f>IF('15 yr'!E401=0,"",'15 yr'!E401)</f>
        <v/>
      </c>
      <c r="D398" s="149" t="str">
        <f>IF('15 yr'!I401=0,"",'15 yr'!I401)</f>
        <v/>
      </c>
      <c r="E398" s="150" t="str">
        <f>IFERROR(IF('15 yr'!AF401=0,"",'15 yr'!AF401),"")</f>
        <v/>
      </c>
      <c r="F398" s="150" t="str">
        <f>IFERROR(IF('15 yr'!AH401=0,"",'15 yr'!AH401),"")</f>
        <v/>
      </c>
      <c r="G398" s="156" t="str">
        <f>IFERROR(IF('15 yr'!AI401=0,"",'15 yr'!AI401),"")</f>
        <v/>
      </c>
    </row>
    <row r="399" spans="1:7">
      <c r="A399" s="149" t="str">
        <f>IF('15 yr'!A402=0,"",'15 yr'!A402)</f>
        <v/>
      </c>
      <c r="B399" s="147" t="str">
        <f>IF('15 yr'!B402=0,"",'15 yr'!B402)</f>
        <v/>
      </c>
      <c r="C399" s="148" t="str">
        <f>IF('15 yr'!E402=0,"",'15 yr'!E402)</f>
        <v/>
      </c>
      <c r="D399" s="149" t="str">
        <f>IF('15 yr'!I402=0,"",'15 yr'!I402)</f>
        <v/>
      </c>
      <c r="E399" s="150" t="str">
        <f>IFERROR(IF('15 yr'!AF402=0,"",'15 yr'!AF402),"")</f>
        <v/>
      </c>
      <c r="F399" s="150" t="str">
        <f>IFERROR(IF('15 yr'!AH402=0,"",'15 yr'!AH402),"")</f>
        <v/>
      </c>
      <c r="G399" s="156" t="str">
        <f>IFERROR(IF('15 yr'!AI402=0,"",'15 yr'!AI402),"")</f>
        <v/>
      </c>
    </row>
    <row r="400" spans="1:7">
      <c r="A400" s="149" t="str">
        <f>IF('15 yr'!A403=0,"",'15 yr'!A403)</f>
        <v/>
      </c>
      <c r="B400" s="147" t="str">
        <f>IF('15 yr'!B403=0,"",'15 yr'!B403)</f>
        <v/>
      </c>
      <c r="C400" s="148" t="str">
        <f>IF('15 yr'!E403=0,"",'15 yr'!E403)</f>
        <v/>
      </c>
      <c r="D400" s="149" t="str">
        <f>IF('15 yr'!I403=0,"",'15 yr'!I403)</f>
        <v/>
      </c>
      <c r="E400" s="150" t="str">
        <f>IFERROR(IF('15 yr'!AF403=0,"",'15 yr'!AF403),"")</f>
        <v/>
      </c>
      <c r="F400" s="150" t="str">
        <f>IFERROR(IF('15 yr'!AH403=0,"",'15 yr'!AH403),"")</f>
        <v/>
      </c>
      <c r="G400" s="156" t="str">
        <f>IFERROR(IF('15 yr'!AI403=0,"",'15 yr'!AI403),"")</f>
        <v/>
      </c>
    </row>
    <row r="401" spans="1:7">
      <c r="A401" s="149" t="str">
        <f>IF('15 yr'!A404=0,"",'15 yr'!A404)</f>
        <v/>
      </c>
      <c r="B401" s="147" t="str">
        <f>IF('15 yr'!B404=0,"",'15 yr'!B404)</f>
        <v/>
      </c>
      <c r="C401" s="148" t="str">
        <f>IF('15 yr'!E404=0,"",'15 yr'!E404)</f>
        <v/>
      </c>
      <c r="D401" s="149" t="str">
        <f>IF('15 yr'!I404=0,"",'15 yr'!I404)</f>
        <v/>
      </c>
      <c r="E401" s="150" t="str">
        <f>IFERROR(IF('15 yr'!AF404=0,"",'15 yr'!AF404),"")</f>
        <v/>
      </c>
      <c r="F401" s="150" t="str">
        <f>IFERROR(IF('15 yr'!AH404=0,"",'15 yr'!AH404),"")</f>
        <v/>
      </c>
      <c r="G401" s="156" t="str">
        <f>IFERROR(IF('15 yr'!AI404=0,"",'15 yr'!AI404),"")</f>
        <v/>
      </c>
    </row>
    <row r="402" spans="1:7">
      <c r="A402" s="149" t="str">
        <f>IF('15 yr'!A405=0,"",'15 yr'!A405)</f>
        <v/>
      </c>
      <c r="B402" s="147" t="str">
        <f>IF('15 yr'!B405=0,"",'15 yr'!B405)</f>
        <v/>
      </c>
      <c r="C402" s="148" t="str">
        <f>IF('15 yr'!E405=0,"",'15 yr'!E405)</f>
        <v/>
      </c>
      <c r="D402" s="149" t="str">
        <f>IF('15 yr'!I405=0,"",'15 yr'!I405)</f>
        <v/>
      </c>
      <c r="E402" s="150" t="str">
        <f>IFERROR(IF('15 yr'!AF405=0,"",'15 yr'!AF405),"")</f>
        <v/>
      </c>
      <c r="F402" s="150" t="str">
        <f>IFERROR(IF('15 yr'!AH405=0,"",'15 yr'!AH405),"")</f>
        <v/>
      </c>
      <c r="G402" s="156" t="str">
        <f>IFERROR(IF('15 yr'!AI405=0,"",'15 yr'!AI405),"")</f>
        <v/>
      </c>
    </row>
    <row r="403" spans="1:7">
      <c r="A403" s="149" t="str">
        <f>IF('15 yr'!A406=0,"",'15 yr'!A406)</f>
        <v/>
      </c>
      <c r="B403" s="147" t="str">
        <f>IF('15 yr'!B406=0,"",'15 yr'!B406)</f>
        <v/>
      </c>
      <c r="C403" s="148" t="str">
        <f>IF('15 yr'!E406=0,"",'15 yr'!E406)</f>
        <v/>
      </c>
      <c r="D403" s="149" t="str">
        <f>IF('15 yr'!I406=0,"",'15 yr'!I406)</f>
        <v/>
      </c>
      <c r="E403" s="150" t="str">
        <f>IFERROR(IF('15 yr'!AF406=0,"",'15 yr'!AF406),"")</f>
        <v/>
      </c>
      <c r="F403" s="150" t="str">
        <f>IFERROR(IF('15 yr'!AH406=0,"",'15 yr'!AH406),"")</f>
        <v/>
      </c>
      <c r="G403" s="156" t="str">
        <f>IFERROR(IF('15 yr'!AI406=0,"",'15 yr'!AI406),"")</f>
        <v/>
      </c>
    </row>
    <row r="404" spans="1:7">
      <c r="A404" s="149" t="str">
        <f>IF('15 yr'!A407=0,"",'15 yr'!A407)</f>
        <v/>
      </c>
      <c r="B404" s="147" t="str">
        <f>IF('15 yr'!B407=0,"",'15 yr'!B407)</f>
        <v/>
      </c>
      <c r="C404" s="148" t="str">
        <f>IF('15 yr'!E407=0,"",'15 yr'!E407)</f>
        <v/>
      </c>
      <c r="D404" s="149" t="str">
        <f>IF('15 yr'!I407=0,"",'15 yr'!I407)</f>
        <v/>
      </c>
      <c r="E404" s="150" t="str">
        <f>IFERROR(IF('15 yr'!AF407=0,"",'15 yr'!AF407),"")</f>
        <v/>
      </c>
      <c r="F404" s="150" t="str">
        <f>IFERROR(IF('15 yr'!AH407=0,"",'15 yr'!AH407),"")</f>
        <v/>
      </c>
      <c r="G404" s="156" t="str">
        <f>IFERROR(IF('15 yr'!AI407=0,"",'15 yr'!AI407),"")</f>
        <v/>
      </c>
    </row>
    <row r="405" spans="1:7">
      <c r="A405" s="149" t="str">
        <f>IF('15 yr'!A408=0,"",'15 yr'!A408)</f>
        <v/>
      </c>
      <c r="B405" s="147" t="str">
        <f>IF('15 yr'!B408=0,"",'15 yr'!B408)</f>
        <v/>
      </c>
      <c r="C405" s="148" t="str">
        <f>IF('15 yr'!E408=0,"",'15 yr'!E408)</f>
        <v/>
      </c>
      <c r="D405" s="149" t="str">
        <f>IF('15 yr'!I408=0,"",'15 yr'!I408)</f>
        <v/>
      </c>
      <c r="E405" s="150" t="str">
        <f>IFERROR(IF('15 yr'!AF408=0,"",'15 yr'!AF408),"")</f>
        <v/>
      </c>
      <c r="F405" s="150" t="str">
        <f>IFERROR(IF('15 yr'!AH408=0,"",'15 yr'!AH408),"")</f>
        <v/>
      </c>
      <c r="G405" s="156" t="str">
        <f>IFERROR(IF('15 yr'!AI408=0,"",'15 yr'!AI408),"")</f>
        <v/>
      </c>
    </row>
    <row r="406" spans="1:7">
      <c r="A406" s="149" t="str">
        <f>IF('15 yr'!A409=0,"",'15 yr'!A409)</f>
        <v/>
      </c>
      <c r="B406" s="147" t="str">
        <f>IF('15 yr'!B409=0,"",'15 yr'!B409)</f>
        <v/>
      </c>
      <c r="C406" s="148" t="str">
        <f>IF('15 yr'!E409=0,"",'15 yr'!E409)</f>
        <v/>
      </c>
      <c r="D406" s="149" t="str">
        <f>IF('15 yr'!I409=0,"",'15 yr'!I409)</f>
        <v/>
      </c>
      <c r="E406" s="150" t="str">
        <f>IFERROR(IF('15 yr'!AF409=0,"",'15 yr'!AF409),"")</f>
        <v/>
      </c>
      <c r="F406" s="150" t="str">
        <f>IFERROR(IF('15 yr'!AH409=0,"",'15 yr'!AH409),"")</f>
        <v/>
      </c>
      <c r="G406" s="156" t="str">
        <f>IFERROR(IF('15 yr'!AI409=0,"",'15 yr'!AI409),"")</f>
        <v/>
      </c>
    </row>
    <row r="407" spans="1:7">
      <c r="A407" s="149" t="str">
        <f>IF('15 yr'!A410=0,"",'15 yr'!A410)</f>
        <v/>
      </c>
      <c r="B407" s="147" t="str">
        <f>IF('15 yr'!B410=0,"",'15 yr'!B410)</f>
        <v/>
      </c>
      <c r="C407" s="148" t="str">
        <f>IF('15 yr'!E410=0,"",'15 yr'!E410)</f>
        <v/>
      </c>
      <c r="D407" s="149" t="str">
        <f>IF('15 yr'!I410=0,"",'15 yr'!I410)</f>
        <v/>
      </c>
      <c r="E407" s="150" t="str">
        <f>IFERROR(IF('15 yr'!AF410=0,"",'15 yr'!AF410),"")</f>
        <v/>
      </c>
      <c r="F407" s="150" t="str">
        <f>IFERROR(IF('15 yr'!AH410=0,"",'15 yr'!AH410),"")</f>
        <v/>
      </c>
      <c r="G407" s="156" t="str">
        <f>IFERROR(IF('15 yr'!AI410=0,"",'15 yr'!AI410),"")</f>
        <v/>
      </c>
    </row>
    <row r="408" spans="1:7">
      <c r="A408" s="149" t="str">
        <f>IF('15 yr'!A411=0,"",'15 yr'!A411)</f>
        <v/>
      </c>
      <c r="B408" s="147" t="str">
        <f>IF('15 yr'!B411=0,"",'15 yr'!B411)</f>
        <v/>
      </c>
      <c r="C408" s="148" t="str">
        <f>IF('15 yr'!E411=0,"",'15 yr'!E411)</f>
        <v/>
      </c>
      <c r="D408" s="149" t="str">
        <f>IF('15 yr'!I411=0,"",'15 yr'!I411)</f>
        <v/>
      </c>
      <c r="E408" s="150" t="str">
        <f>IFERROR(IF('15 yr'!AF411=0,"",'15 yr'!AF411),"")</f>
        <v/>
      </c>
      <c r="F408" s="150" t="str">
        <f>IFERROR(IF('15 yr'!AH411=0,"",'15 yr'!AH411),"")</f>
        <v/>
      </c>
      <c r="G408" s="156" t="str">
        <f>IFERROR(IF('15 yr'!AI411=0,"",'15 yr'!AI411),"")</f>
        <v/>
      </c>
    </row>
    <row r="409" spans="1:7">
      <c r="A409" s="149" t="str">
        <f>IF('15 yr'!A412=0,"",'15 yr'!A412)</f>
        <v/>
      </c>
      <c r="B409" s="147" t="str">
        <f>IF('15 yr'!B412=0,"",'15 yr'!B412)</f>
        <v/>
      </c>
      <c r="C409" s="148" t="str">
        <f>IF('15 yr'!E412=0,"",'15 yr'!E412)</f>
        <v/>
      </c>
      <c r="D409" s="149" t="str">
        <f>IF('15 yr'!I412=0,"",'15 yr'!I412)</f>
        <v/>
      </c>
      <c r="E409" s="150" t="str">
        <f>IFERROR(IF('15 yr'!AF412=0,"",'15 yr'!AF412),"")</f>
        <v/>
      </c>
      <c r="F409" s="150" t="str">
        <f>IFERROR(IF('15 yr'!AH412=0,"",'15 yr'!AH412),"")</f>
        <v/>
      </c>
      <c r="G409" s="156" t="str">
        <f>IFERROR(IF('15 yr'!AI412=0,"",'15 yr'!AI412),"")</f>
        <v/>
      </c>
    </row>
    <row r="410" spans="1:7">
      <c r="A410" s="149" t="str">
        <f>IF('15 yr'!A413=0,"",'15 yr'!A413)</f>
        <v/>
      </c>
      <c r="B410" s="147" t="str">
        <f>IF('15 yr'!B413=0,"",'15 yr'!B413)</f>
        <v/>
      </c>
      <c r="C410" s="148" t="str">
        <f>IF('15 yr'!E413=0,"",'15 yr'!E413)</f>
        <v/>
      </c>
      <c r="D410" s="149" t="str">
        <f>IF('15 yr'!I413=0,"",'15 yr'!I413)</f>
        <v/>
      </c>
      <c r="E410" s="150" t="str">
        <f>IFERROR(IF('15 yr'!AF413=0,"",'15 yr'!AF413),"")</f>
        <v/>
      </c>
      <c r="F410" s="150" t="str">
        <f>IFERROR(IF('15 yr'!AH413=0,"",'15 yr'!AH413),"")</f>
        <v/>
      </c>
      <c r="G410" s="156" t="str">
        <f>IFERROR(IF('15 yr'!AI413=0,"",'15 yr'!AI413),"")</f>
        <v/>
      </c>
    </row>
    <row r="411" spans="1:7">
      <c r="A411" s="149" t="str">
        <f>IF('15 yr'!A414=0,"",'15 yr'!A414)</f>
        <v/>
      </c>
      <c r="B411" s="147" t="str">
        <f>IF('15 yr'!B414=0,"",'15 yr'!B414)</f>
        <v/>
      </c>
      <c r="C411" s="148" t="str">
        <f>IF('15 yr'!E414=0,"",'15 yr'!E414)</f>
        <v/>
      </c>
      <c r="D411" s="149" t="str">
        <f>IF('15 yr'!I414=0,"",'15 yr'!I414)</f>
        <v/>
      </c>
      <c r="E411" s="150" t="str">
        <f>IFERROR(IF('15 yr'!AF414=0,"",'15 yr'!AF414),"")</f>
        <v/>
      </c>
      <c r="F411" s="150" t="str">
        <f>IFERROR(IF('15 yr'!AH414=0,"",'15 yr'!AH414),"")</f>
        <v/>
      </c>
      <c r="G411" s="156" t="str">
        <f>IFERROR(IF('15 yr'!AI414=0,"",'15 yr'!AI414),"")</f>
        <v/>
      </c>
    </row>
    <row r="412" spans="1:7">
      <c r="A412" s="149" t="str">
        <f>IF('15 yr'!A415=0,"",'15 yr'!A415)</f>
        <v/>
      </c>
      <c r="B412" s="147" t="str">
        <f>IF('15 yr'!B415=0,"",'15 yr'!B415)</f>
        <v/>
      </c>
      <c r="C412" s="148" t="str">
        <f>IF('15 yr'!E415=0,"",'15 yr'!E415)</f>
        <v/>
      </c>
      <c r="D412" s="149" t="str">
        <f>IF('15 yr'!I415=0,"",'15 yr'!I415)</f>
        <v/>
      </c>
      <c r="E412" s="150" t="str">
        <f>IFERROR(IF('15 yr'!AF415=0,"",'15 yr'!AF415),"")</f>
        <v/>
      </c>
      <c r="F412" s="150" t="str">
        <f>IFERROR(IF('15 yr'!AH415=0,"",'15 yr'!AH415),"")</f>
        <v/>
      </c>
      <c r="G412" s="156" t="str">
        <f>IFERROR(IF('15 yr'!AI415=0,"",'15 yr'!AI415),"")</f>
        <v/>
      </c>
    </row>
    <row r="413" spans="1:7">
      <c r="A413" s="149" t="str">
        <f>IF('15 yr'!A416=0,"",'15 yr'!A416)</f>
        <v/>
      </c>
      <c r="B413" s="147" t="str">
        <f>IF('15 yr'!B416=0,"",'15 yr'!B416)</f>
        <v/>
      </c>
      <c r="C413" s="148" t="str">
        <f>IF('15 yr'!E416=0,"",'15 yr'!E416)</f>
        <v/>
      </c>
      <c r="D413" s="149" t="str">
        <f>IF('15 yr'!I416=0,"",'15 yr'!I416)</f>
        <v/>
      </c>
      <c r="E413" s="150" t="str">
        <f>IFERROR(IF('15 yr'!AF416=0,"",'15 yr'!AF416),"")</f>
        <v/>
      </c>
      <c r="F413" s="150" t="str">
        <f>IFERROR(IF('15 yr'!AH416=0,"",'15 yr'!AH416),"")</f>
        <v/>
      </c>
      <c r="G413" s="156" t="str">
        <f>IFERROR(IF('15 yr'!AI416=0,"",'15 yr'!AI416),"")</f>
        <v/>
      </c>
    </row>
    <row r="414" spans="1:7">
      <c r="A414" s="149" t="str">
        <f>IF('15 yr'!A417=0,"",'15 yr'!A417)</f>
        <v/>
      </c>
      <c r="B414" s="147" t="str">
        <f>IF('15 yr'!B417=0,"",'15 yr'!B417)</f>
        <v/>
      </c>
      <c r="C414" s="148" t="str">
        <f>IF('15 yr'!E417=0,"",'15 yr'!E417)</f>
        <v/>
      </c>
      <c r="D414" s="149" t="str">
        <f>IF('15 yr'!I417=0,"",'15 yr'!I417)</f>
        <v/>
      </c>
      <c r="E414" s="150" t="str">
        <f>IFERROR(IF('15 yr'!AF417=0,"",'15 yr'!AF417),"")</f>
        <v/>
      </c>
      <c r="F414" s="150" t="str">
        <f>IFERROR(IF('15 yr'!AH417=0,"",'15 yr'!AH417),"")</f>
        <v/>
      </c>
      <c r="G414" s="156" t="str">
        <f>IFERROR(IF('15 yr'!AI417=0,"",'15 yr'!AI417),"")</f>
        <v/>
      </c>
    </row>
    <row r="415" spans="1:7">
      <c r="A415" s="149" t="str">
        <f>IF('15 yr'!A418=0,"",'15 yr'!A418)</f>
        <v/>
      </c>
      <c r="B415" s="147" t="str">
        <f>IF('15 yr'!B418=0,"",'15 yr'!B418)</f>
        <v/>
      </c>
      <c r="C415" s="148" t="str">
        <f>IF('15 yr'!E418=0,"",'15 yr'!E418)</f>
        <v/>
      </c>
      <c r="D415" s="149" t="str">
        <f>IF('15 yr'!I418=0,"",'15 yr'!I418)</f>
        <v/>
      </c>
      <c r="E415" s="150" t="str">
        <f>IFERROR(IF('15 yr'!AF418=0,"",'15 yr'!AF418),"")</f>
        <v/>
      </c>
      <c r="F415" s="150" t="str">
        <f>IFERROR(IF('15 yr'!AH418=0,"",'15 yr'!AH418),"")</f>
        <v/>
      </c>
      <c r="G415" s="156" t="str">
        <f>IFERROR(IF('15 yr'!AI418=0,"",'15 yr'!AI418),"")</f>
        <v/>
      </c>
    </row>
    <row r="416" spans="1:7">
      <c r="A416" s="149" t="str">
        <f>IF('15 yr'!A419=0,"",'15 yr'!A419)</f>
        <v/>
      </c>
      <c r="B416" s="147" t="str">
        <f>IF('15 yr'!B419=0,"",'15 yr'!B419)</f>
        <v/>
      </c>
      <c r="C416" s="148" t="str">
        <f>IF('15 yr'!E419=0,"",'15 yr'!E419)</f>
        <v/>
      </c>
      <c r="D416" s="149" t="str">
        <f>IF('15 yr'!I419=0,"",'15 yr'!I419)</f>
        <v/>
      </c>
      <c r="E416" s="150" t="str">
        <f>IFERROR(IF('15 yr'!AF419=0,"",'15 yr'!AF419),"")</f>
        <v/>
      </c>
      <c r="F416" s="150" t="str">
        <f>IFERROR(IF('15 yr'!AH419=0,"",'15 yr'!AH419),"")</f>
        <v/>
      </c>
      <c r="G416" s="156" t="str">
        <f>IFERROR(IF('15 yr'!AI419=0,"",'15 yr'!AI419),"")</f>
        <v/>
      </c>
    </row>
    <row r="417" spans="1:7">
      <c r="A417" s="149" t="str">
        <f>IF('15 yr'!A420=0,"",'15 yr'!A420)</f>
        <v/>
      </c>
      <c r="B417" s="147" t="str">
        <f>IF('15 yr'!B420=0,"",'15 yr'!B420)</f>
        <v/>
      </c>
      <c r="C417" s="148" t="str">
        <f>IF('15 yr'!E420=0,"",'15 yr'!E420)</f>
        <v/>
      </c>
      <c r="D417" s="149" t="str">
        <f>IF('15 yr'!I420=0,"",'15 yr'!I420)</f>
        <v/>
      </c>
      <c r="E417" s="150" t="str">
        <f>IFERROR(IF('15 yr'!AF420=0,"",'15 yr'!AF420),"")</f>
        <v/>
      </c>
      <c r="F417" s="150" t="str">
        <f>IFERROR(IF('15 yr'!AH420=0,"",'15 yr'!AH420),"")</f>
        <v/>
      </c>
      <c r="G417" s="156" t="str">
        <f>IFERROR(IF('15 yr'!AI420=0,"",'15 yr'!AI420),"")</f>
        <v/>
      </c>
    </row>
    <row r="418" spans="1:7">
      <c r="A418" s="149" t="str">
        <f>IF('15 yr'!A421=0,"",'15 yr'!A421)</f>
        <v/>
      </c>
      <c r="B418" s="147" t="str">
        <f>IF('15 yr'!B421=0,"",'15 yr'!B421)</f>
        <v/>
      </c>
      <c r="C418" s="148" t="str">
        <f>IF('15 yr'!E421=0,"",'15 yr'!E421)</f>
        <v/>
      </c>
      <c r="D418" s="149" t="str">
        <f>IF('15 yr'!I421=0,"",'15 yr'!I421)</f>
        <v/>
      </c>
      <c r="E418" s="150" t="str">
        <f>IFERROR(IF('15 yr'!AF421=0,"",'15 yr'!AF421),"")</f>
        <v/>
      </c>
      <c r="F418" s="150" t="str">
        <f>IFERROR(IF('15 yr'!AH421=0,"",'15 yr'!AH421),"")</f>
        <v/>
      </c>
      <c r="G418" s="156" t="str">
        <f>IFERROR(IF('15 yr'!AI421=0,"",'15 yr'!AI421),"")</f>
        <v/>
      </c>
    </row>
    <row r="419" spans="1:7">
      <c r="A419" s="149" t="str">
        <f>IF('15 yr'!A422=0,"",'15 yr'!A422)</f>
        <v/>
      </c>
      <c r="B419" s="147" t="str">
        <f>IF('15 yr'!B422=0,"",'15 yr'!B422)</f>
        <v/>
      </c>
      <c r="C419" s="148" t="str">
        <f>IF('15 yr'!E422=0,"",'15 yr'!E422)</f>
        <v/>
      </c>
      <c r="D419" s="149" t="str">
        <f>IF('15 yr'!I422=0,"",'15 yr'!I422)</f>
        <v/>
      </c>
      <c r="E419" s="150" t="str">
        <f>IFERROR(IF('15 yr'!AF422=0,"",'15 yr'!AF422),"")</f>
        <v/>
      </c>
      <c r="F419" s="150" t="str">
        <f>IFERROR(IF('15 yr'!AH422=0,"",'15 yr'!AH422),"")</f>
        <v/>
      </c>
      <c r="G419" s="156" t="str">
        <f>IFERROR(IF('15 yr'!AI422=0,"",'15 yr'!AI422),"")</f>
        <v/>
      </c>
    </row>
    <row r="420" spans="1:7">
      <c r="A420" s="149" t="str">
        <f>IF('15 yr'!A423=0,"",'15 yr'!A423)</f>
        <v/>
      </c>
      <c r="B420" s="147" t="str">
        <f>IF('15 yr'!B423=0,"",'15 yr'!B423)</f>
        <v/>
      </c>
      <c r="C420" s="148" t="str">
        <f>IF('15 yr'!E423=0,"",'15 yr'!E423)</f>
        <v/>
      </c>
      <c r="D420" s="149" t="str">
        <f>IF('15 yr'!I423=0,"",'15 yr'!I423)</f>
        <v/>
      </c>
      <c r="E420" s="150" t="str">
        <f>IFERROR(IF('15 yr'!AF423=0,"",'15 yr'!AF423),"")</f>
        <v/>
      </c>
      <c r="F420" s="150" t="str">
        <f>IFERROR(IF('15 yr'!AH423=0,"",'15 yr'!AH423),"")</f>
        <v/>
      </c>
      <c r="G420" s="156" t="str">
        <f>IFERROR(IF('15 yr'!AI423=0,"",'15 yr'!AI423),"")</f>
        <v/>
      </c>
    </row>
    <row r="421" spans="1:7">
      <c r="A421" s="149" t="str">
        <f>IF('15 yr'!A424=0,"",'15 yr'!A424)</f>
        <v/>
      </c>
      <c r="B421" s="147" t="str">
        <f>IF('15 yr'!B424=0,"",'15 yr'!B424)</f>
        <v/>
      </c>
      <c r="C421" s="148" t="str">
        <f>IF('15 yr'!E424=0,"",'15 yr'!E424)</f>
        <v/>
      </c>
      <c r="D421" s="149" t="str">
        <f>IF('15 yr'!I424=0,"",'15 yr'!I424)</f>
        <v/>
      </c>
      <c r="E421" s="150" t="str">
        <f>IFERROR(IF('15 yr'!AF424=0,"",'15 yr'!AF424),"")</f>
        <v/>
      </c>
      <c r="F421" s="150" t="str">
        <f>IFERROR(IF('15 yr'!AH424=0,"",'15 yr'!AH424),"")</f>
        <v/>
      </c>
      <c r="G421" s="156" t="str">
        <f>IFERROR(IF('15 yr'!AI424=0,"",'15 yr'!AI424),"")</f>
        <v/>
      </c>
    </row>
    <row r="422" spans="1:7">
      <c r="A422" s="149" t="str">
        <f>IF('15 yr'!A425=0,"",'15 yr'!A425)</f>
        <v/>
      </c>
      <c r="B422" s="147" t="str">
        <f>IF('15 yr'!B425=0,"",'15 yr'!B425)</f>
        <v/>
      </c>
      <c r="C422" s="148" t="str">
        <f>IF('15 yr'!E425=0,"",'15 yr'!E425)</f>
        <v/>
      </c>
      <c r="D422" s="149" t="str">
        <f>IF('15 yr'!I425=0,"",'15 yr'!I425)</f>
        <v/>
      </c>
      <c r="E422" s="150" t="str">
        <f>IFERROR(IF('15 yr'!AF425=0,"",'15 yr'!AF425),"")</f>
        <v/>
      </c>
      <c r="F422" s="150" t="str">
        <f>IFERROR(IF('15 yr'!AH425=0,"",'15 yr'!AH425),"")</f>
        <v/>
      </c>
      <c r="G422" s="156" t="str">
        <f>IFERROR(IF('15 yr'!AI425=0,"",'15 yr'!AI425),"")</f>
        <v/>
      </c>
    </row>
    <row r="423" spans="1:7">
      <c r="A423" s="149" t="str">
        <f>IF('15 yr'!A426=0,"",'15 yr'!A426)</f>
        <v/>
      </c>
      <c r="B423" s="147" t="str">
        <f>IF('15 yr'!B426=0,"",'15 yr'!B426)</f>
        <v/>
      </c>
      <c r="C423" s="148" t="str">
        <f>IF('15 yr'!E426=0,"",'15 yr'!E426)</f>
        <v/>
      </c>
      <c r="D423" s="149" t="str">
        <f>IF('15 yr'!I426=0,"",'15 yr'!I426)</f>
        <v/>
      </c>
      <c r="E423" s="150" t="str">
        <f>IFERROR(IF('15 yr'!AF426=0,"",'15 yr'!AF426),"")</f>
        <v/>
      </c>
      <c r="F423" s="150" t="str">
        <f>IFERROR(IF('15 yr'!AH426=0,"",'15 yr'!AH426),"")</f>
        <v/>
      </c>
      <c r="G423" s="156" t="str">
        <f>IFERROR(IF('15 yr'!AI426=0,"",'15 yr'!AI426),"")</f>
        <v/>
      </c>
    </row>
    <row r="424" spans="1:7">
      <c r="A424" s="149" t="str">
        <f>IF('15 yr'!A427=0,"",'15 yr'!A427)</f>
        <v/>
      </c>
      <c r="B424" s="147" t="str">
        <f>IF('15 yr'!B427=0,"",'15 yr'!B427)</f>
        <v/>
      </c>
      <c r="C424" s="148" t="str">
        <f>IF('15 yr'!E427=0,"",'15 yr'!E427)</f>
        <v/>
      </c>
      <c r="D424" s="149" t="str">
        <f>IF('15 yr'!I427=0,"",'15 yr'!I427)</f>
        <v/>
      </c>
      <c r="E424" s="150" t="str">
        <f>IFERROR(IF('15 yr'!AF427=0,"",'15 yr'!AF427),"")</f>
        <v/>
      </c>
      <c r="F424" s="150" t="str">
        <f>IFERROR(IF('15 yr'!AH427=0,"",'15 yr'!AH427),"")</f>
        <v/>
      </c>
      <c r="G424" s="156" t="str">
        <f>IFERROR(IF('15 yr'!AI427=0,"",'15 yr'!AI427),"")</f>
        <v/>
      </c>
    </row>
    <row r="425" spans="1:7">
      <c r="A425" s="149" t="str">
        <f>IF('15 yr'!A428=0,"",'15 yr'!A428)</f>
        <v/>
      </c>
      <c r="B425" s="147" t="str">
        <f>IF('15 yr'!B428=0,"",'15 yr'!B428)</f>
        <v/>
      </c>
      <c r="C425" s="148" t="str">
        <f>IF('15 yr'!E428=0,"",'15 yr'!E428)</f>
        <v/>
      </c>
      <c r="D425" s="149" t="str">
        <f>IF('15 yr'!I428=0,"",'15 yr'!I428)</f>
        <v/>
      </c>
      <c r="E425" s="150" t="str">
        <f>IFERROR(IF('15 yr'!AF428=0,"",'15 yr'!AF428),"")</f>
        <v/>
      </c>
      <c r="F425" s="150" t="str">
        <f>IFERROR(IF('15 yr'!AH428=0,"",'15 yr'!AH428),"")</f>
        <v/>
      </c>
      <c r="G425" s="156" t="str">
        <f>IFERROR(IF('15 yr'!AI428=0,"",'15 yr'!AI428),"")</f>
        <v/>
      </c>
    </row>
    <row r="426" spans="1:7">
      <c r="A426" s="149" t="str">
        <f>IF('15 yr'!A429=0,"",'15 yr'!A429)</f>
        <v/>
      </c>
      <c r="B426" s="147" t="str">
        <f>IF('15 yr'!B429=0,"",'15 yr'!B429)</f>
        <v/>
      </c>
      <c r="C426" s="148" t="str">
        <f>IF('15 yr'!E429=0,"",'15 yr'!E429)</f>
        <v/>
      </c>
      <c r="D426" s="149" t="str">
        <f>IF('15 yr'!I429=0,"",'15 yr'!I429)</f>
        <v/>
      </c>
      <c r="E426" s="150" t="str">
        <f>IFERROR(IF('15 yr'!AF429=0,"",'15 yr'!AF429),"")</f>
        <v/>
      </c>
      <c r="F426" s="150" t="str">
        <f>IFERROR(IF('15 yr'!AH429=0,"",'15 yr'!AH429),"")</f>
        <v/>
      </c>
      <c r="G426" s="156" t="str">
        <f>IFERROR(IF('15 yr'!AI429=0,"",'15 yr'!AI429),"")</f>
        <v/>
      </c>
    </row>
    <row r="427" spans="1:7">
      <c r="A427" s="149" t="str">
        <f>IF('15 yr'!A430=0,"",'15 yr'!A430)</f>
        <v/>
      </c>
      <c r="B427" s="147" t="str">
        <f>IF('15 yr'!B430=0,"",'15 yr'!B430)</f>
        <v/>
      </c>
      <c r="C427" s="148" t="str">
        <f>IF('15 yr'!E430=0,"",'15 yr'!E430)</f>
        <v/>
      </c>
      <c r="D427" s="149" t="str">
        <f>IF('15 yr'!I430=0,"",'15 yr'!I430)</f>
        <v/>
      </c>
      <c r="E427" s="150" t="str">
        <f>IFERROR(IF('15 yr'!AF430=0,"",'15 yr'!AF430),"")</f>
        <v/>
      </c>
      <c r="F427" s="150" t="str">
        <f>IFERROR(IF('15 yr'!AH430=0,"",'15 yr'!AH430),"")</f>
        <v/>
      </c>
      <c r="G427" s="156" t="str">
        <f>IFERROR(IF('15 yr'!AI430=0,"",'15 yr'!AI430),"")</f>
        <v/>
      </c>
    </row>
    <row r="428" spans="1:7">
      <c r="A428" s="149" t="str">
        <f>IF('15 yr'!A431=0,"",'15 yr'!A431)</f>
        <v/>
      </c>
      <c r="B428" s="147" t="str">
        <f>IF('15 yr'!B431=0,"",'15 yr'!B431)</f>
        <v/>
      </c>
      <c r="C428" s="148" t="str">
        <f>IF('15 yr'!E431=0,"",'15 yr'!E431)</f>
        <v/>
      </c>
      <c r="D428" s="149" t="str">
        <f>IF('15 yr'!I431=0,"",'15 yr'!I431)</f>
        <v/>
      </c>
      <c r="E428" s="150" t="str">
        <f>IFERROR(IF('15 yr'!AF431=0,"",'15 yr'!AF431),"")</f>
        <v/>
      </c>
      <c r="F428" s="150" t="str">
        <f>IFERROR(IF('15 yr'!AH431=0,"",'15 yr'!AH431),"")</f>
        <v/>
      </c>
      <c r="G428" s="156" t="str">
        <f>IFERROR(IF('15 yr'!AI431=0,"",'15 yr'!AI431),"")</f>
        <v/>
      </c>
    </row>
    <row r="429" spans="1:7">
      <c r="A429" s="149" t="str">
        <f>IF('15 yr'!A432=0,"",'15 yr'!A432)</f>
        <v/>
      </c>
      <c r="B429" s="147" t="str">
        <f>IF('15 yr'!B432=0,"",'15 yr'!B432)</f>
        <v/>
      </c>
      <c r="C429" s="148" t="str">
        <f>IF('15 yr'!E432=0,"",'15 yr'!E432)</f>
        <v/>
      </c>
      <c r="D429" s="149" t="str">
        <f>IF('15 yr'!I432=0,"",'15 yr'!I432)</f>
        <v/>
      </c>
      <c r="E429" s="150" t="str">
        <f>IFERROR(IF('15 yr'!AF432=0,"",'15 yr'!AF432),"")</f>
        <v/>
      </c>
      <c r="F429" s="150" t="str">
        <f>IFERROR(IF('15 yr'!AH432=0,"",'15 yr'!AH432),"")</f>
        <v/>
      </c>
      <c r="G429" s="156" t="str">
        <f>IFERROR(IF('15 yr'!AI432=0,"",'15 yr'!AI432),"")</f>
        <v/>
      </c>
    </row>
    <row r="430" spans="1:7">
      <c r="A430" s="149" t="str">
        <f>IF('15 yr'!A433=0,"",'15 yr'!A433)</f>
        <v/>
      </c>
      <c r="B430" s="147" t="str">
        <f>IF('15 yr'!B433=0,"",'15 yr'!B433)</f>
        <v/>
      </c>
      <c r="C430" s="148" t="str">
        <f>IF('15 yr'!E433=0,"",'15 yr'!E433)</f>
        <v/>
      </c>
      <c r="D430" s="149" t="str">
        <f>IF('15 yr'!I433=0,"",'15 yr'!I433)</f>
        <v/>
      </c>
      <c r="E430" s="150" t="str">
        <f>IFERROR(IF('15 yr'!AF433=0,"",'15 yr'!AF433),"")</f>
        <v/>
      </c>
      <c r="F430" s="150" t="str">
        <f>IFERROR(IF('15 yr'!AH433=0,"",'15 yr'!AH433),"")</f>
        <v/>
      </c>
      <c r="G430" s="156" t="str">
        <f>IFERROR(IF('15 yr'!AI433=0,"",'15 yr'!AI433),"")</f>
        <v/>
      </c>
    </row>
    <row r="431" spans="1:7">
      <c r="A431" s="149" t="str">
        <f>IF('15 yr'!A434=0,"",'15 yr'!A434)</f>
        <v/>
      </c>
      <c r="B431" s="147" t="str">
        <f>IF('15 yr'!B434=0,"",'15 yr'!B434)</f>
        <v/>
      </c>
      <c r="C431" s="148" t="str">
        <f>IF('15 yr'!E434=0,"",'15 yr'!E434)</f>
        <v/>
      </c>
      <c r="D431" s="149" t="str">
        <f>IF('15 yr'!I434=0,"",'15 yr'!I434)</f>
        <v/>
      </c>
      <c r="E431" s="150" t="str">
        <f>IFERROR(IF('15 yr'!AF434=0,"",'15 yr'!AF434),"")</f>
        <v/>
      </c>
      <c r="F431" s="150" t="str">
        <f>IFERROR(IF('15 yr'!AH434=0,"",'15 yr'!AH434),"")</f>
        <v/>
      </c>
      <c r="G431" s="156" t="str">
        <f>IFERROR(IF('15 yr'!AI434=0,"",'15 yr'!AI434),"")</f>
        <v/>
      </c>
    </row>
    <row r="432" spans="1:7">
      <c r="A432" s="149" t="str">
        <f>IF('15 yr'!A435=0,"",'15 yr'!A435)</f>
        <v/>
      </c>
      <c r="B432" s="147" t="str">
        <f>IF('15 yr'!B435=0,"",'15 yr'!B435)</f>
        <v/>
      </c>
      <c r="C432" s="148" t="str">
        <f>IF('15 yr'!E435=0,"",'15 yr'!E435)</f>
        <v/>
      </c>
      <c r="D432" s="149" t="str">
        <f>IF('15 yr'!I435=0,"",'15 yr'!I435)</f>
        <v/>
      </c>
      <c r="E432" s="150" t="str">
        <f>IFERROR(IF('15 yr'!AF435=0,"",'15 yr'!AF435),"")</f>
        <v/>
      </c>
      <c r="F432" s="150" t="str">
        <f>IFERROR(IF('15 yr'!AH435=0,"",'15 yr'!AH435),"")</f>
        <v/>
      </c>
      <c r="G432" s="156" t="str">
        <f>IFERROR(IF('15 yr'!AI435=0,"",'15 yr'!AI435),"")</f>
        <v/>
      </c>
    </row>
    <row r="433" spans="1:7">
      <c r="A433" s="149" t="str">
        <f>IF('15 yr'!A436=0,"",'15 yr'!A436)</f>
        <v/>
      </c>
      <c r="B433" s="147" t="str">
        <f>IF('15 yr'!B436=0,"",'15 yr'!B436)</f>
        <v/>
      </c>
      <c r="C433" s="148" t="str">
        <f>IF('15 yr'!E436=0,"",'15 yr'!E436)</f>
        <v/>
      </c>
      <c r="D433" s="149" t="str">
        <f>IF('15 yr'!I436=0,"",'15 yr'!I436)</f>
        <v/>
      </c>
      <c r="E433" s="150" t="str">
        <f>IFERROR(IF('15 yr'!AF436=0,"",'15 yr'!AF436),"")</f>
        <v/>
      </c>
      <c r="F433" s="150" t="str">
        <f>IFERROR(IF('15 yr'!AH436=0,"",'15 yr'!AH436),"")</f>
        <v/>
      </c>
      <c r="G433" s="156" t="str">
        <f>IFERROR(IF('15 yr'!AI436=0,"",'15 yr'!AI436),"")</f>
        <v/>
      </c>
    </row>
    <row r="434" spans="1:7">
      <c r="A434" s="149" t="str">
        <f>IF('15 yr'!A437=0,"",'15 yr'!A437)</f>
        <v/>
      </c>
      <c r="B434" s="147" t="str">
        <f>IF('15 yr'!B437=0,"",'15 yr'!B437)</f>
        <v/>
      </c>
      <c r="C434" s="148" t="str">
        <f>IF('15 yr'!E437=0,"",'15 yr'!E437)</f>
        <v/>
      </c>
      <c r="D434" s="149" t="str">
        <f>IF('15 yr'!I437=0,"",'15 yr'!I437)</f>
        <v/>
      </c>
      <c r="E434" s="150" t="str">
        <f>IFERROR(IF('15 yr'!AF437=0,"",'15 yr'!AF437),"")</f>
        <v/>
      </c>
      <c r="F434" s="150" t="str">
        <f>IFERROR(IF('15 yr'!AH437=0,"",'15 yr'!AH437),"")</f>
        <v/>
      </c>
      <c r="G434" s="156" t="str">
        <f>IFERROR(IF('15 yr'!AI437=0,"",'15 yr'!AI437),"")</f>
        <v/>
      </c>
    </row>
    <row r="435" spans="1:7">
      <c r="A435" s="149" t="str">
        <f>IF('15 yr'!A438=0,"",'15 yr'!A438)</f>
        <v/>
      </c>
      <c r="B435" s="147" t="str">
        <f>IF('15 yr'!B438=0,"",'15 yr'!B438)</f>
        <v/>
      </c>
      <c r="C435" s="148" t="str">
        <f>IF('15 yr'!E438=0,"",'15 yr'!E438)</f>
        <v/>
      </c>
      <c r="D435" s="149" t="str">
        <f>IF('15 yr'!I438=0,"",'15 yr'!I438)</f>
        <v/>
      </c>
      <c r="E435" s="150" t="str">
        <f>IFERROR(IF('15 yr'!AF438=0,"",'15 yr'!AF438),"")</f>
        <v/>
      </c>
      <c r="F435" s="150" t="str">
        <f>IFERROR(IF('15 yr'!AH438=0,"",'15 yr'!AH438),"")</f>
        <v/>
      </c>
      <c r="G435" s="156" t="str">
        <f>IFERROR(IF('15 yr'!AI438=0,"",'15 yr'!AI438),"")</f>
        <v/>
      </c>
    </row>
    <row r="436" spans="1:7">
      <c r="A436" s="149" t="str">
        <f>IF('15 yr'!A439=0,"",'15 yr'!A439)</f>
        <v/>
      </c>
      <c r="B436" s="147" t="str">
        <f>IF('15 yr'!B439=0,"",'15 yr'!B439)</f>
        <v/>
      </c>
      <c r="C436" s="148" t="str">
        <f>IF('15 yr'!E439=0,"",'15 yr'!E439)</f>
        <v/>
      </c>
      <c r="D436" s="149" t="str">
        <f>IF('15 yr'!I439=0,"",'15 yr'!I439)</f>
        <v/>
      </c>
      <c r="E436" s="150" t="str">
        <f>IFERROR(IF('15 yr'!AF439=0,"",'15 yr'!AF439),"")</f>
        <v/>
      </c>
      <c r="F436" s="150" t="str">
        <f>IFERROR(IF('15 yr'!AH439=0,"",'15 yr'!AH439),"")</f>
        <v/>
      </c>
      <c r="G436" s="156" t="str">
        <f>IFERROR(IF('15 yr'!AI439=0,"",'15 yr'!AI439),"")</f>
        <v/>
      </c>
    </row>
    <row r="437" spans="1:7">
      <c r="A437" s="149" t="str">
        <f>IF('15 yr'!A440=0,"",'15 yr'!A440)</f>
        <v/>
      </c>
      <c r="B437" s="147" t="str">
        <f>IF('15 yr'!B440=0,"",'15 yr'!B440)</f>
        <v/>
      </c>
      <c r="C437" s="148" t="str">
        <f>IF('15 yr'!E440=0,"",'15 yr'!E440)</f>
        <v/>
      </c>
      <c r="D437" s="149" t="str">
        <f>IF('15 yr'!I440=0,"",'15 yr'!I440)</f>
        <v/>
      </c>
      <c r="E437" s="150" t="str">
        <f>IFERROR(IF('15 yr'!AF440=0,"",'15 yr'!AF440),"")</f>
        <v/>
      </c>
      <c r="F437" s="150" t="str">
        <f>IFERROR(IF('15 yr'!AH440=0,"",'15 yr'!AH440),"")</f>
        <v/>
      </c>
      <c r="G437" s="156" t="str">
        <f>IFERROR(IF('15 yr'!AI440=0,"",'15 yr'!AI440),"")</f>
        <v/>
      </c>
    </row>
    <row r="438" spans="1:7">
      <c r="A438" s="149" t="str">
        <f>IF('15 yr'!A441=0,"",'15 yr'!A441)</f>
        <v/>
      </c>
      <c r="B438" s="147" t="str">
        <f>IF('15 yr'!B441=0,"",'15 yr'!B441)</f>
        <v/>
      </c>
      <c r="C438" s="148" t="str">
        <f>IF('15 yr'!E441=0,"",'15 yr'!E441)</f>
        <v/>
      </c>
      <c r="D438" s="149" t="str">
        <f>IF('15 yr'!I441=0,"",'15 yr'!I441)</f>
        <v/>
      </c>
      <c r="E438" s="150" t="str">
        <f>IFERROR(IF('15 yr'!AF441=0,"",'15 yr'!AF441),"")</f>
        <v/>
      </c>
      <c r="F438" s="150" t="str">
        <f>IFERROR(IF('15 yr'!AH441=0,"",'15 yr'!AH441),"")</f>
        <v/>
      </c>
      <c r="G438" s="156" t="str">
        <f>IFERROR(IF('15 yr'!AI441=0,"",'15 yr'!AI441),"")</f>
        <v/>
      </c>
    </row>
    <row r="439" spans="1:7">
      <c r="A439" s="149" t="str">
        <f>IF('15 yr'!A442=0,"",'15 yr'!A442)</f>
        <v/>
      </c>
      <c r="B439" s="147" t="str">
        <f>IF('15 yr'!B442=0,"",'15 yr'!B442)</f>
        <v/>
      </c>
      <c r="C439" s="148" t="str">
        <f>IF('15 yr'!E442=0,"",'15 yr'!E442)</f>
        <v/>
      </c>
      <c r="D439" s="149" t="str">
        <f>IF('15 yr'!I442=0,"",'15 yr'!I442)</f>
        <v/>
      </c>
      <c r="E439" s="150" t="str">
        <f>IFERROR(IF('15 yr'!AF442=0,"",'15 yr'!AF442),"")</f>
        <v/>
      </c>
      <c r="F439" s="150" t="str">
        <f>IFERROR(IF('15 yr'!AH442=0,"",'15 yr'!AH442),"")</f>
        <v/>
      </c>
      <c r="G439" s="156" t="str">
        <f>IFERROR(IF('15 yr'!AI442=0,"",'15 yr'!AI442),"")</f>
        <v/>
      </c>
    </row>
    <row r="440" spans="1:7">
      <c r="A440" s="149" t="str">
        <f>IF('15 yr'!A443=0,"",'15 yr'!A443)</f>
        <v/>
      </c>
      <c r="B440" s="147" t="str">
        <f>IF('15 yr'!B443=0,"",'15 yr'!B443)</f>
        <v/>
      </c>
      <c r="C440" s="148" t="str">
        <f>IF('15 yr'!E443=0,"",'15 yr'!E443)</f>
        <v/>
      </c>
      <c r="D440" s="149" t="str">
        <f>IF('15 yr'!I443=0,"",'15 yr'!I443)</f>
        <v/>
      </c>
      <c r="E440" s="150" t="str">
        <f>IFERROR(IF('15 yr'!AF443=0,"",'15 yr'!AF443),"")</f>
        <v/>
      </c>
      <c r="F440" s="150" t="str">
        <f>IFERROR(IF('15 yr'!AH443=0,"",'15 yr'!AH443),"")</f>
        <v/>
      </c>
      <c r="G440" s="156" t="str">
        <f>IFERROR(IF('15 yr'!AI443=0,"",'15 yr'!AI443),"")</f>
        <v/>
      </c>
    </row>
    <row r="441" spans="1:7">
      <c r="A441" s="149" t="str">
        <f>IF('15 yr'!A444=0,"",'15 yr'!A444)</f>
        <v/>
      </c>
      <c r="B441" s="147" t="str">
        <f>IF('15 yr'!B444=0,"",'15 yr'!B444)</f>
        <v/>
      </c>
      <c r="C441" s="148" t="str">
        <f>IF('15 yr'!E444=0,"",'15 yr'!E444)</f>
        <v/>
      </c>
      <c r="D441" s="149" t="str">
        <f>IF('15 yr'!I444=0,"",'15 yr'!I444)</f>
        <v/>
      </c>
      <c r="E441" s="150" t="str">
        <f>IFERROR(IF('15 yr'!AF444=0,"",'15 yr'!AF444),"")</f>
        <v/>
      </c>
      <c r="F441" s="150" t="str">
        <f>IFERROR(IF('15 yr'!AH444=0,"",'15 yr'!AH444),"")</f>
        <v/>
      </c>
      <c r="G441" s="156" t="str">
        <f>IFERROR(IF('15 yr'!AI444=0,"",'15 yr'!AI444),"")</f>
        <v/>
      </c>
    </row>
    <row r="442" spans="1:7">
      <c r="A442" s="149" t="str">
        <f>IF('15 yr'!A445=0,"",'15 yr'!A445)</f>
        <v/>
      </c>
      <c r="B442" s="147" t="str">
        <f>IF('15 yr'!B445=0,"",'15 yr'!B445)</f>
        <v/>
      </c>
      <c r="C442" s="148" t="str">
        <f>IF('15 yr'!E445=0,"",'15 yr'!E445)</f>
        <v/>
      </c>
      <c r="D442" s="149" t="str">
        <f>IF('15 yr'!I445=0,"",'15 yr'!I445)</f>
        <v/>
      </c>
      <c r="E442" s="150" t="str">
        <f>IFERROR(IF('15 yr'!AF445=0,"",'15 yr'!AF445),"")</f>
        <v/>
      </c>
      <c r="F442" s="150" t="str">
        <f>IFERROR(IF('15 yr'!AH445=0,"",'15 yr'!AH445),"")</f>
        <v/>
      </c>
      <c r="G442" s="156" t="str">
        <f>IFERROR(IF('15 yr'!AI445=0,"",'15 yr'!AI445),"")</f>
        <v/>
      </c>
    </row>
    <row r="443" spans="1:7">
      <c r="A443" s="149" t="str">
        <f>IF('15 yr'!A446=0,"",'15 yr'!A446)</f>
        <v/>
      </c>
      <c r="B443" s="147" t="str">
        <f>IF('15 yr'!B446=0,"",'15 yr'!B446)</f>
        <v/>
      </c>
      <c r="C443" s="148" t="str">
        <f>IF('15 yr'!E446=0,"",'15 yr'!E446)</f>
        <v/>
      </c>
      <c r="D443" s="149" t="str">
        <f>IF('15 yr'!I446=0,"",'15 yr'!I446)</f>
        <v/>
      </c>
      <c r="E443" s="150" t="str">
        <f>IFERROR(IF('15 yr'!AF446=0,"",'15 yr'!AF446),"")</f>
        <v/>
      </c>
      <c r="F443" s="150" t="str">
        <f>IFERROR(IF('15 yr'!AH446=0,"",'15 yr'!AH446),"")</f>
        <v/>
      </c>
      <c r="G443" s="156" t="str">
        <f>IFERROR(IF('15 yr'!AI446=0,"",'15 yr'!AI446),"")</f>
        <v/>
      </c>
    </row>
    <row r="444" spans="1:7">
      <c r="A444" s="149" t="str">
        <f>IF('15 yr'!A447=0,"",'15 yr'!A447)</f>
        <v/>
      </c>
      <c r="B444" s="147" t="str">
        <f>IF('15 yr'!B447=0,"",'15 yr'!B447)</f>
        <v/>
      </c>
      <c r="C444" s="148" t="str">
        <f>IF('15 yr'!E447=0,"",'15 yr'!E447)</f>
        <v/>
      </c>
      <c r="D444" s="149" t="str">
        <f>IF('15 yr'!I447=0,"",'15 yr'!I447)</f>
        <v/>
      </c>
      <c r="E444" s="150" t="str">
        <f>IFERROR(IF('15 yr'!AF447=0,"",'15 yr'!AF447),"")</f>
        <v/>
      </c>
      <c r="F444" s="150" t="str">
        <f>IFERROR(IF('15 yr'!AH447=0,"",'15 yr'!AH447),"")</f>
        <v/>
      </c>
      <c r="G444" s="156" t="str">
        <f>IFERROR(IF('15 yr'!AI447=0,"",'15 yr'!AI447),"")</f>
        <v/>
      </c>
    </row>
    <row r="445" spans="1:7">
      <c r="A445" s="149" t="str">
        <f>IF('15 yr'!A448=0,"",'15 yr'!A448)</f>
        <v/>
      </c>
      <c r="B445" s="147" t="str">
        <f>IF('15 yr'!B448=0,"",'15 yr'!B448)</f>
        <v/>
      </c>
      <c r="C445" s="148" t="str">
        <f>IF('15 yr'!E448=0,"",'15 yr'!E448)</f>
        <v/>
      </c>
      <c r="D445" s="149" t="str">
        <f>IF('15 yr'!I448=0,"",'15 yr'!I448)</f>
        <v/>
      </c>
      <c r="E445" s="150" t="str">
        <f>IFERROR(IF('15 yr'!AF448=0,"",'15 yr'!AF448),"")</f>
        <v/>
      </c>
      <c r="F445" s="150" t="str">
        <f>IFERROR(IF('15 yr'!AH448=0,"",'15 yr'!AH448),"")</f>
        <v/>
      </c>
      <c r="G445" s="156" t="str">
        <f>IFERROR(IF('15 yr'!AI448=0,"",'15 yr'!AI448),"")</f>
        <v/>
      </c>
    </row>
    <row r="446" spans="1:7">
      <c r="A446" s="149" t="str">
        <f>IF('15 yr'!A449=0,"",'15 yr'!A449)</f>
        <v/>
      </c>
      <c r="B446" s="147" t="str">
        <f>IF('15 yr'!B449=0,"",'15 yr'!B449)</f>
        <v/>
      </c>
      <c r="C446" s="148" t="str">
        <f>IF('15 yr'!E449=0,"",'15 yr'!E449)</f>
        <v/>
      </c>
      <c r="D446" s="149" t="str">
        <f>IF('15 yr'!I449=0,"",'15 yr'!I449)</f>
        <v/>
      </c>
      <c r="E446" s="150" t="str">
        <f>IFERROR(IF('15 yr'!AF449=0,"",'15 yr'!AF449),"")</f>
        <v/>
      </c>
      <c r="F446" s="150" t="str">
        <f>IFERROR(IF('15 yr'!AH449=0,"",'15 yr'!AH449),"")</f>
        <v/>
      </c>
      <c r="G446" s="156" t="str">
        <f>IFERROR(IF('15 yr'!AI449=0,"",'15 yr'!AI449),"")</f>
        <v/>
      </c>
    </row>
    <row r="447" spans="1:7">
      <c r="A447" s="149" t="str">
        <f>IF('15 yr'!A450=0,"",'15 yr'!A450)</f>
        <v/>
      </c>
      <c r="B447" s="147" t="str">
        <f>IF('15 yr'!B450=0,"",'15 yr'!B450)</f>
        <v/>
      </c>
      <c r="C447" s="148" t="str">
        <f>IF('15 yr'!E450=0,"",'15 yr'!E450)</f>
        <v/>
      </c>
      <c r="D447" s="149" t="str">
        <f>IF('15 yr'!I450=0,"",'15 yr'!I450)</f>
        <v/>
      </c>
      <c r="E447" s="150" t="str">
        <f>IFERROR(IF('15 yr'!AF450=0,"",'15 yr'!AF450),"")</f>
        <v/>
      </c>
      <c r="F447" s="150" t="str">
        <f>IFERROR(IF('15 yr'!AH450=0,"",'15 yr'!AH450),"")</f>
        <v/>
      </c>
      <c r="G447" s="156" t="str">
        <f>IFERROR(IF('15 yr'!AI450=0,"",'15 yr'!AI450),"")</f>
        <v/>
      </c>
    </row>
    <row r="448" spans="1:7">
      <c r="A448" s="149" t="str">
        <f>IF('15 yr'!A451=0,"",'15 yr'!A451)</f>
        <v/>
      </c>
      <c r="B448" s="147" t="str">
        <f>IF('15 yr'!B451=0,"",'15 yr'!B451)</f>
        <v/>
      </c>
      <c r="C448" s="148" t="str">
        <f>IF('15 yr'!E451=0,"",'15 yr'!E451)</f>
        <v/>
      </c>
      <c r="D448" s="149" t="str">
        <f>IF('15 yr'!I451=0,"",'15 yr'!I451)</f>
        <v/>
      </c>
      <c r="E448" s="150" t="str">
        <f>IFERROR(IF('15 yr'!AF451=0,"",'15 yr'!AF451),"")</f>
        <v/>
      </c>
      <c r="F448" s="150" t="str">
        <f>IFERROR(IF('15 yr'!AH451=0,"",'15 yr'!AH451),"")</f>
        <v/>
      </c>
      <c r="G448" s="156" t="str">
        <f>IFERROR(IF('15 yr'!AI451=0,"",'15 yr'!AI451),"")</f>
        <v/>
      </c>
    </row>
    <row r="449" spans="1:7">
      <c r="A449" s="149" t="str">
        <f>IF('15 yr'!A452=0,"",'15 yr'!A452)</f>
        <v/>
      </c>
      <c r="B449" s="147" t="str">
        <f>IF('15 yr'!B452=0,"",'15 yr'!B452)</f>
        <v/>
      </c>
      <c r="C449" s="148" t="str">
        <f>IF('15 yr'!E452=0,"",'15 yr'!E452)</f>
        <v/>
      </c>
      <c r="D449" s="149" t="str">
        <f>IF('15 yr'!I452=0,"",'15 yr'!I452)</f>
        <v/>
      </c>
      <c r="E449" s="150" t="str">
        <f>IFERROR(IF('15 yr'!AF452=0,"",'15 yr'!AF452),"")</f>
        <v/>
      </c>
      <c r="F449" s="150" t="str">
        <f>IFERROR(IF('15 yr'!AH452=0,"",'15 yr'!AH452),"")</f>
        <v/>
      </c>
      <c r="G449" s="156" t="str">
        <f>IFERROR(IF('15 yr'!AI452=0,"",'15 yr'!AI452),"")</f>
        <v/>
      </c>
    </row>
    <row r="450" spans="1:7">
      <c r="A450" s="149" t="str">
        <f>IF('15 yr'!A453=0,"",'15 yr'!A453)</f>
        <v/>
      </c>
      <c r="B450" s="147" t="str">
        <f>IF('15 yr'!B453=0,"",'15 yr'!B453)</f>
        <v/>
      </c>
      <c r="C450" s="148" t="str">
        <f>IF('15 yr'!E453=0,"",'15 yr'!E453)</f>
        <v/>
      </c>
      <c r="D450" s="149" t="str">
        <f>IF('15 yr'!I453=0,"",'15 yr'!I453)</f>
        <v/>
      </c>
      <c r="E450" s="150" t="str">
        <f>IFERROR(IF('15 yr'!AF453=0,"",'15 yr'!AF453),"")</f>
        <v/>
      </c>
      <c r="F450" s="150" t="str">
        <f>IFERROR(IF('15 yr'!AH453=0,"",'15 yr'!AH453),"")</f>
        <v/>
      </c>
      <c r="G450" s="156" t="str">
        <f>IFERROR(IF('15 yr'!AI453=0,"",'15 yr'!AI453),"")</f>
        <v/>
      </c>
    </row>
    <row r="451" spans="1:7">
      <c r="A451" s="149" t="str">
        <f>IF('15 yr'!A454=0,"",'15 yr'!A454)</f>
        <v/>
      </c>
      <c r="B451" s="147" t="str">
        <f>IF('15 yr'!B454=0,"",'15 yr'!B454)</f>
        <v/>
      </c>
      <c r="C451" s="148" t="str">
        <f>IF('15 yr'!E454=0,"",'15 yr'!E454)</f>
        <v/>
      </c>
      <c r="D451" s="149" t="str">
        <f>IF('15 yr'!I454=0,"",'15 yr'!I454)</f>
        <v/>
      </c>
      <c r="E451" s="150" t="str">
        <f>IFERROR(IF('15 yr'!AF454=0,"",'15 yr'!AF454),"")</f>
        <v/>
      </c>
      <c r="F451" s="150" t="str">
        <f>IFERROR(IF('15 yr'!AH454=0,"",'15 yr'!AH454),"")</f>
        <v/>
      </c>
      <c r="G451" s="156" t="str">
        <f>IFERROR(IF('15 yr'!AI454=0,"",'15 yr'!AI454),"")</f>
        <v/>
      </c>
    </row>
    <row r="452" spans="1:7">
      <c r="A452" s="149" t="str">
        <f>IF('15 yr'!A455=0,"",'15 yr'!A455)</f>
        <v/>
      </c>
      <c r="B452" s="147" t="str">
        <f>IF('15 yr'!B455=0,"",'15 yr'!B455)</f>
        <v/>
      </c>
      <c r="C452" s="148" t="str">
        <f>IF('15 yr'!E455=0,"",'15 yr'!E455)</f>
        <v/>
      </c>
      <c r="D452" s="149" t="str">
        <f>IF('15 yr'!I455=0,"",'15 yr'!I455)</f>
        <v/>
      </c>
      <c r="E452" s="150" t="str">
        <f>IFERROR(IF('15 yr'!AF455=0,"",'15 yr'!AF455),"")</f>
        <v/>
      </c>
      <c r="F452" s="150" t="str">
        <f>IFERROR(IF('15 yr'!AH455=0,"",'15 yr'!AH455),"")</f>
        <v/>
      </c>
      <c r="G452" s="156" t="str">
        <f>IFERROR(IF('15 yr'!AI455=0,"",'15 yr'!AI455),"")</f>
        <v/>
      </c>
    </row>
    <row r="453" spans="1:7">
      <c r="A453" s="149" t="str">
        <f>IF('15 yr'!A456=0,"",'15 yr'!A456)</f>
        <v/>
      </c>
      <c r="B453" s="147" t="str">
        <f>IF('15 yr'!B456=0,"",'15 yr'!B456)</f>
        <v/>
      </c>
      <c r="C453" s="148" t="str">
        <f>IF('15 yr'!E456=0,"",'15 yr'!E456)</f>
        <v/>
      </c>
      <c r="D453" s="149" t="str">
        <f>IF('15 yr'!I456=0,"",'15 yr'!I456)</f>
        <v/>
      </c>
      <c r="E453" s="150" t="str">
        <f>IFERROR(IF('15 yr'!AF456=0,"",'15 yr'!AF456),"")</f>
        <v/>
      </c>
      <c r="F453" s="150" t="str">
        <f>IFERROR(IF('15 yr'!AH456=0,"",'15 yr'!AH456),"")</f>
        <v/>
      </c>
      <c r="G453" s="156" t="str">
        <f>IFERROR(IF('15 yr'!AI456=0,"",'15 yr'!AI456),"")</f>
        <v/>
      </c>
    </row>
    <row r="454" spans="1:7">
      <c r="A454" s="149" t="str">
        <f>IF('15 yr'!A457=0,"",'15 yr'!A457)</f>
        <v/>
      </c>
      <c r="B454" s="147" t="str">
        <f>IF('15 yr'!B457=0,"",'15 yr'!B457)</f>
        <v/>
      </c>
      <c r="C454" s="148" t="str">
        <f>IF('15 yr'!E457=0,"",'15 yr'!E457)</f>
        <v/>
      </c>
      <c r="D454" s="149" t="str">
        <f>IF('15 yr'!I457=0,"",'15 yr'!I457)</f>
        <v/>
      </c>
      <c r="E454" s="150" t="str">
        <f>IFERROR(IF('15 yr'!AF457=0,"",'15 yr'!AF457),"")</f>
        <v/>
      </c>
      <c r="F454" s="150" t="str">
        <f>IFERROR(IF('15 yr'!AH457=0,"",'15 yr'!AH457),"")</f>
        <v/>
      </c>
      <c r="G454" s="156" t="str">
        <f>IFERROR(IF('15 yr'!AI457=0,"",'15 yr'!AI457),"")</f>
        <v/>
      </c>
    </row>
    <row r="455" spans="1:7">
      <c r="A455" s="149" t="str">
        <f>IF('15 yr'!A458=0,"",'15 yr'!A458)</f>
        <v/>
      </c>
      <c r="B455" s="147" t="str">
        <f>IF('15 yr'!B458=0,"",'15 yr'!B458)</f>
        <v/>
      </c>
      <c r="C455" s="148" t="str">
        <f>IF('15 yr'!E458=0,"",'15 yr'!E458)</f>
        <v/>
      </c>
      <c r="D455" s="149" t="str">
        <f>IF('15 yr'!I458=0,"",'15 yr'!I458)</f>
        <v/>
      </c>
      <c r="E455" s="150" t="str">
        <f>IFERROR(IF('15 yr'!AF458=0,"",'15 yr'!AF458),"")</f>
        <v/>
      </c>
      <c r="F455" s="150" t="str">
        <f>IFERROR(IF('15 yr'!AH458=0,"",'15 yr'!AH458),"")</f>
        <v/>
      </c>
      <c r="G455" s="156" t="str">
        <f>IFERROR(IF('15 yr'!AI458=0,"",'15 yr'!AI458),"")</f>
        <v/>
      </c>
    </row>
    <row r="456" spans="1:7">
      <c r="A456" s="149" t="str">
        <f>IF('15 yr'!A459=0,"",'15 yr'!A459)</f>
        <v/>
      </c>
      <c r="B456" s="147" t="str">
        <f>IF('15 yr'!B459=0,"",'15 yr'!B459)</f>
        <v/>
      </c>
      <c r="C456" s="148" t="str">
        <f>IF('15 yr'!E459=0,"",'15 yr'!E459)</f>
        <v/>
      </c>
      <c r="D456" s="149" t="str">
        <f>IF('15 yr'!I459=0,"",'15 yr'!I459)</f>
        <v/>
      </c>
      <c r="E456" s="150" t="str">
        <f>IFERROR(IF('15 yr'!AF459=0,"",'15 yr'!AF459),"")</f>
        <v/>
      </c>
      <c r="F456" s="150" t="str">
        <f>IFERROR(IF('15 yr'!AH459=0,"",'15 yr'!AH459),"")</f>
        <v/>
      </c>
      <c r="G456" s="156" t="str">
        <f>IFERROR(IF('15 yr'!AI459=0,"",'15 yr'!AI459),"")</f>
        <v/>
      </c>
    </row>
    <row r="457" spans="1:7">
      <c r="A457" s="149" t="str">
        <f>IF('15 yr'!A460=0,"",'15 yr'!A460)</f>
        <v/>
      </c>
      <c r="B457" s="147" t="str">
        <f>IF('15 yr'!B460=0,"",'15 yr'!B460)</f>
        <v/>
      </c>
      <c r="C457" s="148" t="str">
        <f>IF('15 yr'!E460=0,"",'15 yr'!E460)</f>
        <v/>
      </c>
      <c r="D457" s="149" t="str">
        <f>IF('15 yr'!I460=0,"",'15 yr'!I460)</f>
        <v/>
      </c>
      <c r="E457" s="150" t="str">
        <f>IFERROR(IF('15 yr'!AF460=0,"",'15 yr'!AF460),"")</f>
        <v/>
      </c>
      <c r="F457" s="150" t="str">
        <f>IFERROR(IF('15 yr'!AH460=0,"",'15 yr'!AH460),"")</f>
        <v/>
      </c>
      <c r="G457" s="156" t="str">
        <f>IFERROR(IF('15 yr'!AI460=0,"",'15 yr'!AI460),"")</f>
        <v/>
      </c>
    </row>
    <row r="458" spans="1:7">
      <c r="A458" s="149" t="str">
        <f>IF('15 yr'!A461=0,"",'15 yr'!A461)</f>
        <v/>
      </c>
      <c r="B458" s="147" t="str">
        <f>IF('15 yr'!B461=0,"",'15 yr'!B461)</f>
        <v/>
      </c>
      <c r="C458" s="148" t="str">
        <f>IF('15 yr'!E461=0,"",'15 yr'!E461)</f>
        <v/>
      </c>
      <c r="D458" s="149" t="str">
        <f>IF('15 yr'!I461=0,"",'15 yr'!I461)</f>
        <v/>
      </c>
      <c r="E458" s="150" t="str">
        <f>IFERROR(IF('15 yr'!AF461=0,"",'15 yr'!AF461),"")</f>
        <v/>
      </c>
      <c r="F458" s="150" t="str">
        <f>IFERROR(IF('15 yr'!AH461=0,"",'15 yr'!AH461),"")</f>
        <v/>
      </c>
      <c r="G458" s="156" t="str">
        <f>IFERROR(IF('15 yr'!AI461=0,"",'15 yr'!AI461),"")</f>
        <v/>
      </c>
    </row>
    <row r="459" spans="1:7">
      <c r="A459" s="149" t="str">
        <f>IF('15 yr'!A462=0,"",'15 yr'!A462)</f>
        <v/>
      </c>
      <c r="B459" s="147" t="str">
        <f>IF('15 yr'!B462=0,"",'15 yr'!B462)</f>
        <v/>
      </c>
      <c r="C459" s="148" t="str">
        <f>IF('15 yr'!E462=0,"",'15 yr'!E462)</f>
        <v/>
      </c>
      <c r="D459" s="149" t="str">
        <f>IF('15 yr'!I462=0,"",'15 yr'!I462)</f>
        <v/>
      </c>
      <c r="E459" s="150" t="str">
        <f>IFERROR(IF('15 yr'!AF462=0,"",'15 yr'!AF462),"")</f>
        <v/>
      </c>
      <c r="F459" s="150" t="str">
        <f>IFERROR(IF('15 yr'!AH462=0,"",'15 yr'!AH462),"")</f>
        <v/>
      </c>
      <c r="G459" s="156" t="str">
        <f>IFERROR(IF('15 yr'!AI462=0,"",'15 yr'!AI462),"")</f>
        <v/>
      </c>
    </row>
    <row r="460" spans="1:7">
      <c r="A460" s="149" t="str">
        <f>IF('15 yr'!A463=0,"",'15 yr'!A463)</f>
        <v/>
      </c>
      <c r="B460" s="147" t="str">
        <f>IF('15 yr'!B463=0,"",'15 yr'!B463)</f>
        <v/>
      </c>
      <c r="C460" s="148" t="str">
        <f>IF('15 yr'!E463=0,"",'15 yr'!E463)</f>
        <v/>
      </c>
      <c r="D460" s="149" t="str">
        <f>IF('15 yr'!I463=0,"",'15 yr'!I463)</f>
        <v/>
      </c>
      <c r="E460" s="150" t="str">
        <f>IFERROR(IF('15 yr'!AF463=0,"",'15 yr'!AF463),"")</f>
        <v/>
      </c>
      <c r="F460" s="150" t="str">
        <f>IFERROR(IF('15 yr'!AH463=0,"",'15 yr'!AH463),"")</f>
        <v/>
      </c>
      <c r="G460" s="156" t="str">
        <f>IFERROR(IF('15 yr'!AI463=0,"",'15 yr'!AI463),"")</f>
        <v/>
      </c>
    </row>
    <row r="461" spans="1:7">
      <c r="A461" s="149" t="str">
        <f>IF('15 yr'!A464=0,"",'15 yr'!A464)</f>
        <v/>
      </c>
      <c r="B461" s="147" t="str">
        <f>IF('15 yr'!B464=0,"",'15 yr'!B464)</f>
        <v/>
      </c>
      <c r="C461" s="148" t="str">
        <f>IF('15 yr'!E464=0,"",'15 yr'!E464)</f>
        <v/>
      </c>
      <c r="D461" s="149" t="str">
        <f>IF('15 yr'!I464=0,"",'15 yr'!I464)</f>
        <v/>
      </c>
      <c r="E461" s="150" t="str">
        <f>IFERROR(IF('15 yr'!AF464=0,"",'15 yr'!AF464),"")</f>
        <v/>
      </c>
      <c r="F461" s="150" t="str">
        <f>IFERROR(IF('15 yr'!AH464=0,"",'15 yr'!AH464),"")</f>
        <v/>
      </c>
      <c r="G461" s="156" t="str">
        <f>IFERROR(IF('15 yr'!AI464=0,"",'15 yr'!AI464),"")</f>
        <v/>
      </c>
    </row>
    <row r="462" spans="1:7">
      <c r="A462" s="149" t="str">
        <f>IF('15 yr'!A465=0,"",'15 yr'!A465)</f>
        <v/>
      </c>
      <c r="B462" s="147" t="str">
        <f>IF('15 yr'!B465=0,"",'15 yr'!B465)</f>
        <v/>
      </c>
      <c r="C462" s="148" t="str">
        <f>IF('15 yr'!E465=0,"",'15 yr'!E465)</f>
        <v/>
      </c>
      <c r="D462" s="149" t="str">
        <f>IF('15 yr'!I465=0,"",'15 yr'!I465)</f>
        <v/>
      </c>
      <c r="E462" s="150" t="str">
        <f>IFERROR(IF('15 yr'!AF465=0,"",'15 yr'!AF465),"")</f>
        <v/>
      </c>
      <c r="F462" s="150" t="str">
        <f>IFERROR(IF('15 yr'!AH465=0,"",'15 yr'!AH465),"")</f>
        <v/>
      </c>
      <c r="G462" s="156" t="str">
        <f>IFERROR(IF('15 yr'!AI465=0,"",'15 yr'!AI465),"")</f>
        <v/>
      </c>
    </row>
    <row r="463" spans="1:7">
      <c r="A463" s="149" t="str">
        <f>IF('15 yr'!A466=0,"",'15 yr'!A466)</f>
        <v/>
      </c>
      <c r="B463" s="147" t="str">
        <f>IF('15 yr'!B466=0,"",'15 yr'!B466)</f>
        <v/>
      </c>
      <c r="C463" s="148" t="str">
        <f>IF('15 yr'!E466=0,"",'15 yr'!E466)</f>
        <v/>
      </c>
      <c r="D463" s="149" t="str">
        <f>IF('15 yr'!I466=0,"",'15 yr'!I466)</f>
        <v/>
      </c>
      <c r="E463" s="150" t="str">
        <f>IFERROR(IF('15 yr'!AF466=0,"",'15 yr'!AF466),"")</f>
        <v/>
      </c>
      <c r="F463" s="150" t="str">
        <f>IFERROR(IF('15 yr'!AH466=0,"",'15 yr'!AH466),"")</f>
        <v/>
      </c>
      <c r="G463" s="156" t="str">
        <f>IFERROR(IF('15 yr'!AI466=0,"",'15 yr'!AI466),"")</f>
        <v/>
      </c>
    </row>
    <row r="464" spans="1:7">
      <c r="A464" s="149" t="str">
        <f>IF('15 yr'!A467=0,"",'15 yr'!A467)</f>
        <v/>
      </c>
      <c r="B464" s="147" t="str">
        <f>IF('15 yr'!B467=0,"",'15 yr'!B467)</f>
        <v/>
      </c>
      <c r="C464" s="148" t="str">
        <f>IF('15 yr'!E467=0,"",'15 yr'!E467)</f>
        <v/>
      </c>
      <c r="D464" s="149" t="str">
        <f>IF('15 yr'!I467=0,"",'15 yr'!I467)</f>
        <v/>
      </c>
      <c r="E464" s="150" t="str">
        <f>IFERROR(IF('15 yr'!AF467=0,"",'15 yr'!AF467),"")</f>
        <v/>
      </c>
      <c r="F464" s="150" t="str">
        <f>IFERROR(IF('15 yr'!AH467=0,"",'15 yr'!AH467),"")</f>
        <v/>
      </c>
      <c r="G464" s="156" t="str">
        <f>IFERROR(IF('15 yr'!AI467=0,"",'15 yr'!AI467),"")</f>
        <v/>
      </c>
    </row>
    <row r="465" spans="1:7">
      <c r="A465" s="149" t="str">
        <f>IF('15 yr'!A468=0,"",'15 yr'!A468)</f>
        <v/>
      </c>
      <c r="B465" s="147" t="str">
        <f>IF('15 yr'!B468=0,"",'15 yr'!B468)</f>
        <v/>
      </c>
      <c r="C465" s="148" t="str">
        <f>IF('15 yr'!E468=0,"",'15 yr'!E468)</f>
        <v/>
      </c>
      <c r="D465" s="149" t="str">
        <f>IF('15 yr'!I468=0,"",'15 yr'!I468)</f>
        <v/>
      </c>
      <c r="E465" s="150" t="str">
        <f>IFERROR(IF('15 yr'!AF468=0,"",'15 yr'!AF468),"")</f>
        <v/>
      </c>
      <c r="F465" s="150" t="str">
        <f>IFERROR(IF('15 yr'!AH468=0,"",'15 yr'!AH468),"")</f>
        <v/>
      </c>
      <c r="G465" s="156" t="str">
        <f>IFERROR(IF('15 yr'!AI468=0,"",'15 yr'!AI468),"")</f>
        <v/>
      </c>
    </row>
    <row r="466" spans="1:7">
      <c r="A466" s="149" t="str">
        <f>IF('15 yr'!A469=0,"",'15 yr'!A469)</f>
        <v/>
      </c>
      <c r="B466" s="147" t="str">
        <f>IF('15 yr'!B469=0,"",'15 yr'!B469)</f>
        <v/>
      </c>
      <c r="C466" s="148" t="str">
        <f>IF('15 yr'!E469=0,"",'15 yr'!E469)</f>
        <v/>
      </c>
      <c r="D466" s="149" t="str">
        <f>IF('15 yr'!I469=0,"",'15 yr'!I469)</f>
        <v/>
      </c>
      <c r="E466" s="150" t="str">
        <f>IFERROR(IF('15 yr'!AF469=0,"",'15 yr'!AF469),"")</f>
        <v/>
      </c>
      <c r="F466" s="150" t="str">
        <f>IFERROR(IF('15 yr'!AH469=0,"",'15 yr'!AH469),"")</f>
        <v/>
      </c>
      <c r="G466" s="156" t="str">
        <f>IFERROR(IF('15 yr'!AI469=0,"",'15 yr'!AI469),"")</f>
        <v/>
      </c>
    </row>
    <row r="467" spans="1:7">
      <c r="A467" s="149" t="str">
        <f>IF('15 yr'!A470=0,"",'15 yr'!A470)</f>
        <v/>
      </c>
      <c r="B467" s="147" t="str">
        <f>IF('15 yr'!B470=0,"",'15 yr'!B470)</f>
        <v/>
      </c>
      <c r="C467" s="148" t="str">
        <f>IF('15 yr'!E470=0,"",'15 yr'!E470)</f>
        <v/>
      </c>
      <c r="D467" s="149" t="str">
        <f>IF('15 yr'!I470=0,"",'15 yr'!I470)</f>
        <v/>
      </c>
      <c r="E467" s="150" t="str">
        <f>IFERROR(IF('15 yr'!AF470=0,"",'15 yr'!AF470),"")</f>
        <v/>
      </c>
      <c r="F467" s="150" t="str">
        <f>IFERROR(IF('15 yr'!AH470=0,"",'15 yr'!AH470),"")</f>
        <v/>
      </c>
      <c r="G467" s="156" t="str">
        <f>IFERROR(IF('15 yr'!AI470=0,"",'15 yr'!AI470),"")</f>
        <v/>
      </c>
    </row>
    <row r="468" spans="1:7">
      <c r="A468" s="149" t="str">
        <f>IF('15 yr'!A471=0,"",'15 yr'!A471)</f>
        <v/>
      </c>
      <c r="B468" s="147" t="str">
        <f>IF('15 yr'!B471=0,"",'15 yr'!B471)</f>
        <v/>
      </c>
      <c r="C468" s="148" t="str">
        <f>IF('15 yr'!E471=0,"",'15 yr'!E471)</f>
        <v/>
      </c>
      <c r="D468" s="149" t="str">
        <f>IF('15 yr'!I471=0,"",'15 yr'!I471)</f>
        <v/>
      </c>
      <c r="E468" s="150" t="str">
        <f>IFERROR(IF('15 yr'!AF471=0,"",'15 yr'!AF471),"")</f>
        <v/>
      </c>
      <c r="F468" s="150" t="str">
        <f>IFERROR(IF('15 yr'!AH471=0,"",'15 yr'!AH471),"")</f>
        <v/>
      </c>
      <c r="G468" s="156" t="str">
        <f>IFERROR(IF('15 yr'!AI471=0,"",'15 yr'!AI471),"")</f>
        <v/>
      </c>
    </row>
    <row r="469" spans="1:7">
      <c r="A469" s="149" t="str">
        <f>IF('15 yr'!A472=0,"",'15 yr'!A472)</f>
        <v/>
      </c>
      <c r="B469" s="147" t="str">
        <f>IF('15 yr'!B472=0,"",'15 yr'!B472)</f>
        <v/>
      </c>
      <c r="C469" s="148" t="str">
        <f>IF('15 yr'!E472=0,"",'15 yr'!E472)</f>
        <v/>
      </c>
      <c r="D469" s="149" t="str">
        <f>IF('15 yr'!I472=0,"",'15 yr'!I472)</f>
        <v/>
      </c>
      <c r="E469" s="150" t="str">
        <f>IFERROR(IF('15 yr'!AF472=0,"",'15 yr'!AF472),"")</f>
        <v/>
      </c>
      <c r="F469" s="150" t="str">
        <f>IFERROR(IF('15 yr'!AH472=0,"",'15 yr'!AH472),"")</f>
        <v/>
      </c>
      <c r="G469" s="156" t="str">
        <f>IFERROR(IF('15 yr'!AI472=0,"",'15 yr'!AI472),"")</f>
        <v/>
      </c>
    </row>
    <row r="470" spans="1:7">
      <c r="A470" s="149" t="str">
        <f>IF('15 yr'!A473=0,"",'15 yr'!A473)</f>
        <v/>
      </c>
      <c r="B470" s="147" t="str">
        <f>IF('15 yr'!B473=0,"",'15 yr'!B473)</f>
        <v/>
      </c>
      <c r="C470" s="148" t="str">
        <f>IF('15 yr'!E473=0,"",'15 yr'!E473)</f>
        <v/>
      </c>
      <c r="D470" s="149" t="str">
        <f>IF('15 yr'!I473=0,"",'15 yr'!I473)</f>
        <v/>
      </c>
      <c r="E470" s="150" t="str">
        <f>IFERROR(IF('15 yr'!AF473=0,"",'15 yr'!AF473),"")</f>
        <v/>
      </c>
      <c r="F470" s="150" t="str">
        <f>IFERROR(IF('15 yr'!AH473=0,"",'15 yr'!AH473),"")</f>
        <v/>
      </c>
      <c r="G470" s="156" t="str">
        <f>IFERROR(IF('15 yr'!AI473=0,"",'15 yr'!AI473),"")</f>
        <v/>
      </c>
    </row>
    <row r="471" spans="1:7">
      <c r="A471" s="149" t="str">
        <f>IF('15 yr'!A474=0,"",'15 yr'!A474)</f>
        <v/>
      </c>
      <c r="B471" s="147" t="str">
        <f>IF('15 yr'!B474=0,"",'15 yr'!B474)</f>
        <v/>
      </c>
      <c r="C471" s="148" t="str">
        <f>IF('15 yr'!E474=0,"",'15 yr'!E474)</f>
        <v/>
      </c>
      <c r="D471" s="149" t="str">
        <f>IF('15 yr'!I474=0,"",'15 yr'!I474)</f>
        <v/>
      </c>
      <c r="E471" s="150" t="str">
        <f>IFERROR(IF('15 yr'!AF474=0,"",'15 yr'!AF474),"")</f>
        <v/>
      </c>
      <c r="F471" s="150" t="str">
        <f>IFERROR(IF('15 yr'!AH474=0,"",'15 yr'!AH474),"")</f>
        <v/>
      </c>
      <c r="G471" s="156" t="str">
        <f>IFERROR(IF('15 yr'!AI474=0,"",'15 yr'!AI474),"")</f>
        <v/>
      </c>
    </row>
    <row r="472" spans="1:7">
      <c r="A472" s="149" t="str">
        <f>IF('15 yr'!A475=0,"",'15 yr'!A475)</f>
        <v/>
      </c>
      <c r="B472" s="147" t="str">
        <f>IF('15 yr'!B475=0,"",'15 yr'!B475)</f>
        <v/>
      </c>
      <c r="C472" s="148" t="str">
        <f>IF('15 yr'!E475=0,"",'15 yr'!E475)</f>
        <v/>
      </c>
      <c r="D472" s="149" t="str">
        <f>IF('15 yr'!I475=0,"",'15 yr'!I475)</f>
        <v/>
      </c>
      <c r="E472" s="150" t="str">
        <f>IFERROR(IF('15 yr'!AF475=0,"",'15 yr'!AF475),"")</f>
        <v/>
      </c>
      <c r="F472" s="150" t="str">
        <f>IFERROR(IF('15 yr'!AH475=0,"",'15 yr'!AH475),"")</f>
        <v/>
      </c>
      <c r="G472" s="156" t="str">
        <f>IFERROR(IF('15 yr'!AI475=0,"",'15 yr'!AI475),"")</f>
        <v/>
      </c>
    </row>
    <row r="473" spans="1:7">
      <c r="A473" s="149" t="str">
        <f>IF('15 yr'!A476=0,"",'15 yr'!A476)</f>
        <v/>
      </c>
      <c r="B473" s="147" t="str">
        <f>IF('15 yr'!B476=0,"",'15 yr'!B476)</f>
        <v/>
      </c>
      <c r="C473" s="148" t="str">
        <f>IF('15 yr'!E476=0,"",'15 yr'!E476)</f>
        <v/>
      </c>
      <c r="D473" s="149" t="str">
        <f>IF('15 yr'!I476=0,"",'15 yr'!I476)</f>
        <v/>
      </c>
      <c r="E473" s="150" t="str">
        <f>IFERROR(IF('15 yr'!AF476=0,"",'15 yr'!AF476),"")</f>
        <v/>
      </c>
      <c r="F473" s="150" t="str">
        <f>IFERROR(IF('15 yr'!AH476=0,"",'15 yr'!AH476),"")</f>
        <v/>
      </c>
      <c r="G473" s="156" t="str">
        <f>IFERROR(IF('15 yr'!AI476=0,"",'15 yr'!AI476),"")</f>
        <v/>
      </c>
    </row>
    <row r="474" spans="1:7">
      <c r="A474" s="149" t="str">
        <f>IF('15 yr'!A477=0,"",'15 yr'!A477)</f>
        <v/>
      </c>
      <c r="B474" s="147" t="str">
        <f>IF('15 yr'!B477=0,"",'15 yr'!B477)</f>
        <v/>
      </c>
      <c r="C474" s="148" t="str">
        <f>IF('15 yr'!E477=0,"",'15 yr'!E477)</f>
        <v/>
      </c>
      <c r="D474" s="149" t="str">
        <f>IF('15 yr'!I477=0,"",'15 yr'!I477)</f>
        <v/>
      </c>
      <c r="E474" s="150" t="str">
        <f>IFERROR(IF('15 yr'!AF477=0,"",'15 yr'!AF477),"")</f>
        <v/>
      </c>
      <c r="F474" s="150" t="str">
        <f>IFERROR(IF('15 yr'!AH477=0,"",'15 yr'!AH477),"")</f>
        <v/>
      </c>
      <c r="G474" s="156" t="str">
        <f>IFERROR(IF('15 yr'!AI477=0,"",'15 yr'!AI477),"")</f>
        <v/>
      </c>
    </row>
    <row r="475" spans="1:7">
      <c r="A475" s="149" t="str">
        <f>IF('15 yr'!A478=0,"",'15 yr'!A478)</f>
        <v/>
      </c>
      <c r="B475" s="147" t="str">
        <f>IF('15 yr'!B478=0,"",'15 yr'!B478)</f>
        <v/>
      </c>
      <c r="C475" s="148" t="str">
        <f>IF('15 yr'!E478=0,"",'15 yr'!E478)</f>
        <v/>
      </c>
      <c r="D475" s="149" t="str">
        <f>IF('15 yr'!I478=0,"",'15 yr'!I478)</f>
        <v/>
      </c>
      <c r="E475" s="150" t="str">
        <f>IFERROR(IF('15 yr'!AF478=0,"",'15 yr'!AF478),"")</f>
        <v/>
      </c>
      <c r="F475" s="150" t="str">
        <f>IFERROR(IF('15 yr'!AH478=0,"",'15 yr'!AH478),"")</f>
        <v/>
      </c>
      <c r="G475" s="156" t="str">
        <f>IFERROR(IF('15 yr'!AI478=0,"",'15 yr'!AI478),"")</f>
        <v/>
      </c>
    </row>
    <row r="476" spans="1:7">
      <c r="A476" s="149" t="str">
        <f>IF('15 yr'!A479=0,"",'15 yr'!A479)</f>
        <v/>
      </c>
      <c r="B476" s="147" t="str">
        <f>IF('15 yr'!B479=0,"",'15 yr'!B479)</f>
        <v/>
      </c>
      <c r="C476" s="148" t="str">
        <f>IF('15 yr'!E479=0,"",'15 yr'!E479)</f>
        <v/>
      </c>
      <c r="D476" s="149" t="str">
        <f>IF('15 yr'!I479=0,"",'15 yr'!I479)</f>
        <v/>
      </c>
      <c r="E476" s="150" t="str">
        <f>IFERROR(IF('15 yr'!AF479=0,"",'15 yr'!AF479),"")</f>
        <v/>
      </c>
      <c r="F476" s="150" t="str">
        <f>IFERROR(IF('15 yr'!AH479=0,"",'15 yr'!AH479),"")</f>
        <v/>
      </c>
      <c r="G476" s="156" t="str">
        <f>IFERROR(IF('15 yr'!AI479=0,"",'15 yr'!AI479),"")</f>
        <v/>
      </c>
    </row>
    <row r="477" spans="1:7">
      <c r="A477" s="149" t="str">
        <f>IF('15 yr'!A480=0,"",'15 yr'!A480)</f>
        <v/>
      </c>
      <c r="B477" s="147" t="str">
        <f>IF('15 yr'!B480=0,"",'15 yr'!B480)</f>
        <v/>
      </c>
      <c r="C477" s="148" t="str">
        <f>IF('15 yr'!E480=0,"",'15 yr'!E480)</f>
        <v/>
      </c>
      <c r="D477" s="149" t="str">
        <f>IF('15 yr'!I480=0,"",'15 yr'!I480)</f>
        <v/>
      </c>
      <c r="E477" s="150" t="str">
        <f>IFERROR(IF('15 yr'!AF480=0,"",'15 yr'!AF480),"")</f>
        <v/>
      </c>
      <c r="F477" s="150" t="str">
        <f>IFERROR(IF('15 yr'!AH480=0,"",'15 yr'!AH480),"")</f>
        <v/>
      </c>
      <c r="G477" s="156" t="str">
        <f>IFERROR(IF('15 yr'!AI480=0,"",'15 yr'!AI480),"")</f>
        <v/>
      </c>
    </row>
    <row r="478" spans="1:7">
      <c r="A478" s="149" t="str">
        <f>IF('15 yr'!A481=0,"",'15 yr'!A481)</f>
        <v/>
      </c>
      <c r="B478" s="147" t="str">
        <f>IF('15 yr'!B481=0,"",'15 yr'!B481)</f>
        <v/>
      </c>
      <c r="C478" s="148" t="str">
        <f>IF('15 yr'!E481=0,"",'15 yr'!E481)</f>
        <v/>
      </c>
      <c r="D478" s="149" t="str">
        <f>IF('15 yr'!I481=0,"",'15 yr'!I481)</f>
        <v/>
      </c>
      <c r="E478" s="150" t="str">
        <f>IFERROR(IF('15 yr'!AF481=0,"",'15 yr'!AF481),"")</f>
        <v/>
      </c>
      <c r="F478" s="150" t="str">
        <f>IFERROR(IF('15 yr'!AH481=0,"",'15 yr'!AH481),"")</f>
        <v/>
      </c>
      <c r="G478" s="156" t="str">
        <f>IFERROR(IF('15 yr'!AI481=0,"",'15 yr'!AI481),"")</f>
        <v/>
      </c>
    </row>
    <row r="479" spans="1:7">
      <c r="A479" s="149" t="str">
        <f>IF('15 yr'!A482=0,"",'15 yr'!A482)</f>
        <v/>
      </c>
      <c r="B479" s="147" t="str">
        <f>IF('15 yr'!B482=0,"",'15 yr'!B482)</f>
        <v/>
      </c>
      <c r="C479" s="148" t="str">
        <f>IF('15 yr'!E482=0,"",'15 yr'!E482)</f>
        <v/>
      </c>
      <c r="D479" s="149" t="str">
        <f>IF('15 yr'!I482=0,"",'15 yr'!I482)</f>
        <v/>
      </c>
      <c r="E479" s="150" t="str">
        <f>IFERROR(IF('15 yr'!AF482=0,"",'15 yr'!AF482),"")</f>
        <v/>
      </c>
      <c r="F479" s="150" t="str">
        <f>IFERROR(IF('15 yr'!AH482=0,"",'15 yr'!AH482),"")</f>
        <v/>
      </c>
      <c r="G479" s="156" t="str">
        <f>IFERROR(IF('15 yr'!AI482=0,"",'15 yr'!AI482),"")</f>
        <v/>
      </c>
    </row>
    <row r="480" spans="1:7">
      <c r="A480" s="149" t="str">
        <f>IF('15 yr'!A483=0,"",'15 yr'!A483)</f>
        <v/>
      </c>
      <c r="B480" s="147" t="str">
        <f>IF('15 yr'!B483=0,"",'15 yr'!B483)</f>
        <v/>
      </c>
      <c r="C480" s="148" t="str">
        <f>IF('15 yr'!E483=0,"",'15 yr'!E483)</f>
        <v/>
      </c>
      <c r="D480" s="149" t="str">
        <f>IF('15 yr'!I483=0,"",'15 yr'!I483)</f>
        <v/>
      </c>
      <c r="E480" s="150" t="str">
        <f>IFERROR(IF('15 yr'!AF483=0,"",'15 yr'!AF483),"")</f>
        <v/>
      </c>
      <c r="F480" s="150" t="str">
        <f>IFERROR(IF('15 yr'!AH483=0,"",'15 yr'!AH483),"")</f>
        <v/>
      </c>
      <c r="G480" s="156" t="str">
        <f>IFERROR(IF('15 yr'!AI483=0,"",'15 yr'!AI483),"")</f>
        <v/>
      </c>
    </row>
    <row r="481" spans="1:7">
      <c r="A481" s="149" t="str">
        <f>IF('15 yr'!A484=0,"",'15 yr'!A484)</f>
        <v/>
      </c>
      <c r="B481" s="147" t="str">
        <f>IF('15 yr'!B484=0,"",'15 yr'!B484)</f>
        <v/>
      </c>
      <c r="C481" s="148" t="str">
        <f>IF('15 yr'!E484=0,"",'15 yr'!E484)</f>
        <v/>
      </c>
      <c r="D481" s="149" t="str">
        <f>IF('15 yr'!I484=0,"",'15 yr'!I484)</f>
        <v/>
      </c>
      <c r="E481" s="150" t="str">
        <f>IFERROR(IF('15 yr'!AF484=0,"",'15 yr'!AF484),"")</f>
        <v/>
      </c>
      <c r="F481" s="150" t="str">
        <f>IFERROR(IF('15 yr'!AH484=0,"",'15 yr'!AH484),"")</f>
        <v/>
      </c>
      <c r="G481" s="156" t="str">
        <f>IFERROR(IF('15 yr'!AI484=0,"",'15 yr'!AI484),"")</f>
        <v/>
      </c>
    </row>
    <row r="482" spans="1:7">
      <c r="A482" s="149" t="str">
        <f>IF('15 yr'!A485=0,"",'15 yr'!A485)</f>
        <v/>
      </c>
      <c r="B482" s="147" t="str">
        <f>IF('15 yr'!B485=0,"",'15 yr'!B485)</f>
        <v/>
      </c>
      <c r="C482" s="148" t="str">
        <f>IF('15 yr'!E485=0,"",'15 yr'!E485)</f>
        <v/>
      </c>
      <c r="D482" s="149" t="str">
        <f>IF('15 yr'!I485=0,"",'15 yr'!I485)</f>
        <v/>
      </c>
      <c r="E482" s="150" t="str">
        <f>IFERROR(IF('15 yr'!AF485=0,"",'15 yr'!AF485),"")</f>
        <v/>
      </c>
      <c r="F482" s="150" t="str">
        <f>IFERROR(IF('15 yr'!AH485=0,"",'15 yr'!AH485),"")</f>
        <v/>
      </c>
      <c r="G482" s="156" t="str">
        <f>IFERROR(IF('15 yr'!AI485=0,"",'15 yr'!AI485),"")</f>
        <v/>
      </c>
    </row>
    <row r="483" spans="1:7">
      <c r="A483" s="149" t="str">
        <f>IF('15 yr'!A486=0,"",'15 yr'!A486)</f>
        <v/>
      </c>
      <c r="B483" s="147" t="str">
        <f>IF('15 yr'!B486=0,"",'15 yr'!B486)</f>
        <v/>
      </c>
      <c r="C483" s="148" t="str">
        <f>IF('15 yr'!E486=0,"",'15 yr'!E486)</f>
        <v/>
      </c>
      <c r="D483" s="149" t="str">
        <f>IF('15 yr'!I486=0,"",'15 yr'!I486)</f>
        <v/>
      </c>
      <c r="E483" s="150" t="str">
        <f>IFERROR(IF('15 yr'!AF486=0,"",'15 yr'!AF486),"")</f>
        <v/>
      </c>
      <c r="F483" s="150" t="str">
        <f>IFERROR(IF('15 yr'!AH486=0,"",'15 yr'!AH486),"")</f>
        <v/>
      </c>
      <c r="G483" s="156" t="str">
        <f>IFERROR(IF('15 yr'!AI486=0,"",'15 yr'!AI486),"")</f>
        <v/>
      </c>
    </row>
    <row r="484" spans="1:7">
      <c r="A484" s="149" t="str">
        <f>IF('15 yr'!A487=0,"",'15 yr'!A487)</f>
        <v/>
      </c>
      <c r="B484" s="147" t="str">
        <f>IF('15 yr'!B487=0,"",'15 yr'!B487)</f>
        <v/>
      </c>
      <c r="C484" s="148" t="str">
        <f>IF('15 yr'!E487=0,"",'15 yr'!E487)</f>
        <v/>
      </c>
      <c r="D484" s="149" t="str">
        <f>IF('15 yr'!I487=0,"",'15 yr'!I487)</f>
        <v/>
      </c>
      <c r="E484" s="150" t="str">
        <f>IFERROR(IF('15 yr'!AF487=0,"",'15 yr'!AF487),"")</f>
        <v/>
      </c>
      <c r="F484" s="150" t="str">
        <f>IFERROR(IF('15 yr'!AH487=0,"",'15 yr'!AH487),"")</f>
        <v/>
      </c>
      <c r="G484" s="156" t="str">
        <f>IFERROR(IF('15 yr'!AI487=0,"",'15 yr'!AI487),"")</f>
        <v/>
      </c>
    </row>
    <row r="485" spans="1:7">
      <c r="A485" s="149" t="str">
        <f>IF('15 yr'!A488=0,"",'15 yr'!A488)</f>
        <v/>
      </c>
      <c r="B485" s="147" t="str">
        <f>IF('15 yr'!B488=0,"",'15 yr'!B488)</f>
        <v/>
      </c>
      <c r="C485" s="148" t="str">
        <f>IF('15 yr'!E488=0,"",'15 yr'!E488)</f>
        <v/>
      </c>
      <c r="D485" s="149" t="str">
        <f>IF('15 yr'!I488=0,"",'15 yr'!I488)</f>
        <v/>
      </c>
      <c r="E485" s="150" t="str">
        <f>IFERROR(IF('15 yr'!AF488=0,"",'15 yr'!AF488),"")</f>
        <v/>
      </c>
      <c r="F485" s="150" t="str">
        <f>IFERROR(IF('15 yr'!AH488=0,"",'15 yr'!AH488),"")</f>
        <v/>
      </c>
      <c r="G485" s="156" t="str">
        <f>IFERROR(IF('15 yr'!AI488=0,"",'15 yr'!AI488),"")</f>
        <v/>
      </c>
    </row>
    <row r="486" spans="1:7">
      <c r="A486" s="149" t="str">
        <f>IF('15 yr'!A489=0,"",'15 yr'!A489)</f>
        <v/>
      </c>
      <c r="B486" s="147" t="str">
        <f>IF('15 yr'!B489=0,"",'15 yr'!B489)</f>
        <v/>
      </c>
      <c r="C486" s="148" t="str">
        <f>IF('15 yr'!E489=0,"",'15 yr'!E489)</f>
        <v/>
      </c>
      <c r="D486" s="149" t="str">
        <f>IF('15 yr'!I489=0,"",'15 yr'!I489)</f>
        <v/>
      </c>
      <c r="E486" s="150" t="str">
        <f>IFERROR(IF('15 yr'!AF489=0,"",'15 yr'!AF489),"")</f>
        <v/>
      </c>
      <c r="F486" s="150" t="str">
        <f>IFERROR(IF('15 yr'!AH489=0,"",'15 yr'!AH489),"")</f>
        <v/>
      </c>
      <c r="G486" s="156" t="str">
        <f>IFERROR(IF('15 yr'!AI489=0,"",'15 yr'!AI489),"")</f>
        <v/>
      </c>
    </row>
    <row r="487" spans="1:7">
      <c r="A487" s="149" t="str">
        <f>IF('15 yr'!A490=0,"",'15 yr'!A490)</f>
        <v/>
      </c>
      <c r="B487" s="147" t="str">
        <f>IF('15 yr'!B490=0,"",'15 yr'!B490)</f>
        <v/>
      </c>
      <c r="C487" s="148" t="str">
        <f>IF('15 yr'!E490=0,"",'15 yr'!E490)</f>
        <v/>
      </c>
      <c r="D487" s="149" t="str">
        <f>IF('15 yr'!I490=0,"",'15 yr'!I490)</f>
        <v/>
      </c>
      <c r="E487" s="150" t="str">
        <f>IFERROR(IF('15 yr'!AF490=0,"",'15 yr'!AF490),"")</f>
        <v/>
      </c>
      <c r="F487" s="150" t="str">
        <f>IFERROR(IF('15 yr'!AH490=0,"",'15 yr'!AH490),"")</f>
        <v/>
      </c>
      <c r="G487" s="156" t="str">
        <f>IFERROR(IF('15 yr'!AI490=0,"",'15 yr'!AI490),"")</f>
        <v/>
      </c>
    </row>
    <row r="488" spans="1:7">
      <c r="A488" s="149" t="str">
        <f>IF('15 yr'!A491=0,"",'15 yr'!A491)</f>
        <v/>
      </c>
      <c r="B488" s="147" t="str">
        <f>IF('15 yr'!B491=0,"",'15 yr'!B491)</f>
        <v/>
      </c>
      <c r="C488" s="148" t="str">
        <f>IF('15 yr'!E491=0,"",'15 yr'!E491)</f>
        <v/>
      </c>
      <c r="D488" s="149" t="str">
        <f>IF('15 yr'!I491=0,"",'15 yr'!I491)</f>
        <v/>
      </c>
      <c r="E488" s="150" t="str">
        <f>IFERROR(IF('15 yr'!AF491=0,"",'15 yr'!AF491),"")</f>
        <v/>
      </c>
      <c r="F488" s="150" t="str">
        <f>IFERROR(IF('15 yr'!AH491=0,"",'15 yr'!AH491),"")</f>
        <v/>
      </c>
      <c r="G488" s="156" t="str">
        <f>IFERROR(IF('15 yr'!AI491=0,"",'15 yr'!AI491),"")</f>
        <v/>
      </c>
    </row>
    <row r="489" spans="1:7">
      <c r="A489" s="149" t="str">
        <f>IF('15 yr'!A492=0,"",'15 yr'!A492)</f>
        <v/>
      </c>
      <c r="B489" s="147" t="str">
        <f>IF('15 yr'!B492=0,"",'15 yr'!B492)</f>
        <v/>
      </c>
      <c r="C489" s="148" t="str">
        <f>IF('15 yr'!E492=0,"",'15 yr'!E492)</f>
        <v/>
      </c>
      <c r="D489" s="149" t="str">
        <f>IF('15 yr'!I492=0,"",'15 yr'!I492)</f>
        <v/>
      </c>
      <c r="E489" s="150" t="str">
        <f>IFERROR(IF('15 yr'!AF492=0,"",'15 yr'!AF492),"")</f>
        <v/>
      </c>
      <c r="F489" s="150" t="str">
        <f>IFERROR(IF('15 yr'!AH492=0,"",'15 yr'!AH492),"")</f>
        <v/>
      </c>
      <c r="G489" s="156" t="str">
        <f>IFERROR(IF('15 yr'!AI492=0,"",'15 yr'!AI492),"")</f>
        <v/>
      </c>
    </row>
    <row r="490" spans="1:7">
      <c r="A490" s="149" t="str">
        <f>IF('15 yr'!A493=0,"",'15 yr'!A493)</f>
        <v/>
      </c>
      <c r="B490" s="147" t="str">
        <f>IF('15 yr'!B493=0,"",'15 yr'!B493)</f>
        <v/>
      </c>
      <c r="C490" s="148" t="str">
        <f>IF('15 yr'!E493=0,"",'15 yr'!E493)</f>
        <v/>
      </c>
      <c r="D490" s="149" t="str">
        <f>IF('15 yr'!I493=0,"",'15 yr'!I493)</f>
        <v/>
      </c>
      <c r="E490" s="150" t="str">
        <f>IFERROR(IF('15 yr'!AF493=0,"",'15 yr'!AF493),"")</f>
        <v/>
      </c>
      <c r="F490" s="150" t="str">
        <f>IFERROR(IF('15 yr'!AH493=0,"",'15 yr'!AH493),"")</f>
        <v/>
      </c>
      <c r="G490" s="156" t="str">
        <f>IFERROR(IF('15 yr'!AI493=0,"",'15 yr'!AI493),"")</f>
        <v/>
      </c>
    </row>
    <row r="491" spans="1:7">
      <c r="A491" s="149" t="str">
        <f>IF('15 yr'!A494=0,"",'15 yr'!A494)</f>
        <v/>
      </c>
      <c r="B491" s="147" t="str">
        <f>IF('15 yr'!B494=0,"",'15 yr'!B494)</f>
        <v/>
      </c>
      <c r="C491" s="148" t="str">
        <f>IF('15 yr'!E494=0,"",'15 yr'!E494)</f>
        <v/>
      </c>
      <c r="D491" s="149" t="str">
        <f>IF('15 yr'!I494=0,"",'15 yr'!I494)</f>
        <v/>
      </c>
      <c r="E491" s="150" t="str">
        <f>IFERROR(IF('15 yr'!AF494=0,"",'15 yr'!AF494),"")</f>
        <v/>
      </c>
      <c r="F491" s="150" t="str">
        <f>IFERROR(IF('15 yr'!AH494=0,"",'15 yr'!AH494),"")</f>
        <v/>
      </c>
      <c r="G491" s="156" t="str">
        <f>IFERROR(IF('15 yr'!AI494=0,"",'15 yr'!AI494),"")</f>
        <v/>
      </c>
    </row>
    <row r="492" spans="1:7">
      <c r="A492" s="149" t="str">
        <f>IF('15 yr'!A495=0,"",'15 yr'!A495)</f>
        <v/>
      </c>
      <c r="B492" s="147" t="str">
        <f>IF('15 yr'!B495=0,"",'15 yr'!B495)</f>
        <v/>
      </c>
      <c r="C492" s="148" t="str">
        <f>IF('15 yr'!E495=0,"",'15 yr'!E495)</f>
        <v/>
      </c>
      <c r="D492" s="149" t="str">
        <f>IF('15 yr'!I495=0,"",'15 yr'!I495)</f>
        <v/>
      </c>
      <c r="E492" s="150" t="str">
        <f>IFERROR(IF('15 yr'!AF495=0,"",'15 yr'!AF495),"")</f>
        <v/>
      </c>
      <c r="F492" s="150" t="str">
        <f>IFERROR(IF('15 yr'!AH495=0,"",'15 yr'!AH495),"")</f>
        <v/>
      </c>
      <c r="G492" s="156" t="str">
        <f>IFERROR(IF('15 yr'!AI495=0,"",'15 yr'!AI495),"")</f>
        <v/>
      </c>
    </row>
    <row r="493" spans="1:7">
      <c r="A493" s="149" t="str">
        <f>IF('15 yr'!A496=0,"",'15 yr'!A496)</f>
        <v/>
      </c>
      <c r="B493" s="147" t="str">
        <f>IF('15 yr'!B496=0,"",'15 yr'!B496)</f>
        <v/>
      </c>
      <c r="C493" s="148" t="str">
        <f>IF('15 yr'!E496=0,"",'15 yr'!E496)</f>
        <v/>
      </c>
      <c r="D493" s="149" t="str">
        <f>IF('15 yr'!I496=0,"",'15 yr'!I496)</f>
        <v/>
      </c>
      <c r="E493" s="150" t="str">
        <f>IFERROR(IF('15 yr'!AF496=0,"",'15 yr'!AF496),"")</f>
        <v/>
      </c>
      <c r="F493" s="150" t="str">
        <f>IFERROR(IF('15 yr'!AH496=0,"",'15 yr'!AH496),"")</f>
        <v/>
      </c>
      <c r="G493" s="156" t="str">
        <f>IFERROR(IF('15 yr'!AI496=0,"",'15 yr'!AI496),"")</f>
        <v/>
      </c>
    </row>
    <row r="494" spans="1:7">
      <c r="A494" s="149" t="str">
        <f>IF('15 yr'!A497=0,"",'15 yr'!A497)</f>
        <v/>
      </c>
      <c r="B494" s="147" t="str">
        <f>IF('15 yr'!B497=0,"",'15 yr'!B497)</f>
        <v/>
      </c>
      <c r="C494" s="148" t="str">
        <f>IF('15 yr'!E497=0,"",'15 yr'!E497)</f>
        <v/>
      </c>
      <c r="D494" s="149" t="str">
        <f>IF('15 yr'!I497=0,"",'15 yr'!I497)</f>
        <v/>
      </c>
      <c r="E494" s="150" t="str">
        <f>IFERROR(IF('15 yr'!AF497=0,"",'15 yr'!AF497),"")</f>
        <v/>
      </c>
      <c r="F494" s="150" t="str">
        <f>IFERROR(IF('15 yr'!AH497=0,"",'15 yr'!AH497),"")</f>
        <v/>
      </c>
      <c r="G494" s="156" t="str">
        <f>IFERROR(IF('15 yr'!AI497=0,"",'15 yr'!AI497),"")</f>
        <v/>
      </c>
    </row>
    <row r="495" spans="1:7">
      <c r="A495" s="149" t="str">
        <f>IF('15 yr'!A498=0,"",'15 yr'!A498)</f>
        <v/>
      </c>
      <c r="B495" s="147" t="str">
        <f>IF('15 yr'!B498=0,"",'15 yr'!B498)</f>
        <v/>
      </c>
      <c r="C495" s="148" t="str">
        <f>IF('15 yr'!E498=0,"",'15 yr'!E498)</f>
        <v/>
      </c>
      <c r="D495" s="149" t="str">
        <f>IF('15 yr'!I498=0,"",'15 yr'!I498)</f>
        <v/>
      </c>
      <c r="E495" s="150" t="str">
        <f>IFERROR(IF('15 yr'!AF498=0,"",'15 yr'!AF498),"")</f>
        <v/>
      </c>
      <c r="F495" s="150" t="str">
        <f>IFERROR(IF('15 yr'!AH498=0,"",'15 yr'!AH498),"")</f>
        <v/>
      </c>
      <c r="G495" s="156" t="str">
        <f>IFERROR(IF('15 yr'!AI498=0,"",'15 yr'!AI498),"")</f>
        <v/>
      </c>
    </row>
    <row r="496" spans="1:7">
      <c r="A496" s="149" t="str">
        <f>IF('15 yr'!A499=0,"",'15 yr'!A499)</f>
        <v/>
      </c>
      <c r="B496" s="147" t="str">
        <f>IF('15 yr'!B499=0,"",'15 yr'!B499)</f>
        <v/>
      </c>
      <c r="C496" s="148" t="str">
        <f>IF('15 yr'!E499=0,"",'15 yr'!E499)</f>
        <v/>
      </c>
      <c r="D496" s="149" t="str">
        <f>IF('15 yr'!I499=0,"",'15 yr'!I499)</f>
        <v/>
      </c>
      <c r="E496" s="150" t="str">
        <f>IFERROR(IF('15 yr'!AF499=0,"",'15 yr'!AF499),"")</f>
        <v/>
      </c>
      <c r="F496" s="150" t="str">
        <f>IFERROR(IF('15 yr'!AH499=0,"",'15 yr'!AH499),"")</f>
        <v/>
      </c>
      <c r="G496" s="156" t="str">
        <f>IFERROR(IF('15 yr'!AI499=0,"",'15 yr'!AI499),"")</f>
        <v/>
      </c>
    </row>
    <row r="497" spans="1:7">
      <c r="A497" s="149" t="str">
        <f>IF('15 yr'!A500=0,"",'15 yr'!A500)</f>
        <v/>
      </c>
      <c r="B497" s="147" t="str">
        <f>IF('15 yr'!B500=0,"",'15 yr'!B500)</f>
        <v/>
      </c>
      <c r="C497" s="148" t="str">
        <f>IF('15 yr'!E500=0,"",'15 yr'!E500)</f>
        <v/>
      </c>
      <c r="D497" s="149" t="str">
        <f>IF('15 yr'!I500=0,"",'15 yr'!I500)</f>
        <v/>
      </c>
      <c r="E497" s="150" t="str">
        <f>IFERROR(IF('15 yr'!AF500=0,"",'15 yr'!AF500),"")</f>
        <v/>
      </c>
      <c r="F497" s="150" t="str">
        <f>IFERROR(IF('15 yr'!AH500=0,"",'15 yr'!AH500),"")</f>
        <v/>
      </c>
      <c r="G497" s="156" t="str">
        <f>IFERROR(IF('15 yr'!AI500=0,"",'15 yr'!AI500),"")</f>
        <v/>
      </c>
    </row>
    <row r="498" spans="1:7">
      <c r="A498" s="149" t="str">
        <f>IF('15 yr'!A501=0,"",'15 yr'!A501)</f>
        <v/>
      </c>
      <c r="B498" s="147" t="str">
        <f>IF('15 yr'!B501=0,"",'15 yr'!B501)</f>
        <v/>
      </c>
      <c r="C498" s="148" t="str">
        <f>IF('15 yr'!E501=0,"",'15 yr'!E501)</f>
        <v/>
      </c>
      <c r="D498" s="149" t="str">
        <f>IF('15 yr'!I501=0,"",'15 yr'!I501)</f>
        <v/>
      </c>
      <c r="E498" s="150" t="str">
        <f>IFERROR(IF('15 yr'!AF501=0,"",'15 yr'!AF501),"")</f>
        <v/>
      </c>
      <c r="F498" s="150" t="str">
        <f>IFERROR(IF('15 yr'!AH501=0,"",'15 yr'!AH501),"")</f>
        <v/>
      </c>
      <c r="G498" s="156" t="str">
        <f>IFERROR(IF('15 yr'!AI501=0,"",'15 yr'!AI501),"")</f>
        <v/>
      </c>
    </row>
    <row r="499" spans="1:7">
      <c r="A499" s="149" t="str">
        <f>IF('15 yr'!A502=0,"",'15 yr'!A502)</f>
        <v/>
      </c>
      <c r="B499" s="147" t="str">
        <f>IF('15 yr'!B502=0,"",'15 yr'!B502)</f>
        <v/>
      </c>
      <c r="C499" s="148" t="str">
        <f>IF('15 yr'!E502=0,"",'15 yr'!E502)</f>
        <v/>
      </c>
      <c r="D499" s="149" t="str">
        <f>IF('15 yr'!I502=0,"",'15 yr'!I502)</f>
        <v/>
      </c>
      <c r="E499" s="150" t="str">
        <f>IFERROR(IF('15 yr'!AF502=0,"",'15 yr'!AF502),"")</f>
        <v/>
      </c>
      <c r="F499" s="150" t="str">
        <f>IFERROR(IF('15 yr'!AH502=0,"",'15 yr'!AH502),"")</f>
        <v/>
      </c>
      <c r="G499" s="156" t="str">
        <f>IFERROR(IF('15 yr'!AI502=0,"",'15 yr'!AI502),"")</f>
        <v/>
      </c>
    </row>
    <row r="500" spans="1:7">
      <c r="A500" s="149" t="str">
        <f>IF('15 yr'!A503=0,"",'15 yr'!A503)</f>
        <v/>
      </c>
      <c r="B500" s="147" t="str">
        <f>IF('15 yr'!B503=0,"",'15 yr'!B503)</f>
        <v/>
      </c>
      <c r="C500" s="148" t="str">
        <f>IF('15 yr'!E503=0,"",'15 yr'!E503)</f>
        <v/>
      </c>
      <c r="D500" s="149" t="str">
        <f>IF('15 yr'!I503=0,"",'15 yr'!I503)</f>
        <v/>
      </c>
      <c r="E500" s="150" t="str">
        <f>IFERROR(IF('15 yr'!AF503=0,"",'15 yr'!AF503),"")</f>
        <v/>
      </c>
      <c r="F500" s="150" t="str">
        <f>IFERROR(IF('15 yr'!AH503=0,"",'15 yr'!AH503),"")</f>
        <v/>
      </c>
      <c r="G500" s="156" t="str">
        <f>IFERROR(IF('15 yr'!AI503=0,"",'15 yr'!AI503),"")</f>
        <v/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03C26-8219-0646-A69F-2B2332753355}">
  <sheetPr codeName="Sheet16"/>
  <dimension ref="A1:G500"/>
  <sheetViews>
    <sheetView showGridLines="0" workbookViewId="0">
      <selection activeCell="C19" sqref="C19"/>
    </sheetView>
  </sheetViews>
  <sheetFormatPr defaultColWidth="11.5" defaultRowHeight="13.8"/>
  <cols>
    <col min="1" max="1" width="11.796875" style="147" customWidth="1"/>
    <col min="2" max="2" width="20.19921875" style="147" customWidth="1"/>
    <col min="3" max="3" width="71.69921875" style="148" customWidth="1"/>
    <col min="4" max="4" width="13" style="149" customWidth="1"/>
    <col min="5" max="6" width="12.796875" style="150" customWidth="1"/>
    <col min="7" max="7" width="14" style="147" customWidth="1"/>
    <col min="8" max="16384" width="11.5" style="128"/>
  </cols>
  <sheetData>
    <row r="1" spans="1:7" ht="15.6">
      <c r="A1" s="146" t="str">
        <f>'Client Summary'!G27&amp;" Years Property Summary"</f>
        <v>5 Years Property Summary</v>
      </c>
    </row>
    <row r="2" spans="1:7" ht="15.6">
      <c r="A2" s="146" t="str">
        <f>LEFT('Client Summary'!G12,FIND(",",'Client Summary'!G12)-1)</f>
        <v>861 E 800 S</v>
      </c>
    </row>
    <row r="4" spans="1:7">
      <c r="A4" s="151" t="s">
        <v>275</v>
      </c>
    </row>
    <row r="5" spans="1:7" s="155" customFormat="1" ht="14.4" thickBot="1">
      <c r="A5" s="152" t="s">
        <v>270</v>
      </c>
      <c r="B5" s="152" t="s">
        <v>271</v>
      </c>
      <c r="C5" s="153" t="s">
        <v>272</v>
      </c>
      <c r="D5" s="152" t="s">
        <v>273</v>
      </c>
      <c r="E5" s="154" t="s">
        <v>268</v>
      </c>
      <c r="F5" s="154" t="s">
        <v>266</v>
      </c>
      <c r="G5" s="152" t="s">
        <v>274</v>
      </c>
    </row>
    <row r="6" spans="1:7">
      <c r="A6" s="149" t="str">
        <f>IF('5 yr'!A9=0,"",'5 yr'!A9)</f>
        <v/>
      </c>
      <c r="B6" s="147" t="str">
        <f>IF('5 yr'!B9=0,"",'5 yr'!B9)</f>
        <v/>
      </c>
      <c r="C6" s="148" t="str">
        <f>IF('5 yr'!E9=0,"",'5 yr'!E9)</f>
        <v/>
      </c>
      <c r="D6" s="149" t="str">
        <f>IF('5 yr'!I9=0,"",'5 yr'!I9)</f>
        <v/>
      </c>
      <c r="E6" s="150" t="str">
        <f>IFERROR(IF('5 yr'!AF9=0,"",'5 yr'!AF9),"")</f>
        <v/>
      </c>
      <c r="F6" s="150" t="str">
        <f>IFERROR(IF('5 yr'!AH9=0,"",'5 yr'!AH9),"")</f>
        <v/>
      </c>
      <c r="G6" s="156" t="str">
        <f>IFERROR(IF('5 yr'!AI9=0,"",'5 yr'!AI9),"")</f>
        <v/>
      </c>
    </row>
    <row r="7" spans="1:7">
      <c r="A7" s="149" t="str">
        <f>IF('5 yr'!A10=0,"",'5 yr'!A10)</f>
        <v/>
      </c>
      <c r="B7" s="147" t="str">
        <f>IF('5 yr'!B10=0,"",'5 yr'!B10)</f>
        <v/>
      </c>
      <c r="C7" s="148" t="str">
        <f>IF('5 yr'!E10=0,"",'5 yr'!E10)</f>
        <v/>
      </c>
      <c r="D7" s="149" t="str">
        <f>IF('5 yr'!I10=0,"",'5 yr'!I10)</f>
        <v/>
      </c>
      <c r="E7" s="150" t="str">
        <f>IFERROR(IF('5 yr'!AF10=0,"",'5 yr'!AF10),"")</f>
        <v/>
      </c>
      <c r="F7" s="150" t="str">
        <f>IFERROR(IF('5 yr'!AH10=0,"",'5 yr'!AH10),"")</f>
        <v/>
      </c>
      <c r="G7" s="156" t="str">
        <f>IFERROR(IF('5 yr'!AI10=0,"",'5 yr'!AI10),"")</f>
        <v/>
      </c>
    </row>
    <row r="8" spans="1:7">
      <c r="A8" s="149" t="str">
        <f>IF('5 yr'!A11=0,"",'5 yr'!A11)</f>
        <v/>
      </c>
      <c r="B8" s="147" t="str">
        <f>IF('5 yr'!B11=0,"",'5 yr'!B11)</f>
        <v/>
      </c>
      <c r="C8" s="148" t="str">
        <f>IF('5 yr'!E11=0,"",'5 yr'!E11)</f>
        <v/>
      </c>
      <c r="D8" s="149" t="str">
        <f>IF('5 yr'!I11=0,"",'5 yr'!I11)</f>
        <v/>
      </c>
      <c r="E8" s="150" t="str">
        <f>IFERROR(IF('5 yr'!AF11=0,"",'5 yr'!AF11),"")</f>
        <v/>
      </c>
      <c r="F8" s="150" t="str">
        <f>IFERROR(IF('5 yr'!AH11=0,"",'5 yr'!AH11),"")</f>
        <v/>
      </c>
      <c r="G8" s="156" t="str">
        <f>IFERROR(IF('5 yr'!AI11=0,"",'5 yr'!AI11),"")</f>
        <v/>
      </c>
    </row>
    <row r="9" spans="1:7">
      <c r="A9" s="149" t="str">
        <f>IF('5 yr'!A12=0,"",'5 yr'!A12)</f>
        <v/>
      </c>
      <c r="B9" s="147" t="str">
        <f>IF('5 yr'!B12=0,"",'5 yr'!B12)</f>
        <v/>
      </c>
      <c r="C9" s="148" t="str">
        <f>IF('5 yr'!E12=0,"",'5 yr'!E12)</f>
        <v/>
      </c>
      <c r="D9" s="149" t="str">
        <f>IF('5 yr'!I12=0,"",'5 yr'!I12)</f>
        <v/>
      </c>
      <c r="E9" s="150" t="str">
        <f>IFERROR(IF('5 yr'!AF12=0,"",'5 yr'!AF12),"")</f>
        <v/>
      </c>
      <c r="F9" s="150" t="str">
        <f>IFERROR(IF('5 yr'!AH12=0,"",'5 yr'!AH12),"")</f>
        <v/>
      </c>
      <c r="G9" s="156" t="str">
        <f>IFERROR(IF('5 yr'!AI12=0,"",'5 yr'!AI12),"")</f>
        <v/>
      </c>
    </row>
    <row r="10" spans="1:7">
      <c r="A10" s="149" t="str">
        <f>IF('5 yr'!A13=0,"",'5 yr'!A13)</f>
        <v/>
      </c>
      <c r="B10" s="147" t="str">
        <f>IF('5 yr'!B13=0,"",'5 yr'!B13)</f>
        <v/>
      </c>
      <c r="C10" s="148" t="str">
        <f>IF('5 yr'!E13=0,"",'5 yr'!E13)</f>
        <v/>
      </c>
      <c r="D10" s="149" t="str">
        <f>IF('5 yr'!I13=0,"",'5 yr'!I13)</f>
        <v/>
      </c>
      <c r="E10" s="150" t="str">
        <f>IFERROR(IF('5 yr'!AF13=0,"",'5 yr'!AF13),"")</f>
        <v/>
      </c>
      <c r="F10" s="150" t="str">
        <f>IFERROR(IF('5 yr'!AH13=0,"",'5 yr'!AH13),"")</f>
        <v/>
      </c>
      <c r="G10" s="156" t="str">
        <f>IFERROR(IF('5 yr'!AI13=0,"",'5 yr'!AI13),"")</f>
        <v/>
      </c>
    </row>
    <row r="11" spans="1:7">
      <c r="A11" s="149" t="str">
        <f>IF('5 yr'!A14=0,"",'5 yr'!A14)</f>
        <v/>
      </c>
      <c r="B11" s="147" t="str">
        <f>IF('5 yr'!B14=0,"",'5 yr'!B14)</f>
        <v/>
      </c>
      <c r="C11" s="148" t="str">
        <f>IF('5 yr'!E14=0,"",'5 yr'!E14)</f>
        <v/>
      </c>
      <c r="D11" s="149" t="str">
        <f>IF('5 yr'!I14=0,"",'5 yr'!I14)</f>
        <v/>
      </c>
      <c r="E11" s="150" t="str">
        <f>IFERROR(IF('5 yr'!AF14=0,"",'5 yr'!AF14),"")</f>
        <v/>
      </c>
      <c r="F11" s="150" t="str">
        <f>IFERROR(IF('5 yr'!AH14=0,"",'5 yr'!AH14),"")</f>
        <v/>
      </c>
      <c r="G11" s="156" t="str">
        <f>IFERROR(IF('5 yr'!AI14=0,"",'5 yr'!AI14),"")</f>
        <v/>
      </c>
    </row>
    <row r="12" spans="1:7">
      <c r="A12" s="149" t="str">
        <f>IF('5 yr'!A15=0,"",'5 yr'!A15)</f>
        <v/>
      </c>
      <c r="B12" s="147" t="str">
        <f>IF('5 yr'!B15=0,"",'5 yr'!B15)</f>
        <v/>
      </c>
      <c r="C12" s="148" t="str">
        <f>IF('5 yr'!E15=0,"",'5 yr'!E15)</f>
        <v/>
      </c>
      <c r="D12" s="149" t="str">
        <f>IF('5 yr'!I15=0,"",'5 yr'!I15)</f>
        <v/>
      </c>
      <c r="E12" s="150" t="str">
        <f>IFERROR(IF('5 yr'!AF15=0,"",'5 yr'!AF15),"")</f>
        <v/>
      </c>
      <c r="F12" s="150" t="str">
        <f>IFERROR(IF('5 yr'!AH15=0,"",'5 yr'!AH15),"")</f>
        <v/>
      </c>
      <c r="G12" s="156" t="str">
        <f>IFERROR(IF('5 yr'!AI15=0,"",'5 yr'!AI15),"")</f>
        <v/>
      </c>
    </row>
    <row r="13" spans="1:7">
      <c r="A13" s="149" t="str">
        <f>IF('5 yr'!A16=0,"",'5 yr'!A16)</f>
        <v/>
      </c>
      <c r="B13" s="147" t="str">
        <f>IF('5 yr'!B16=0,"",'5 yr'!B16)</f>
        <v/>
      </c>
      <c r="C13" s="148" t="str">
        <f>IF('5 yr'!E16=0,"",'5 yr'!E16)</f>
        <v/>
      </c>
      <c r="D13" s="149" t="str">
        <f>IF('5 yr'!I16=0,"",'5 yr'!I16)</f>
        <v/>
      </c>
      <c r="E13" s="150" t="str">
        <f>IFERROR(IF('5 yr'!AF16=0,"",'5 yr'!AF16),"")</f>
        <v/>
      </c>
      <c r="F13" s="150" t="str">
        <f>IFERROR(IF('5 yr'!AH16=0,"",'5 yr'!AH16),"")</f>
        <v/>
      </c>
      <c r="G13" s="156" t="str">
        <f>IFERROR(IF('5 yr'!AI16=0,"",'5 yr'!AI16),"")</f>
        <v/>
      </c>
    </row>
    <row r="14" spans="1:7">
      <c r="A14" s="149" t="str">
        <f>IF('5 yr'!A17=0,"",'5 yr'!A17)</f>
        <v/>
      </c>
      <c r="B14" s="147" t="str">
        <f>IF('5 yr'!B17=0,"",'5 yr'!B17)</f>
        <v/>
      </c>
      <c r="C14" s="148" t="str">
        <f>IF('5 yr'!E17=0,"",'5 yr'!E17)</f>
        <v/>
      </c>
      <c r="D14" s="149" t="str">
        <f>IF('5 yr'!I17=0,"",'5 yr'!I17)</f>
        <v/>
      </c>
      <c r="E14" s="150" t="str">
        <f>IFERROR(IF('5 yr'!AF17=0,"",'5 yr'!AF17),"")</f>
        <v/>
      </c>
      <c r="F14" s="150" t="str">
        <f>IFERROR(IF('5 yr'!AH17=0,"",'5 yr'!AH17),"")</f>
        <v/>
      </c>
      <c r="G14" s="156" t="str">
        <f>IFERROR(IF('5 yr'!AI17=0,"",'5 yr'!AI17),"")</f>
        <v/>
      </c>
    </row>
    <row r="15" spans="1:7">
      <c r="A15" s="149" t="str">
        <f>IF('5 yr'!A18=0,"",'5 yr'!A18)</f>
        <v/>
      </c>
      <c r="B15" s="147" t="str">
        <f>IF('5 yr'!B18=0,"",'5 yr'!B18)</f>
        <v/>
      </c>
      <c r="C15" s="148" t="str">
        <f>IF('5 yr'!E18=0,"",'5 yr'!E18)</f>
        <v/>
      </c>
      <c r="D15" s="149" t="str">
        <f>IF('5 yr'!I18=0,"",'5 yr'!I18)</f>
        <v/>
      </c>
      <c r="E15" s="150" t="str">
        <f>IFERROR(IF('5 yr'!AF18=0,"",'5 yr'!AF18),"")</f>
        <v/>
      </c>
      <c r="F15" s="150" t="str">
        <f>IFERROR(IF('5 yr'!AH18=0,"",'5 yr'!AH18),"")</f>
        <v/>
      </c>
      <c r="G15" s="156" t="str">
        <f>IFERROR(IF('5 yr'!AI18=0,"",'5 yr'!AI18),"")</f>
        <v/>
      </c>
    </row>
    <row r="16" spans="1:7">
      <c r="A16" s="149" t="str">
        <f>IF('5 yr'!A19=0,"",'5 yr'!A19)</f>
        <v/>
      </c>
      <c r="B16" s="147" t="str">
        <f>IF('5 yr'!B19=0,"",'5 yr'!B19)</f>
        <v/>
      </c>
      <c r="C16" s="148" t="str">
        <f>IF('5 yr'!E19=0,"",'5 yr'!E19)</f>
        <v/>
      </c>
      <c r="D16" s="149" t="str">
        <f>IF('5 yr'!I19=0,"",'5 yr'!I19)</f>
        <v/>
      </c>
      <c r="E16" s="150" t="str">
        <f>IFERROR(IF('5 yr'!AF19=0,"",'5 yr'!AF19),"")</f>
        <v/>
      </c>
      <c r="F16" s="150" t="str">
        <f>IFERROR(IF('5 yr'!AH19=0,"",'5 yr'!AH19),"")</f>
        <v/>
      </c>
      <c r="G16" s="156" t="str">
        <f>IFERROR(IF('5 yr'!AI19=0,"",'5 yr'!AI19),"")</f>
        <v/>
      </c>
    </row>
    <row r="17" spans="1:7">
      <c r="A17" s="149" t="str">
        <f>IF('5 yr'!A20=0,"",'5 yr'!A20)</f>
        <v/>
      </c>
      <c r="B17" s="147" t="str">
        <f>IF('5 yr'!B20=0,"",'5 yr'!B20)</f>
        <v/>
      </c>
      <c r="C17" s="148" t="str">
        <f>IF('5 yr'!E20=0,"",'5 yr'!E20)</f>
        <v/>
      </c>
      <c r="D17" s="149" t="str">
        <f>IF('5 yr'!I20=0,"",'5 yr'!I20)</f>
        <v/>
      </c>
      <c r="E17" s="150" t="str">
        <f>IFERROR(IF('5 yr'!AF20=0,"",'5 yr'!AF20),"")</f>
        <v/>
      </c>
      <c r="F17" s="150" t="str">
        <f>IFERROR(IF('5 yr'!AH20=0,"",'5 yr'!AH20),"")</f>
        <v/>
      </c>
      <c r="G17" s="156" t="str">
        <f>IFERROR(IF('5 yr'!AI20=0,"",'5 yr'!AI20),"")</f>
        <v/>
      </c>
    </row>
    <row r="18" spans="1:7">
      <c r="A18" s="149" t="str">
        <f>IF('5 yr'!A21=0,"",'5 yr'!A21)</f>
        <v/>
      </c>
      <c r="B18" s="147" t="str">
        <f>IF('5 yr'!B21=0,"",'5 yr'!B21)</f>
        <v/>
      </c>
      <c r="C18" s="148" t="str">
        <f>IF('5 yr'!E21=0,"",'5 yr'!E21)</f>
        <v/>
      </c>
      <c r="D18" s="149" t="str">
        <f>IF('5 yr'!I21=0,"",'5 yr'!I21)</f>
        <v/>
      </c>
      <c r="E18" s="150" t="str">
        <f>IFERROR(IF('5 yr'!AF21=0,"",'5 yr'!AF21),"")</f>
        <v/>
      </c>
      <c r="F18" s="150" t="str">
        <f>IFERROR(IF('5 yr'!AH21=0,"",'5 yr'!AH21),"")</f>
        <v/>
      </c>
      <c r="G18" s="156" t="str">
        <f>IFERROR(IF('5 yr'!AI21=0,"",'5 yr'!AI21),"")</f>
        <v/>
      </c>
    </row>
    <row r="19" spans="1:7">
      <c r="A19" s="149" t="str">
        <f>IF('5 yr'!A22=0,"",'5 yr'!A22)</f>
        <v/>
      </c>
      <c r="B19" s="147" t="str">
        <f>IF('5 yr'!B22=0,"",'5 yr'!B22)</f>
        <v/>
      </c>
      <c r="C19" s="148" t="str">
        <f>IF('5 yr'!E22=0,"",'5 yr'!E22)</f>
        <v/>
      </c>
      <c r="D19" s="149" t="str">
        <f>IF('5 yr'!I22=0,"",'5 yr'!I22)</f>
        <v/>
      </c>
      <c r="E19" s="150" t="str">
        <f>IFERROR(IF('5 yr'!AF22=0,"",'5 yr'!AF22),"")</f>
        <v/>
      </c>
      <c r="F19" s="150" t="str">
        <f>IFERROR(IF('5 yr'!AH22=0,"",'5 yr'!AH22),"")</f>
        <v/>
      </c>
      <c r="G19" s="156" t="str">
        <f>IFERROR(IF('5 yr'!AI22=0,"",'5 yr'!AI22),"")</f>
        <v/>
      </c>
    </row>
    <row r="20" spans="1:7">
      <c r="A20" s="149" t="str">
        <f>IF('5 yr'!A23=0,"",'5 yr'!A23)</f>
        <v/>
      </c>
      <c r="B20" s="147" t="str">
        <f>IF('5 yr'!B23=0,"",'5 yr'!B23)</f>
        <v/>
      </c>
      <c r="C20" s="148" t="str">
        <f>IF('5 yr'!E23=0,"",'5 yr'!E23)</f>
        <v/>
      </c>
      <c r="D20" s="149" t="str">
        <f>IF('5 yr'!I23=0,"",'5 yr'!I23)</f>
        <v/>
      </c>
      <c r="E20" s="150" t="str">
        <f>IFERROR(IF('5 yr'!AF23=0,"",'5 yr'!AF23),"")</f>
        <v/>
      </c>
      <c r="F20" s="150" t="str">
        <f>IFERROR(IF('5 yr'!AH23=0,"",'5 yr'!AH23),"")</f>
        <v/>
      </c>
      <c r="G20" s="156" t="str">
        <f>IFERROR(IF('5 yr'!AI23=0,"",'5 yr'!AI23),"")</f>
        <v/>
      </c>
    </row>
    <row r="21" spans="1:7">
      <c r="A21" s="149" t="str">
        <f>IF('5 yr'!A24=0,"",'5 yr'!A24)</f>
        <v/>
      </c>
      <c r="B21" s="147" t="str">
        <f>IF('5 yr'!B24=0,"",'5 yr'!B24)</f>
        <v/>
      </c>
      <c r="C21" s="148" t="str">
        <f>IF('5 yr'!E24=0,"",'5 yr'!E24)</f>
        <v/>
      </c>
      <c r="D21" s="149" t="str">
        <f>IF('5 yr'!I24=0,"",'5 yr'!I24)</f>
        <v/>
      </c>
      <c r="E21" s="150" t="str">
        <f>IFERROR(IF('5 yr'!AF24=0,"",'5 yr'!AF24),"")</f>
        <v/>
      </c>
      <c r="F21" s="150" t="str">
        <f>IFERROR(IF('5 yr'!AH24=0,"",'5 yr'!AH24),"")</f>
        <v/>
      </c>
      <c r="G21" s="156" t="str">
        <f>IFERROR(IF('5 yr'!AI24=0,"",'5 yr'!AI24),"")</f>
        <v/>
      </c>
    </row>
    <row r="22" spans="1:7">
      <c r="A22" s="149" t="str">
        <f>IF('5 yr'!A25=0,"",'5 yr'!A25)</f>
        <v/>
      </c>
      <c r="B22" s="147" t="str">
        <f>IF('5 yr'!B25=0,"",'5 yr'!B25)</f>
        <v/>
      </c>
      <c r="C22" s="148" t="str">
        <f>IF('5 yr'!E25=0,"",'5 yr'!E25)</f>
        <v/>
      </c>
      <c r="D22" s="149" t="str">
        <f>IF('5 yr'!I25=0,"",'5 yr'!I25)</f>
        <v/>
      </c>
      <c r="E22" s="150" t="str">
        <f>IFERROR(IF('5 yr'!AF25=0,"",'5 yr'!AF25),"")</f>
        <v/>
      </c>
      <c r="F22" s="150" t="str">
        <f>IFERROR(IF('5 yr'!AH25=0,"",'5 yr'!AH25),"")</f>
        <v/>
      </c>
      <c r="G22" s="156" t="str">
        <f>IFERROR(IF('5 yr'!AI25=0,"",'5 yr'!AI25),"")</f>
        <v/>
      </c>
    </row>
    <row r="23" spans="1:7">
      <c r="A23" s="149" t="str">
        <f>IF('5 yr'!A26=0,"",'5 yr'!A26)</f>
        <v/>
      </c>
      <c r="B23" s="147" t="str">
        <f>IF('5 yr'!B26=0,"",'5 yr'!B26)</f>
        <v/>
      </c>
      <c r="C23" s="148" t="str">
        <f>IF('5 yr'!E26=0,"",'5 yr'!E26)</f>
        <v/>
      </c>
      <c r="D23" s="149" t="str">
        <f>IF('5 yr'!I26=0,"",'5 yr'!I26)</f>
        <v/>
      </c>
      <c r="E23" s="150" t="str">
        <f>IFERROR(IF('5 yr'!AF26=0,"",'5 yr'!AF26),"")</f>
        <v/>
      </c>
      <c r="F23" s="150" t="str">
        <f>IFERROR(IF('5 yr'!AH26=0,"",'5 yr'!AH26),"")</f>
        <v/>
      </c>
      <c r="G23" s="156" t="str">
        <f>IFERROR(IF('5 yr'!AI26=0,"",'5 yr'!AI26),"")</f>
        <v/>
      </c>
    </row>
    <row r="24" spans="1:7">
      <c r="A24" s="149" t="str">
        <f>IF('5 yr'!A27=0,"",'5 yr'!A27)</f>
        <v/>
      </c>
      <c r="B24" s="147" t="str">
        <f>IF('5 yr'!B27=0,"",'5 yr'!B27)</f>
        <v/>
      </c>
      <c r="C24" s="148" t="str">
        <f>IF('5 yr'!E27=0,"",'5 yr'!E27)</f>
        <v/>
      </c>
      <c r="D24" s="149" t="str">
        <f>IF('5 yr'!I27=0,"",'5 yr'!I27)</f>
        <v/>
      </c>
      <c r="E24" s="150" t="str">
        <f>IFERROR(IF('5 yr'!AF27=0,"",'5 yr'!AF27),"")</f>
        <v/>
      </c>
      <c r="F24" s="150" t="str">
        <f>IFERROR(IF('5 yr'!AH27=0,"",'5 yr'!AH27),"")</f>
        <v/>
      </c>
      <c r="G24" s="156" t="str">
        <f>IFERROR(IF('5 yr'!AI27=0,"",'5 yr'!AI27),"")</f>
        <v/>
      </c>
    </row>
    <row r="25" spans="1:7">
      <c r="A25" s="149" t="str">
        <f>IF('5 yr'!A28=0,"",'5 yr'!A28)</f>
        <v/>
      </c>
      <c r="B25" s="147" t="str">
        <f>IF('5 yr'!B28=0,"",'5 yr'!B28)</f>
        <v/>
      </c>
      <c r="C25" s="148" t="str">
        <f>IF('5 yr'!E28=0,"",'5 yr'!E28)</f>
        <v/>
      </c>
      <c r="D25" s="149" t="str">
        <f>IF('5 yr'!I28=0,"",'5 yr'!I28)</f>
        <v/>
      </c>
      <c r="E25" s="150" t="str">
        <f>IFERROR(IF('5 yr'!AF28=0,"",'5 yr'!AF28),"")</f>
        <v/>
      </c>
      <c r="F25" s="150" t="str">
        <f>IFERROR(IF('5 yr'!AH28=0,"",'5 yr'!AH28),"")</f>
        <v/>
      </c>
      <c r="G25" s="156" t="str">
        <f>IFERROR(IF('5 yr'!AI28=0,"",'5 yr'!AI28),"")</f>
        <v/>
      </c>
    </row>
    <row r="26" spans="1:7">
      <c r="A26" s="149" t="str">
        <f>IF('5 yr'!A29=0,"",'5 yr'!A29)</f>
        <v/>
      </c>
      <c r="B26" s="147" t="str">
        <f>IF('5 yr'!B29=0,"",'5 yr'!B29)</f>
        <v/>
      </c>
      <c r="C26" s="148" t="str">
        <f>IF('5 yr'!E29=0,"",'5 yr'!E29)</f>
        <v/>
      </c>
      <c r="D26" s="149" t="str">
        <f>IF('5 yr'!I29=0,"",'5 yr'!I29)</f>
        <v/>
      </c>
      <c r="E26" s="150" t="str">
        <f>IFERROR(IF('5 yr'!AF29=0,"",'5 yr'!AF29),"")</f>
        <v/>
      </c>
      <c r="F26" s="150" t="str">
        <f>IFERROR(IF('5 yr'!AH29=0,"",'5 yr'!AH29),"")</f>
        <v/>
      </c>
      <c r="G26" s="156" t="str">
        <f>IFERROR(IF('5 yr'!AI29=0,"",'5 yr'!AI29),"")</f>
        <v/>
      </c>
    </row>
    <row r="27" spans="1:7">
      <c r="A27" s="149" t="str">
        <f>IF('5 yr'!A30=0,"",'5 yr'!A30)</f>
        <v/>
      </c>
      <c r="B27" s="147" t="str">
        <f>IF('5 yr'!B30=0,"",'5 yr'!B30)</f>
        <v/>
      </c>
      <c r="C27" s="148" t="str">
        <f>IF('5 yr'!E30=0,"",'5 yr'!E30)</f>
        <v/>
      </c>
      <c r="D27" s="149" t="str">
        <f>IF('5 yr'!I30=0,"",'5 yr'!I30)</f>
        <v/>
      </c>
      <c r="E27" s="150" t="str">
        <f>IFERROR(IF('5 yr'!AF30=0,"",'5 yr'!AF30),"")</f>
        <v/>
      </c>
      <c r="F27" s="150" t="str">
        <f>IFERROR(IF('5 yr'!AH30=0,"",'5 yr'!AH30),"")</f>
        <v/>
      </c>
      <c r="G27" s="156" t="str">
        <f>IFERROR(IF('5 yr'!AI30=0,"",'5 yr'!AI30),"")</f>
        <v/>
      </c>
    </row>
    <row r="28" spans="1:7">
      <c r="A28" s="149" t="str">
        <f>IF('5 yr'!A31=0,"",'5 yr'!A31)</f>
        <v/>
      </c>
      <c r="B28" s="147" t="str">
        <f>IF('5 yr'!B31=0,"",'5 yr'!B31)</f>
        <v/>
      </c>
      <c r="C28" s="148" t="str">
        <f>IF('5 yr'!E31=0,"",'5 yr'!E31)</f>
        <v/>
      </c>
      <c r="D28" s="149" t="str">
        <f>IF('5 yr'!I31=0,"",'5 yr'!I31)</f>
        <v/>
      </c>
      <c r="E28" s="150" t="str">
        <f>IFERROR(IF('5 yr'!AF31=0,"",'5 yr'!AF31),"")</f>
        <v/>
      </c>
      <c r="F28" s="150" t="str">
        <f>IFERROR(IF('5 yr'!AH31=0,"",'5 yr'!AH31),"")</f>
        <v/>
      </c>
      <c r="G28" s="156" t="str">
        <f>IFERROR(IF('5 yr'!AI31=0,"",'5 yr'!AI31),"")</f>
        <v/>
      </c>
    </row>
    <row r="29" spans="1:7">
      <c r="A29" s="149" t="str">
        <f>IF('5 yr'!A32=0,"",'5 yr'!A32)</f>
        <v/>
      </c>
      <c r="B29" s="147" t="str">
        <f>IF('5 yr'!B32=0,"",'5 yr'!B32)</f>
        <v/>
      </c>
      <c r="C29" s="148" t="str">
        <f>IF('5 yr'!E32=0,"",'5 yr'!E32)</f>
        <v/>
      </c>
      <c r="D29" s="149" t="str">
        <f>IF('5 yr'!I32=0,"",'5 yr'!I32)</f>
        <v/>
      </c>
      <c r="E29" s="150" t="str">
        <f>IFERROR(IF('5 yr'!AF32=0,"",'5 yr'!AF32),"")</f>
        <v/>
      </c>
      <c r="F29" s="150" t="str">
        <f>IFERROR(IF('5 yr'!AH32=0,"",'5 yr'!AH32),"")</f>
        <v/>
      </c>
      <c r="G29" s="156" t="str">
        <f>IFERROR(IF('5 yr'!AI32=0,"",'5 yr'!AI32),"")</f>
        <v/>
      </c>
    </row>
    <row r="30" spans="1:7">
      <c r="A30" s="149" t="str">
        <f>IF('5 yr'!A33=0,"",'5 yr'!A33)</f>
        <v/>
      </c>
      <c r="B30" s="147" t="str">
        <f>IF('5 yr'!B33=0,"",'5 yr'!B33)</f>
        <v/>
      </c>
      <c r="C30" s="148" t="str">
        <f>IF('5 yr'!E33=0,"",'5 yr'!E33)</f>
        <v/>
      </c>
      <c r="D30" s="149" t="str">
        <f>IF('5 yr'!I33=0,"",'5 yr'!I33)</f>
        <v/>
      </c>
      <c r="E30" s="150" t="str">
        <f>IFERROR(IF('5 yr'!AF33=0,"",'5 yr'!AF33),"")</f>
        <v/>
      </c>
      <c r="F30" s="150" t="str">
        <f>IFERROR(IF('5 yr'!AH33=0,"",'5 yr'!AH33),"")</f>
        <v/>
      </c>
      <c r="G30" s="156" t="str">
        <f>IFERROR(IF('5 yr'!AI33=0,"",'5 yr'!AI33),"")</f>
        <v/>
      </c>
    </row>
    <row r="31" spans="1:7">
      <c r="A31" s="149" t="str">
        <f>IF('5 yr'!A34=0,"",'5 yr'!A34)</f>
        <v/>
      </c>
      <c r="B31" s="147" t="str">
        <f>IF('5 yr'!B34=0,"",'5 yr'!B34)</f>
        <v/>
      </c>
      <c r="C31" s="148" t="str">
        <f>IF('5 yr'!E34=0,"",'5 yr'!E34)</f>
        <v/>
      </c>
      <c r="D31" s="149" t="str">
        <f>IF('5 yr'!I34=0,"",'5 yr'!I34)</f>
        <v/>
      </c>
      <c r="E31" s="150" t="str">
        <f>IFERROR(IF('5 yr'!AF34=0,"",'5 yr'!AF34),"")</f>
        <v/>
      </c>
      <c r="F31" s="150" t="str">
        <f>IFERROR(IF('5 yr'!AH34=0,"",'5 yr'!AH34),"")</f>
        <v/>
      </c>
      <c r="G31" s="156" t="str">
        <f>IFERROR(IF('5 yr'!AI34=0,"",'5 yr'!AI34),"")</f>
        <v/>
      </c>
    </row>
    <row r="32" spans="1:7">
      <c r="A32" s="149" t="str">
        <f>IF('5 yr'!A35=0,"",'5 yr'!A35)</f>
        <v/>
      </c>
      <c r="B32" s="147" t="str">
        <f>IF('5 yr'!B35=0,"",'5 yr'!B35)</f>
        <v/>
      </c>
      <c r="C32" s="148" t="str">
        <f>IF('5 yr'!E35=0,"",'5 yr'!E35)</f>
        <v/>
      </c>
      <c r="D32" s="149" t="str">
        <f>IF('5 yr'!I35=0,"",'5 yr'!I35)</f>
        <v/>
      </c>
      <c r="E32" s="150" t="str">
        <f>IFERROR(IF('5 yr'!AF35=0,"",'5 yr'!AF35),"")</f>
        <v/>
      </c>
      <c r="F32" s="150" t="str">
        <f>IFERROR(IF('5 yr'!AH35=0,"",'5 yr'!AH35),"")</f>
        <v/>
      </c>
      <c r="G32" s="156" t="str">
        <f>IFERROR(IF('5 yr'!AI35=0,"",'5 yr'!AI35),"")</f>
        <v/>
      </c>
    </row>
    <row r="33" spans="1:7">
      <c r="A33" s="149" t="str">
        <f>IF('5 yr'!A36=0,"",'5 yr'!A36)</f>
        <v/>
      </c>
      <c r="B33" s="147" t="str">
        <f>IF('5 yr'!B36=0,"",'5 yr'!B36)</f>
        <v/>
      </c>
      <c r="C33" s="148" t="str">
        <f>IF('5 yr'!E36=0,"",'5 yr'!E36)</f>
        <v/>
      </c>
      <c r="D33" s="149" t="str">
        <f>IF('5 yr'!I36=0,"",'5 yr'!I36)</f>
        <v/>
      </c>
      <c r="E33" s="150" t="str">
        <f>IFERROR(IF('5 yr'!AF36=0,"",'5 yr'!AF36),"")</f>
        <v/>
      </c>
      <c r="F33" s="150" t="str">
        <f>IFERROR(IF('5 yr'!AH36=0,"",'5 yr'!AH36),"")</f>
        <v/>
      </c>
      <c r="G33" s="156" t="str">
        <f>IFERROR(IF('5 yr'!AI36=0,"",'5 yr'!AI36),"")</f>
        <v/>
      </c>
    </row>
    <row r="34" spans="1:7">
      <c r="A34" s="149" t="str">
        <f>IF('5 yr'!A37=0,"",'5 yr'!A37)</f>
        <v/>
      </c>
      <c r="B34" s="147" t="str">
        <f>IF('5 yr'!B37=0,"",'5 yr'!B37)</f>
        <v/>
      </c>
      <c r="C34" s="148" t="str">
        <f>IF('5 yr'!E37=0,"",'5 yr'!E37)</f>
        <v/>
      </c>
      <c r="D34" s="149" t="str">
        <f>IF('5 yr'!I37=0,"",'5 yr'!I37)</f>
        <v/>
      </c>
      <c r="E34" s="150" t="str">
        <f>IFERROR(IF('5 yr'!AF37=0,"",'5 yr'!AF37),"")</f>
        <v/>
      </c>
      <c r="F34" s="150" t="str">
        <f>IFERROR(IF('5 yr'!AH37=0,"",'5 yr'!AH37),"")</f>
        <v/>
      </c>
      <c r="G34" s="156" t="str">
        <f>IFERROR(IF('5 yr'!AI37=0,"",'5 yr'!AI37),"")</f>
        <v/>
      </c>
    </row>
    <row r="35" spans="1:7">
      <c r="A35" s="149" t="str">
        <f>IF('5 yr'!A38=0,"",'5 yr'!A38)</f>
        <v/>
      </c>
      <c r="B35" s="147" t="str">
        <f>IF('5 yr'!B38=0,"",'5 yr'!B38)</f>
        <v/>
      </c>
      <c r="C35" s="148" t="str">
        <f>IF('5 yr'!E38=0,"",'5 yr'!E38)</f>
        <v/>
      </c>
      <c r="D35" s="149" t="str">
        <f>IF('5 yr'!I38=0,"",'5 yr'!I38)</f>
        <v/>
      </c>
      <c r="E35" s="150" t="str">
        <f>IFERROR(IF('5 yr'!AF38=0,"",'5 yr'!AF38),"")</f>
        <v/>
      </c>
      <c r="F35" s="150" t="str">
        <f>IFERROR(IF('5 yr'!AH38=0,"",'5 yr'!AH38),"")</f>
        <v/>
      </c>
      <c r="G35" s="156" t="str">
        <f>IFERROR(IF('5 yr'!AI38=0,"",'5 yr'!AI38),"")</f>
        <v/>
      </c>
    </row>
    <row r="36" spans="1:7">
      <c r="A36" s="149" t="str">
        <f>IF('5 yr'!A39=0,"",'5 yr'!A39)</f>
        <v/>
      </c>
      <c r="B36" s="147" t="str">
        <f>IF('5 yr'!B39=0,"",'5 yr'!B39)</f>
        <v/>
      </c>
      <c r="C36" s="148" t="str">
        <f>IF('5 yr'!E39=0,"",'5 yr'!E39)</f>
        <v/>
      </c>
      <c r="D36" s="149" t="str">
        <f>IF('5 yr'!I39=0,"",'5 yr'!I39)</f>
        <v/>
      </c>
      <c r="E36" s="150" t="str">
        <f>IFERROR(IF('5 yr'!AF39=0,"",'5 yr'!AF39),"")</f>
        <v/>
      </c>
      <c r="F36" s="150" t="str">
        <f>IFERROR(IF('5 yr'!AH39=0,"",'5 yr'!AH39),"")</f>
        <v/>
      </c>
      <c r="G36" s="156" t="str">
        <f>IFERROR(IF('5 yr'!AI39=0,"",'5 yr'!AI39),"")</f>
        <v/>
      </c>
    </row>
    <row r="37" spans="1:7">
      <c r="A37" s="149" t="str">
        <f>IF('5 yr'!A40=0,"",'5 yr'!A40)</f>
        <v/>
      </c>
      <c r="B37" s="147" t="str">
        <f>IF('5 yr'!B40=0,"",'5 yr'!B40)</f>
        <v/>
      </c>
      <c r="C37" s="148" t="str">
        <f>IF('5 yr'!E40=0,"",'5 yr'!E40)</f>
        <v/>
      </c>
      <c r="D37" s="149" t="str">
        <f>IF('5 yr'!I40=0,"",'5 yr'!I40)</f>
        <v/>
      </c>
      <c r="E37" s="150" t="str">
        <f>IFERROR(IF('5 yr'!AF40=0,"",'5 yr'!AF40),"")</f>
        <v/>
      </c>
      <c r="F37" s="150" t="str">
        <f>IFERROR(IF('5 yr'!AH40=0,"",'5 yr'!AH40),"")</f>
        <v/>
      </c>
      <c r="G37" s="156" t="str">
        <f>IFERROR(IF('5 yr'!AI40=0,"",'5 yr'!AI40),"")</f>
        <v/>
      </c>
    </row>
    <row r="38" spans="1:7">
      <c r="A38" s="149" t="str">
        <f>IF('5 yr'!A41=0,"",'5 yr'!A41)</f>
        <v/>
      </c>
      <c r="B38" s="147" t="str">
        <f>IF('5 yr'!B41=0,"",'5 yr'!B41)</f>
        <v/>
      </c>
      <c r="C38" s="148" t="str">
        <f>IF('5 yr'!E41=0,"",'5 yr'!E41)</f>
        <v/>
      </c>
      <c r="D38" s="149" t="str">
        <f>IF('5 yr'!I41=0,"",'5 yr'!I41)</f>
        <v/>
      </c>
      <c r="E38" s="150" t="str">
        <f>IFERROR(IF('5 yr'!AF41=0,"",'5 yr'!AF41),"")</f>
        <v/>
      </c>
      <c r="F38" s="150" t="str">
        <f>IFERROR(IF('5 yr'!AH41=0,"",'5 yr'!AH41),"")</f>
        <v/>
      </c>
      <c r="G38" s="156" t="str">
        <f>IFERROR(IF('5 yr'!AI41=0,"",'5 yr'!AI41),"")</f>
        <v/>
      </c>
    </row>
    <row r="39" spans="1:7">
      <c r="A39" s="149" t="str">
        <f>IF('5 yr'!A42=0,"",'5 yr'!A42)</f>
        <v/>
      </c>
      <c r="B39" s="147" t="str">
        <f>IF('5 yr'!B42=0,"",'5 yr'!B42)</f>
        <v/>
      </c>
      <c r="C39" s="148" t="str">
        <f>IF('5 yr'!E42=0,"",'5 yr'!E42)</f>
        <v/>
      </c>
      <c r="D39" s="149" t="str">
        <f>IF('5 yr'!I42=0,"",'5 yr'!I42)</f>
        <v/>
      </c>
      <c r="E39" s="150" t="str">
        <f>IFERROR(IF('5 yr'!AF42=0,"",'5 yr'!AF42),"")</f>
        <v/>
      </c>
      <c r="F39" s="150" t="str">
        <f>IFERROR(IF('5 yr'!AH42=0,"",'5 yr'!AH42),"")</f>
        <v/>
      </c>
      <c r="G39" s="156" t="str">
        <f>IFERROR(IF('5 yr'!AI42=0,"",'5 yr'!AI42),"")</f>
        <v/>
      </c>
    </row>
    <row r="40" spans="1:7">
      <c r="A40" s="149" t="str">
        <f>IF('5 yr'!A43=0,"",'5 yr'!A43)</f>
        <v/>
      </c>
      <c r="B40" s="147" t="str">
        <f>IF('5 yr'!B43=0,"",'5 yr'!B43)</f>
        <v/>
      </c>
      <c r="C40" s="148" t="str">
        <f>IF('5 yr'!E43=0,"",'5 yr'!E43)</f>
        <v/>
      </c>
      <c r="D40" s="149" t="str">
        <f>IF('5 yr'!I43=0,"",'5 yr'!I43)</f>
        <v/>
      </c>
      <c r="E40" s="150" t="str">
        <f>IFERROR(IF('5 yr'!AF43=0,"",'5 yr'!AF43),"")</f>
        <v/>
      </c>
      <c r="F40" s="150" t="str">
        <f>IFERROR(IF('5 yr'!AH43=0,"",'5 yr'!AH43),"")</f>
        <v/>
      </c>
      <c r="G40" s="156" t="str">
        <f>IFERROR(IF('5 yr'!AI43=0,"",'5 yr'!AI43),"")</f>
        <v/>
      </c>
    </row>
    <row r="41" spans="1:7">
      <c r="A41" s="149" t="str">
        <f>IF('5 yr'!A44=0,"",'5 yr'!A44)</f>
        <v/>
      </c>
      <c r="B41" s="147" t="str">
        <f>IF('5 yr'!B44=0,"",'5 yr'!B44)</f>
        <v/>
      </c>
      <c r="C41" s="148" t="str">
        <f>IF('5 yr'!E44=0,"",'5 yr'!E44)</f>
        <v/>
      </c>
      <c r="D41" s="149" t="str">
        <f>IF('5 yr'!I44=0,"",'5 yr'!I44)</f>
        <v/>
      </c>
      <c r="E41" s="150" t="str">
        <f>IFERROR(IF('5 yr'!AF44=0,"",'5 yr'!AF44),"")</f>
        <v/>
      </c>
      <c r="F41" s="150" t="str">
        <f>IFERROR(IF('5 yr'!AH44=0,"",'5 yr'!AH44),"")</f>
        <v/>
      </c>
      <c r="G41" s="156" t="str">
        <f>IFERROR(IF('5 yr'!AI44=0,"",'5 yr'!AI44),"")</f>
        <v/>
      </c>
    </row>
    <row r="42" spans="1:7">
      <c r="A42" s="149" t="str">
        <f>IF('5 yr'!A45=0,"",'5 yr'!A45)</f>
        <v/>
      </c>
      <c r="B42" s="147" t="str">
        <f>IF('5 yr'!B45=0,"",'5 yr'!B45)</f>
        <v/>
      </c>
      <c r="C42" s="148" t="str">
        <f>IF('5 yr'!E45=0,"",'5 yr'!E45)</f>
        <v/>
      </c>
      <c r="D42" s="149" t="str">
        <f>IF('5 yr'!I45=0,"",'5 yr'!I45)</f>
        <v/>
      </c>
      <c r="E42" s="150" t="str">
        <f>IFERROR(IF('5 yr'!AF45=0,"",'5 yr'!AF45),"")</f>
        <v/>
      </c>
      <c r="F42" s="150" t="str">
        <f>IFERROR(IF('5 yr'!AH45=0,"",'5 yr'!AH45),"")</f>
        <v/>
      </c>
      <c r="G42" s="156" t="str">
        <f>IFERROR(IF('5 yr'!AI45=0,"",'5 yr'!AI45),"")</f>
        <v/>
      </c>
    </row>
    <row r="43" spans="1:7">
      <c r="A43" s="149" t="str">
        <f>IF('5 yr'!A46=0,"",'5 yr'!A46)</f>
        <v/>
      </c>
      <c r="B43" s="147" t="str">
        <f>IF('5 yr'!B46=0,"",'5 yr'!B46)</f>
        <v/>
      </c>
      <c r="C43" s="148" t="str">
        <f>IF('5 yr'!E46=0,"",'5 yr'!E46)</f>
        <v/>
      </c>
      <c r="D43" s="149" t="str">
        <f>IF('5 yr'!I46=0,"",'5 yr'!I46)</f>
        <v/>
      </c>
      <c r="E43" s="150" t="str">
        <f>IFERROR(IF('5 yr'!AF46=0,"",'5 yr'!AF46),"")</f>
        <v/>
      </c>
      <c r="F43" s="150" t="str">
        <f>IFERROR(IF('5 yr'!AH46=0,"",'5 yr'!AH46),"")</f>
        <v/>
      </c>
      <c r="G43" s="156" t="str">
        <f>IFERROR(IF('5 yr'!AI46=0,"",'5 yr'!AI46),"")</f>
        <v/>
      </c>
    </row>
    <row r="44" spans="1:7">
      <c r="A44" s="149" t="str">
        <f>IF('5 yr'!A47=0,"",'5 yr'!A47)</f>
        <v/>
      </c>
      <c r="B44" s="147" t="str">
        <f>IF('5 yr'!B47=0,"",'5 yr'!B47)</f>
        <v/>
      </c>
      <c r="C44" s="148" t="str">
        <f>IF('5 yr'!E47=0,"",'5 yr'!E47)</f>
        <v/>
      </c>
      <c r="D44" s="149" t="str">
        <f>IF('5 yr'!I47=0,"",'5 yr'!I47)</f>
        <v/>
      </c>
      <c r="E44" s="150" t="str">
        <f>IFERROR(IF('5 yr'!AF47=0,"",'5 yr'!AF47),"")</f>
        <v/>
      </c>
      <c r="F44" s="150" t="str">
        <f>IFERROR(IF('5 yr'!AH47=0,"",'5 yr'!AH47),"")</f>
        <v/>
      </c>
      <c r="G44" s="156" t="str">
        <f>IFERROR(IF('5 yr'!AI47=0,"",'5 yr'!AI47),"")</f>
        <v/>
      </c>
    </row>
    <row r="45" spans="1:7">
      <c r="A45" s="149" t="str">
        <f>IF('5 yr'!A48=0,"",'5 yr'!A48)</f>
        <v/>
      </c>
      <c r="B45" s="147" t="str">
        <f>IF('5 yr'!B48=0,"",'5 yr'!B48)</f>
        <v/>
      </c>
      <c r="C45" s="148" t="str">
        <f>IF('5 yr'!E48=0,"",'5 yr'!E48)</f>
        <v/>
      </c>
      <c r="D45" s="149" t="str">
        <f>IF('5 yr'!I48=0,"",'5 yr'!I48)</f>
        <v/>
      </c>
      <c r="E45" s="150" t="str">
        <f>IFERROR(IF('5 yr'!AF48=0,"",'5 yr'!AF48),"")</f>
        <v/>
      </c>
      <c r="F45" s="150" t="str">
        <f>IFERROR(IF('5 yr'!AH48=0,"",'5 yr'!AH48),"")</f>
        <v/>
      </c>
      <c r="G45" s="156" t="str">
        <f>IFERROR(IF('5 yr'!AI48=0,"",'5 yr'!AI48),"")</f>
        <v/>
      </c>
    </row>
    <row r="46" spans="1:7">
      <c r="A46" s="149" t="str">
        <f>IF('5 yr'!A49=0,"",'5 yr'!A49)</f>
        <v/>
      </c>
      <c r="B46" s="147" t="str">
        <f>IF('5 yr'!B49=0,"",'5 yr'!B49)</f>
        <v/>
      </c>
      <c r="C46" s="148" t="str">
        <f>IF('5 yr'!E49=0,"",'5 yr'!E49)</f>
        <v/>
      </c>
      <c r="D46" s="149" t="str">
        <f>IF('5 yr'!I49=0,"",'5 yr'!I49)</f>
        <v/>
      </c>
      <c r="E46" s="150" t="str">
        <f>IFERROR(IF('5 yr'!AF49=0,"",'5 yr'!AF49),"")</f>
        <v/>
      </c>
      <c r="F46" s="150" t="str">
        <f>IFERROR(IF('5 yr'!AH49=0,"",'5 yr'!AH49),"")</f>
        <v/>
      </c>
      <c r="G46" s="156" t="str">
        <f>IFERROR(IF('5 yr'!AI49=0,"",'5 yr'!AI49),"")</f>
        <v/>
      </c>
    </row>
    <row r="47" spans="1:7">
      <c r="A47" s="149" t="str">
        <f>IF('5 yr'!A50=0,"",'5 yr'!A50)</f>
        <v/>
      </c>
      <c r="B47" s="147" t="str">
        <f>IF('5 yr'!B50=0,"",'5 yr'!B50)</f>
        <v/>
      </c>
      <c r="C47" s="148" t="str">
        <f>IF('5 yr'!E50=0,"",'5 yr'!E50)</f>
        <v/>
      </c>
      <c r="D47" s="149" t="str">
        <f>IF('5 yr'!I50=0,"",'5 yr'!I50)</f>
        <v/>
      </c>
      <c r="E47" s="150" t="str">
        <f>IFERROR(IF('5 yr'!AF50=0,"",'5 yr'!AF50),"")</f>
        <v/>
      </c>
      <c r="F47" s="150" t="str">
        <f>IFERROR(IF('5 yr'!AH50=0,"",'5 yr'!AH50),"")</f>
        <v/>
      </c>
      <c r="G47" s="156" t="str">
        <f>IFERROR(IF('5 yr'!AI50=0,"",'5 yr'!AI50),"")</f>
        <v/>
      </c>
    </row>
    <row r="48" spans="1:7">
      <c r="A48" s="149" t="str">
        <f>IF('5 yr'!A51=0,"",'5 yr'!A51)</f>
        <v/>
      </c>
      <c r="B48" s="147" t="str">
        <f>IF('5 yr'!B51=0,"",'5 yr'!B51)</f>
        <v/>
      </c>
      <c r="C48" s="148" t="str">
        <f>IF('5 yr'!E51=0,"",'5 yr'!E51)</f>
        <v/>
      </c>
      <c r="D48" s="149" t="str">
        <f>IF('5 yr'!I51=0,"",'5 yr'!I51)</f>
        <v/>
      </c>
      <c r="E48" s="150" t="str">
        <f>IFERROR(IF('5 yr'!AF51=0,"",'5 yr'!AF51),"")</f>
        <v/>
      </c>
      <c r="F48" s="150" t="str">
        <f>IFERROR(IF('5 yr'!AH51=0,"",'5 yr'!AH51),"")</f>
        <v/>
      </c>
      <c r="G48" s="156" t="str">
        <f>IFERROR(IF('5 yr'!AI51=0,"",'5 yr'!AI51),"")</f>
        <v/>
      </c>
    </row>
    <row r="49" spans="1:7">
      <c r="A49" s="149" t="str">
        <f>IF('5 yr'!A52=0,"",'5 yr'!A52)</f>
        <v/>
      </c>
      <c r="B49" s="147" t="str">
        <f>IF('5 yr'!B52=0,"",'5 yr'!B52)</f>
        <v/>
      </c>
      <c r="C49" s="148" t="str">
        <f>IF('5 yr'!E52=0,"",'5 yr'!E52)</f>
        <v/>
      </c>
      <c r="D49" s="149" t="str">
        <f>IF('5 yr'!I52=0,"",'5 yr'!I52)</f>
        <v/>
      </c>
      <c r="E49" s="150" t="str">
        <f>IFERROR(IF('5 yr'!AF52=0,"",'5 yr'!AF52),"")</f>
        <v/>
      </c>
      <c r="F49" s="150" t="str">
        <f>IFERROR(IF('5 yr'!AH52=0,"",'5 yr'!AH52),"")</f>
        <v/>
      </c>
      <c r="G49" s="156" t="str">
        <f>IFERROR(IF('5 yr'!AI52=0,"",'5 yr'!AI52),"")</f>
        <v/>
      </c>
    </row>
    <row r="50" spans="1:7">
      <c r="A50" s="149" t="str">
        <f>IF('5 yr'!A53=0,"",'5 yr'!A53)</f>
        <v/>
      </c>
      <c r="B50" s="147" t="str">
        <f>IF('5 yr'!B53=0,"",'5 yr'!B53)</f>
        <v/>
      </c>
      <c r="C50" s="148" t="str">
        <f>IF('5 yr'!E53=0,"",'5 yr'!E53)</f>
        <v/>
      </c>
      <c r="D50" s="149" t="str">
        <f>IF('5 yr'!I53=0,"",'5 yr'!I53)</f>
        <v/>
      </c>
      <c r="E50" s="150" t="str">
        <f>IFERROR(IF('5 yr'!AF53=0,"",'5 yr'!AF53),"")</f>
        <v/>
      </c>
      <c r="F50" s="150" t="str">
        <f>IFERROR(IF('5 yr'!AH53=0,"",'5 yr'!AH53),"")</f>
        <v/>
      </c>
      <c r="G50" s="156" t="str">
        <f>IFERROR(IF('5 yr'!AI53=0,"",'5 yr'!AI53),"")</f>
        <v/>
      </c>
    </row>
    <row r="51" spans="1:7">
      <c r="A51" s="149" t="str">
        <f>IF('5 yr'!A54=0,"",'5 yr'!A54)</f>
        <v/>
      </c>
      <c r="B51" s="147" t="str">
        <f>IF('5 yr'!B54=0,"",'5 yr'!B54)</f>
        <v/>
      </c>
      <c r="C51" s="148" t="str">
        <f>IF('5 yr'!E54=0,"",'5 yr'!E54)</f>
        <v/>
      </c>
      <c r="D51" s="149" t="str">
        <f>IF('5 yr'!I54=0,"",'5 yr'!I54)</f>
        <v/>
      </c>
      <c r="E51" s="150" t="str">
        <f>IFERROR(IF('5 yr'!AF54=0,"",'5 yr'!AF54),"")</f>
        <v/>
      </c>
      <c r="F51" s="150" t="str">
        <f>IFERROR(IF('5 yr'!AH54=0,"",'5 yr'!AH54),"")</f>
        <v/>
      </c>
      <c r="G51" s="156" t="str">
        <f>IFERROR(IF('5 yr'!AI54=0,"",'5 yr'!AI54),"")</f>
        <v/>
      </c>
    </row>
    <row r="52" spans="1:7">
      <c r="A52" s="149" t="str">
        <f>IF('5 yr'!A55=0,"",'5 yr'!A55)</f>
        <v/>
      </c>
      <c r="B52" s="147" t="str">
        <f>IF('5 yr'!B55=0,"",'5 yr'!B55)</f>
        <v/>
      </c>
      <c r="C52" s="148" t="str">
        <f>IF('5 yr'!E55=0,"",'5 yr'!E55)</f>
        <v/>
      </c>
      <c r="D52" s="149" t="str">
        <f>IF('5 yr'!I55=0,"",'5 yr'!I55)</f>
        <v/>
      </c>
      <c r="E52" s="150" t="str">
        <f>IFERROR(IF('5 yr'!AF55=0,"",'5 yr'!AF55),"")</f>
        <v/>
      </c>
      <c r="F52" s="150" t="str">
        <f>IFERROR(IF('5 yr'!AH55=0,"",'5 yr'!AH55),"")</f>
        <v/>
      </c>
      <c r="G52" s="156" t="str">
        <f>IFERROR(IF('5 yr'!AI55=0,"",'5 yr'!AI55),"")</f>
        <v/>
      </c>
    </row>
    <row r="53" spans="1:7">
      <c r="A53" s="149" t="str">
        <f>IF('5 yr'!A56=0,"",'5 yr'!A56)</f>
        <v/>
      </c>
      <c r="B53" s="147" t="str">
        <f>IF('5 yr'!B56=0,"",'5 yr'!B56)</f>
        <v/>
      </c>
      <c r="C53" s="148" t="str">
        <f>IF('5 yr'!E56=0,"",'5 yr'!E56)</f>
        <v/>
      </c>
      <c r="D53" s="149" t="str">
        <f>IF('5 yr'!I56=0,"",'5 yr'!I56)</f>
        <v/>
      </c>
      <c r="E53" s="150" t="str">
        <f>IFERROR(IF('5 yr'!AF56=0,"",'5 yr'!AF56),"")</f>
        <v/>
      </c>
      <c r="F53" s="150" t="str">
        <f>IFERROR(IF('5 yr'!AH56=0,"",'5 yr'!AH56),"")</f>
        <v/>
      </c>
      <c r="G53" s="156" t="str">
        <f>IFERROR(IF('5 yr'!AI56=0,"",'5 yr'!AI56),"")</f>
        <v/>
      </c>
    </row>
    <row r="54" spans="1:7">
      <c r="A54" s="149" t="str">
        <f>IF('5 yr'!A57=0,"",'5 yr'!A57)</f>
        <v/>
      </c>
      <c r="B54" s="147" t="str">
        <f>IF('5 yr'!B57=0,"",'5 yr'!B57)</f>
        <v/>
      </c>
      <c r="C54" s="148" t="str">
        <f>IF('5 yr'!E57=0,"",'5 yr'!E57)</f>
        <v/>
      </c>
      <c r="D54" s="149" t="str">
        <f>IF('5 yr'!I57=0,"",'5 yr'!I57)</f>
        <v/>
      </c>
      <c r="E54" s="150" t="str">
        <f>IFERROR(IF('5 yr'!AF57=0,"",'5 yr'!AF57),"")</f>
        <v/>
      </c>
      <c r="F54" s="150" t="str">
        <f>IFERROR(IF('5 yr'!AH57=0,"",'5 yr'!AH57),"")</f>
        <v/>
      </c>
      <c r="G54" s="156" t="str">
        <f>IFERROR(IF('5 yr'!AI57=0,"",'5 yr'!AI57),"")</f>
        <v/>
      </c>
    </row>
    <row r="55" spans="1:7">
      <c r="A55" s="149" t="str">
        <f>IF('5 yr'!A58=0,"",'5 yr'!A58)</f>
        <v/>
      </c>
      <c r="B55" s="147" t="str">
        <f>IF('5 yr'!B58=0,"",'5 yr'!B58)</f>
        <v/>
      </c>
      <c r="C55" s="148" t="str">
        <f>IF('5 yr'!E58=0,"",'5 yr'!E58)</f>
        <v/>
      </c>
      <c r="D55" s="149" t="str">
        <f>IF('5 yr'!I58=0,"",'5 yr'!I58)</f>
        <v/>
      </c>
      <c r="E55" s="150" t="str">
        <f>IFERROR(IF('5 yr'!AF58=0,"",'5 yr'!AF58),"")</f>
        <v/>
      </c>
      <c r="F55" s="150" t="str">
        <f>IFERROR(IF('5 yr'!AH58=0,"",'5 yr'!AH58),"")</f>
        <v/>
      </c>
      <c r="G55" s="156" t="str">
        <f>IFERROR(IF('5 yr'!AI58=0,"",'5 yr'!AI58),"")</f>
        <v/>
      </c>
    </row>
    <row r="56" spans="1:7">
      <c r="A56" s="149" t="str">
        <f>IF('5 yr'!A59=0,"",'5 yr'!A59)</f>
        <v/>
      </c>
      <c r="B56" s="147" t="str">
        <f>IF('5 yr'!B59=0,"",'5 yr'!B59)</f>
        <v/>
      </c>
      <c r="C56" s="148" t="str">
        <f>IF('5 yr'!E59=0,"",'5 yr'!E59)</f>
        <v/>
      </c>
      <c r="D56" s="149" t="str">
        <f>IF('5 yr'!I59=0,"",'5 yr'!I59)</f>
        <v/>
      </c>
      <c r="E56" s="150" t="str">
        <f>IFERROR(IF('5 yr'!AF59=0,"",'5 yr'!AF59),"")</f>
        <v/>
      </c>
      <c r="F56" s="150" t="str">
        <f>IFERROR(IF('5 yr'!AH59=0,"",'5 yr'!AH59),"")</f>
        <v/>
      </c>
      <c r="G56" s="156" t="str">
        <f>IFERROR(IF('5 yr'!AI59=0,"",'5 yr'!AI59),"")</f>
        <v/>
      </c>
    </row>
    <row r="57" spans="1:7">
      <c r="A57" s="149" t="str">
        <f>IF('5 yr'!A60=0,"",'5 yr'!A60)</f>
        <v/>
      </c>
      <c r="B57" s="147" t="str">
        <f>IF('5 yr'!B60=0,"",'5 yr'!B60)</f>
        <v/>
      </c>
      <c r="C57" s="148" t="str">
        <f>IF('5 yr'!E60=0,"",'5 yr'!E60)</f>
        <v/>
      </c>
      <c r="D57" s="149" t="str">
        <f>IF('5 yr'!I60=0,"",'5 yr'!I60)</f>
        <v/>
      </c>
      <c r="E57" s="150" t="str">
        <f>IFERROR(IF('5 yr'!AF60=0,"",'5 yr'!AF60),"")</f>
        <v/>
      </c>
      <c r="F57" s="150" t="str">
        <f>IFERROR(IF('5 yr'!AH60=0,"",'5 yr'!AH60),"")</f>
        <v/>
      </c>
      <c r="G57" s="156" t="str">
        <f>IFERROR(IF('5 yr'!AI60=0,"",'5 yr'!AI60),"")</f>
        <v/>
      </c>
    </row>
    <row r="58" spans="1:7">
      <c r="A58" s="149" t="str">
        <f>IF('5 yr'!A61=0,"",'5 yr'!A61)</f>
        <v/>
      </c>
      <c r="B58" s="147" t="str">
        <f>IF('5 yr'!B61=0,"",'5 yr'!B61)</f>
        <v/>
      </c>
      <c r="C58" s="148" t="str">
        <f>IF('5 yr'!E61=0,"",'5 yr'!E61)</f>
        <v/>
      </c>
      <c r="D58" s="149" t="str">
        <f>IF('5 yr'!I61=0,"",'5 yr'!I61)</f>
        <v/>
      </c>
      <c r="E58" s="150" t="str">
        <f>IFERROR(IF('5 yr'!AF61=0,"",'5 yr'!AF61),"")</f>
        <v/>
      </c>
      <c r="F58" s="150" t="str">
        <f>IFERROR(IF('5 yr'!AH61=0,"",'5 yr'!AH61),"")</f>
        <v/>
      </c>
      <c r="G58" s="156" t="str">
        <f>IFERROR(IF('5 yr'!AI61=0,"",'5 yr'!AI61),"")</f>
        <v/>
      </c>
    </row>
    <row r="59" spans="1:7">
      <c r="A59" s="149" t="str">
        <f>IF('5 yr'!A62=0,"",'5 yr'!A62)</f>
        <v/>
      </c>
      <c r="B59" s="147" t="str">
        <f>IF('5 yr'!B62=0,"",'5 yr'!B62)</f>
        <v/>
      </c>
      <c r="C59" s="148" t="str">
        <f>IF('5 yr'!E62=0,"",'5 yr'!E62)</f>
        <v/>
      </c>
      <c r="D59" s="149" t="str">
        <f>IF('5 yr'!I62=0,"",'5 yr'!I62)</f>
        <v/>
      </c>
      <c r="E59" s="150" t="str">
        <f>IFERROR(IF('5 yr'!AF62=0,"",'5 yr'!AF62),"")</f>
        <v/>
      </c>
      <c r="F59" s="150" t="str">
        <f>IFERROR(IF('5 yr'!AH62=0,"",'5 yr'!AH62),"")</f>
        <v/>
      </c>
      <c r="G59" s="156" t="str">
        <f>IFERROR(IF('5 yr'!AI62=0,"",'5 yr'!AI62),"")</f>
        <v/>
      </c>
    </row>
    <row r="60" spans="1:7">
      <c r="A60" s="149" t="str">
        <f>IF('5 yr'!A63=0,"",'5 yr'!A63)</f>
        <v/>
      </c>
      <c r="B60" s="147" t="str">
        <f>IF('5 yr'!B63=0,"",'5 yr'!B63)</f>
        <v/>
      </c>
      <c r="C60" s="148" t="str">
        <f>IF('5 yr'!E63=0,"",'5 yr'!E63)</f>
        <v/>
      </c>
      <c r="D60" s="149" t="str">
        <f>IF('5 yr'!I63=0,"",'5 yr'!I63)</f>
        <v/>
      </c>
      <c r="E60" s="150" t="str">
        <f>IFERROR(IF('5 yr'!AF63=0,"",'5 yr'!AF63),"")</f>
        <v/>
      </c>
      <c r="F60" s="150" t="str">
        <f>IFERROR(IF('5 yr'!AH63=0,"",'5 yr'!AH63),"")</f>
        <v/>
      </c>
      <c r="G60" s="156" t="str">
        <f>IFERROR(IF('5 yr'!AI63=0,"",'5 yr'!AI63),"")</f>
        <v/>
      </c>
    </row>
    <row r="61" spans="1:7">
      <c r="A61" s="149" t="str">
        <f>IF('5 yr'!A64=0,"",'5 yr'!A64)</f>
        <v/>
      </c>
      <c r="B61" s="147" t="str">
        <f>IF('5 yr'!B64=0,"",'5 yr'!B64)</f>
        <v/>
      </c>
      <c r="C61" s="148" t="str">
        <f>IF('5 yr'!E64=0,"",'5 yr'!E64)</f>
        <v/>
      </c>
      <c r="D61" s="149" t="str">
        <f>IF('5 yr'!I64=0,"",'5 yr'!I64)</f>
        <v/>
      </c>
      <c r="E61" s="150" t="str">
        <f>IFERROR(IF('5 yr'!AF64=0,"",'5 yr'!AF64),"")</f>
        <v/>
      </c>
      <c r="F61" s="150" t="str">
        <f>IFERROR(IF('5 yr'!AH64=0,"",'5 yr'!AH64),"")</f>
        <v/>
      </c>
      <c r="G61" s="156" t="str">
        <f>IFERROR(IF('5 yr'!AI64=0,"",'5 yr'!AI64),"")</f>
        <v/>
      </c>
    </row>
    <row r="62" spans="1:7">
      <c r="A62" s="149" t="str">
        <f>IF('5 yr'!A65=0,"",'5 yr'!A65)</f>
        <v/>
      </c>
      <c r="B62" s="147" t="str">
        <f>IF('5 yr'!B65=0,"",'5 yr'!B65)</f>
        <v/>
      </c>
      <c r="C62" s="148" t="str">
        <f>IF('5 yr'!E65=0,"",'5 yr'!E65)</f>
        <v/>
      </c>
      <c r="D62" s="149" t="str">
        <f>IF('5 yr'!I65=0,"",'5 yr'!I65)</f>
        <v/>
      </c>
      <c r="E62" s="150" t="str">
        <f>IFERROR(IF('5 yr'!AF65=0,"",'5 yr'!AF65),"")</f>
        <v/>
      </c>
      <c r="F62" s="150" t="str">
        <f>IFERROR(IF('5 yr'!AH65=0,"",'5 yr'!AH65),"")</f>
        <v/>
      </c>
      <c r="G62" s="156" t="str">
        <f>IFERROR(IF('5 yr'!AI65=0,"",'5 yr'!AI65),"")</f>
        <v/>
      </c>
    </row>
    <row r="63" spans="1:7">
      <c r="A63" s="149" t="str">
        <f>IF('5 yr'!A66=0,"",'5 yr'!A66)</f>
        <v/>
      </c>
      <c r="B63" s="147" t="str">
        <f>IF('5 yr'!B66=0,"",'5 yr'!B66)</f>
        <v/>
      </c>
      <c r="C63" s="148" t="str">
        <f>IF('5 yr'!E66=0,"",'5 yr'!E66)</f>
        <v/>
      </c>
      <c r="D63" s="149" t="str">
        <f>IF('5 yr'!I66=0,"",'5 yr'!I66)</f>
        <v/>
      </c>
      <c r="E63" s="150" t="str">
        <f>IFERROR(IF('5 yr'!AF66=0,"",'5 yr'!AF66),"")</f>
        <v/>
      </c>
      <c r="F63" s="150" t="str">
        <f>IFERROR(IF('5 yr'!AH66=0,"",'5 yr'!AH66),"")</f>
        <v/>
      </c>
      <c r="G63" s="156" t="str">
        <f>IFERROR(IF('5 yr'!AI66=0,"",'5 yr'!AI66),"")</f>
        <v/>
      </c>
    </row>
    <row r="64" spans="1:7">
      <c r="A64" s="149" t="str">
        <f>IF('5 yr'!A67=0,"",'5 yr'!A67)</f>
        <v/>
      </c>
      <c r="B64" s="147" t="str">
        <f>IF('5 yr'!B67=0,"",'5 yr'!B67)</f>
        <v/>
      </c>
      <c r="C64" s="148" t="str">
        <f>IF('5 yr'!E67=0,"",'5 yr'!E67)</f>
        <v/>
      </c>
      <c r="D64" s="149" t="str">
        <f>IF('5 yr'!I67=0,"",'5 yr'!I67)</f>
        <v/>
      </c>
      <c r="E64" s="150" t="str">
        <f>IFERROR(IF('5 yr'!AF67=0,"",'5 yr'!AF67),"")</f>
        <v/>
      </c>
      <c r="F64" s="150" t="str">
        <f>IFERROR(IF('5 yr'!AH67=0,"",'5 yr'!AH67),"")</f>
        <v/>
      </c>
      <c r="G64" s="156" t="str">
        <f>IFERROR(IF('5 yr'!AI67=0,"",'5 yr'!AI67),"")</f>
        <v/>
      </c>
    </row>
    <row r="65" spans="1:7">
      <c r="A65" s="149" t="str">
        <f>IF('5 yr'!A68=0,"",'5 yr'!A68)</f>
        <v/>
      </c>
      <c r="B65" s="147" t="str">
        <f>IF('5 yr'!B68=0,"",'5 yr'!B68)</f>
        <v/>
      </c>
      <c r="C65" s="148" t="str">
        <f>IF('5 yr'!E68=0,"",'5 yr'!E68)</f>
        <v/>
      </c>
      <c r="D65" s="149" t="str">
        <f>IF('5 yr'!I68=0,"",'5 yr'!I68)</f>
        <v/>
      </c>
      <c r="E65" s="150" t="str">
        <f>IFERROR(IF('5 yr'!AF68=0,"",'5 yr'!AF68),"")</f>
        <v/>
      </c>
      <c r="F65" s="150" t="str">
        <f>IFERROR(IF('5 yr'!AH68=0,"",'5 yr'!AH68),"")</f>
        <v/>
      </c>
      <c r="G65" s="156" t="str">
        <f>IFERROR(IF('5 yr'!AI68=0,"",'5 yr'!AI68),"")</f>
        <v/>
      </c>
    </row>
    <row r="66" spans="1:7">
      <c r="A66" s="149" t="str">
        <f>IF('5 yr'!A69=0,"",'5 yr'!A69)</f>
        <v/>
      </c>
      <c r="B66" s="147" t="str">
        <f>IF('5 yr'!B69=0,"",'5 yr'!B69)</f>
        <v/>
      </c>
      <c r="C66" s="148" t="str">
        <f>IF('5 yr'!E69=0,"",'5 yr'!E69)</f>
        <v/>
      </c>
      <c r="D66" s="149" t="str">
        <f>IF('5 yr'!I69=0,"",'5 yr'!I69)</f>
        <v/>
      </c>
      <c r="E66" s="150" t="str">
        <f>IFERROR(IF('5 yr'!AF69=0,"",'5 yr'!AF69),"")</f>
        <v/>
      </c>
      <c r="F66" s="150" t="str">
        <f>IFERROR(IF('5 yr'!AH69=0,"",'5 yr'!AH69),"")</f>
        <v/>
      </c>
      <c r="G66" s="156" t="str">
        <f>IFERROR(IF('5 yr'!AI69=0,"",'5 yr'!AI69),"")</f>
        <v/>
      </c>
    </row>
    <row r="67" spans="1:7">
      <c r="A67" s="149" t="str">
        <f>IF('5 yr'!A70=0,"",'5 yr'!A70)</f>
        <v/>
      </c>
      <c r="B67" s="147" t="str">
        <f>IF('5 yr'!B70=0,"",'5 yr'!B70)</f>
        <v/>
      </c>
      <c r="C67" s="148" t="str">
        <f>IF('5 yr'!E70=0,"",'5 yr'!E70)</f>
        <v/>
      </c>
      <c r="D67" s="149" t="str">
        <f>IF('5 yr'!I70=0,"",'5 yr'!I70)</f>
        <v/>
      </c>
      <c r="E67" s="150" t="str">
        <f>IFERROR(IF('5 yr'!AF70=0,"",'5 yr'!AF70),"")</f>
        <v/>
      </c>
      <c r="F67" s="150" t="str">
        <f>IFERROR(IF('5 yr'!AH70=0,"",'5 yr'!AH70),"")</f>
        <v/>
      </c>
      <c r="G67" s="156" t="str">
        <f>IFERROR(IF('5 yr'!AI70=0,"",'5 yr'!AI70),"")</f>
        <v/>
      </c>
    </row>
    <row r="68" spans="1:7">
      <c r="A68" s="149" t="str">
        <f>IF('5 yr'!A71=0,"",'5 yr'!A71)</f>
        <v/>
      </c>
      <c r="B68" s="147" t="str">
        <f>IF('5 yr'!B71=0,"",'5 yr'!B71)</f>
        <v/>
      </c>
      <c r="C68" s="148" t="str">
        <f>IF('5 yr'!E71=0,"",'5 yr'!E71)</f>
        <v/>
      </c>
      <c r="D68" s="149" t="str">
        <f>IF('5 yr'!I71=0,"",'5 yr'!I71)</f>
        <v/>
      </c>
      <c r="E68" s="150" t="str">
        <f>IFERROR(IF('5 yr'!AF71=0,"",'5 yr'!AF71),"")</f>
        <v/>
      </c>
      <c r="F68" s="150" t="str">
        <f>IFERROR(IF('5 yr'!AH71=0,"",'5 yr'!AH71),"")</f>
        <v/>
      </c>
      <c r="G68" s="156" t="str">
        <f>IFERROR(IF('5 yr'!AI71=0,"",'5 yr'!AI71),"")</f>
        <v/>
      </c>
    </row>
    <row r="69" spans="1:7">
      <c r="A69" s="149" t="str">
        <f>IF('5 yr'!A72=0,"",'5 yr'!A72)</f>
        <v/>
      </c>
      <c r="B69" s="147" t="str">
        <f>IF('5 yr'!B72=0,"",'5 yr'!B72)</f>
        <v/>
      </c>
      <c r="C69" s="148" t="str">
        <f>IF('5 yr'!E72=0,"",'5 yr'!E72)</f>
        <v/>
      </c>
      <c r="D69" s="149" t="str">
        <f>IF('5 yr'!I72=0,"",'5 yr'!I72)</f>
        <v/>
      </c>
      <c r="E69" s="150" t="str">
        <f>IFERROR(IF('5 yr'!AF72=0,"",'5 yr'!AF72),"")</f>
        <v/>
      </c>
      <c r="F69" s="150" t="str">
        <f>IFERROR(IF('5 yr'!AH72=0,"",'5 yr'!AH72),"")</f>
        <v/>
      </c>
      <c r="G69" s="156" t="str">
        <f>IFERROR(IF('5 yr'!AI72=0,"",'5 yr'!AI72),"")</f>
        <v/>
      </c>
    </row>
    <row r="70" spans="1:7">
      <c r="A70" s="149" t="str">
        <f>IF('5 yr'!A73=0,"",'5 yr'!A73)</f>
        <v/>
      </c>
      <c r="B70" s="147" t="str">
        <f>IF('5 yr'!B73=0,"",'5 yr'!B73)</f>
        <v/>
      </c>
      <c r="C70" s="148" t="str">
        <f>IF('5 yr'!E73=0,"",'5 yr'!E73)</f>
        <v/>
      </c>
      <c r="D70" s="149" t="str">
        <f>IF('5 yr'!I73=0,"",'5 yr'!I73)</f>
        <v/>
      </c>
      <c r="E70" s="150" t="str">
        <f>IFERROR(IF('5 yr'!AF73=0,"",'5 yr'!AF73),"")</f>
        <v/>
      </c>
      <c r="F70" s="150" t="str">
        <f>IFERROR(IF('5 yr'!AH73=0,"",'5 yr'!AH73),"")</f>
        <v/>
      </c>
      <c r="G70" s="156" t="str">
        <f>IFERROR(IF('5 yr'!AI73=0,"",'5 yr'!AI73),"")</f>
        <v/>
      </c>
    </row>
    <row r="71" spans="1:7">
      <c r="A71" s="149" t="str">
        <f>IF('5 yr'!A74=0,"",'5 yr'!A74)</f>
        <v/>
      </c>
      <c r="B71" s="147" t="str">
        <f>IF('5 yr'!B74=0,"",'5 yr'!B74)</f>
        <v/>
      </c>
      <c r="C71" s="148" t="str">
        <f>IF('5 yr'!E74=0,"",'5 yr'!E74)</f>
        <v/>
      </c>
      <c r="D71" s="149" t="str">
        <f>IF('5 yr'!I74=0,"",'5 yr'!I74)</f>
        <v/>
      </c>
      <c r="E71" s="150" t="str">
        <f>IFERROR(IF('5 yr'!AF74=0,"",'5 yr'!AF74),"")</f>
        <v/>
      </c>
      <c r="F71" s="150" t="str">
        <f>IFERROR(IF('5 yr'!AH74=0,"",'5 yr'!AH74),"")</f>
        <v/>
      </c>
      <c r="G71" s="156" t="str">
        <f>IFERROR(IF('5 yr'!AI74=0,"",'5 yr'!AI74),"")</f>
        <v/>
      </c>
    </row>
    <row r="72" spans="1:7">
      <c r="A72" s="149" t="str">
        <f>IF('5 yr'!A75=0,"",'5 yr'!A75)</f>
        <v/>
      </c>
      <c r="B72" s="147" t="str">
        <f>IF('5 yr'!B75=0,"",'5 yr'!B75)</f>
        <v/>
      </c>
      <c r="C72" s="148" t="str">
        <f>IF('5 yr'!E75=0,"",'5 yr'!E75)</f>
        <v/>
      </c>
      <c r="D72" s="149" t="str">
        <f>IF('5 yr'!I75=0,"",'5 yr'!I75)</f>
        <v/>
      </c>
      <c r="E72" s="150" t="str">
        <f>IFERROR(IF('5 yr'!AF75=0,"",'5 yr'!AF75),"")</f>
        <v/>
      </c>
      <c r="F72" s="150" t="str">
        <f>IFERROR(IF('5 yr'!AH75=0,"",'5 yr'!AH75),"")</f>
        <v/>
      </c>
      <c r="G72" s="156" t="str">
        <f>IFERROR(IF('5 yr'!AI75=0,"",'5 yr'!AI75),"")</f>
        <v/>
      </c>
    </row>
    <row r="73" spans="1:7">
      <c r="A73" s="149" t="str">
        <f>IF('5 yr'!A76=0,"",'5 yr'!A76)</f>
        <v/>
      </c>
      <c r="B73" s="147" t="str">
        <f>IF('5 yr'!B76=0,"",'5 yr'!B76)</f>
        <v/>
      </c>
      <c r="C73" s="148" t="str">
        <f>IF('5 yr'!E76=0,"",'5 yr'!E76)</f>
        <v/>
      </c>
      <c r="D73" s="149" t="str">
        <f>IF('5 yr'!I76=0,"",'5 yr'!I76)</f>
        <v/>
      </c>
      <c r="E73" s="150" t="str">
        <f>IFERROR(IF('5 yr'!AF76=0,"",'5 yr'!AF76),"")</f>
        <v/>
      </c>
      <c r="F73" s="150" t="str">
        <f>IFERROR(IF('5 yr'!AH76=0,"",'5 yr'!AH76),"")</f>
        <v/>
      </c>
      <c r="G73" s="156" t="str">
        <f>IFERROR(IF('5 yr'!AI76=0,"",'5 yr'!AI76),"")</f>
        <v/>
      </c>
    </row>
    <row r="74" spans="1:7">
      <c r="A74" s="149" t="str">
        <f>IF('5 yr'!A77=0,"",'5 yr'!A77)</f>
        <v/>
      </c>
      <c r="B74" s="147" t="str">
        <f>IF('5 yr'!B77=0,"",'5 yr'!B77)</f>
        <v/>
      </c>
      <c r="C74" s="148" t="str">
        <f>IF('5 yr'!E77=0,"",'5 yr'!E77)</f>
        <v/>
      </c>
      <c r="D74" s="149" t="str">
        <f>IF('5 yr'!I77=0,"",'5 yr'!I77)</f>
        <v/>
      </c>
      <c r="E74" s="150" t="str">
        <f>IFERROR(IF('5 yr'!AF77=0,"",'5 yr'!AF77),"")</f>
        <v/>
      </c>
      <c r="F74" s="150" t="str">
        <f>IFERROR(IF('5 yr'!AH77=0,"",'5 yr'!AH77),"")</f>
        <v/>
      </c>
      <c r="G74" s="156" t="str">
        <f>IFERROR(IF('5 yr'!AI77=0,"",'5 yr'!AI77),"")</f>
        <v/>
      </c>
    </row>
    <row r="75" spans="1:7">
      <c r="A75" s="149" t="str">
        <f>IF('5 yr'!A78=0,"",'5 yr'!A78)</f>
        <v/>
      </c>
      <c r="B75" s="147" t="str">
        <f>IF('5 yr'!B78=0,"",'5 yr'!B78)</f>
        <v/>
      </c>
      <c r="C75" s="148" t="str">
        <f>IF('5 yr'!E78=0,"",'5 yr'!E78)</f>
        <v/>
      </c>
      <c r="D75" s="149" t="str">
        <f>IF('5 yr'!I78=0,"",'5 yr'!I78)</f>
        <v/>
      </c>
      <c r="E75" s="150" t="str">
        <f>IFERROR(IF('5 yr'!AF78=0,"",'5 yr'!AF78),"")</f>
        <v/>
      </c>
      <c r="F75" s="150" t="str">
        <f>IFERROR(IF('5 yr'!AH78=0,"",'5 yr'!AH78),"")</f>
        <v/>
      </c>
      <c r="G75" s="156" t="str">
        <f>IFERROR(IF('5 yr'!AI78=0,"",'5 yr'!AI78),"")</f>
        <v/>
      </c>
    </row>
    <row r="76" spans="1:7">
      <c r="A76" s="149" t="str">
        <f>IF('5 yr'!A79=0,"",'5 yr'!A79)</f>
        <v/>
      </c>
      <c r="B76" s="147" t="str">
        <f>IF('5 yr'!B79=0,"",'5 yr'!B79)</f>
        <v/>
      </c>
      <c r="C76" s="148" t="str">
        <f>IF('5 yr'!E79=0,"",'5 yr'!E79)</f>
        <v/>
      </c>
      <c r="D76" s="149" t="str">
        <f>IF('5 yr'!I79=0,"",'5 yr'!I79)</f>
        <v/>
      </c>
      <c r="E76" s="150" t="str">
        <f>IFERROR(IF('5 yr'!AF79=0,"",'5 yr'!AF79),"")</f>
        <v/>
      </c>
      <c r="F76" s="150" t="str">
        <f>IFERROR(IF('5 yr'!AH79=0,"",'5 yr'!AH79),"")</f>
        <v/>
      </c>
      <c r="G76" s="156" t="str">
        <f>IFERROR(IF('5 yr'!AI79=0,"",'5 yr'!AI79),"")</f>
        <v/>
      </c>
    </row>
    <row r="77" spans="1:7">
      <c r="A77" s="149" t="str">
        <f>IF('5 yr'!A80=0,"",'5 yr'!A80)</f>
        <v/>
      </c>
      <c r="B77" s="147" t="str">
        <f>IF('5 yr'!B80=0,"",'5 yr'!B80)</f>
        <v/>
      </c>
      <c r="C77" s="148" t="str">
        <f>IF('5 yr'!E80=0,"",'5 yr'!E80)</f>
        <v/>
      </c>
      <c r="D77" s="149" t="str">
        <f>IF('5 yr'!I80=0,"",'5 yr'!I80)</f>
        <v/>
      </c>
      <c r="E77" s="150" t="str">
        <f>IFERROR(IF('5 yr'!AF80=0,"",'5 yr'!AF80),"")</f>
        <v/>
      </c>
      <c r="F77" s="150" t="str">
        <f>IFERROR(IF('5 yr'!AH80=0,"",'5 yr'!AH80),"")</f>
        <v/>
      </c>
      <c r="G77" s="156" t="str">
        <f>IFERROR(IF('5 yr'!AI80=0,"",'5 yr'!AI80),"")</f>
        <v/>
      </c>
    </row>
    <row r="78" spans="1:7">
      <c r="A78" s="149" t="str">
        <f>IF('5 yr'!A81=0,"",'5 yr'!A81)</f>
        <v/>
      </c>
      <c r="B78" s="147" t="str">
        <f>IF('5 yr'!B81=0,"",'5 yr'!B81)</f>
        <v/>
      </c>
      <c r="C78" s="148" t="str">
        <f>IF('5 yr'!E81=0,"",'5 yr'!E81)</f>
        <v/>
      </c>
      <c r="D78" s="149" t="str">
        <f>IF('5 yr'!I81=0,"",'5 yr'!I81)</f>
        <v/>
      </c>
      <c r="E78" s="150" t="str">
        <f>IFERROR(IF('5 yr'!AF81=0,"",'5 yr'!AF81),"")</f>
        <v/>
      </c>
      <c r="F78" s="150" t="str">
        <f>IFERROR(IF('5 yr'!AH81=0,"",'5 yr'!AH81),"")</f>
        <v/>
      </c>
      <c r="G78" s="156" t="str">
        <f>IFERROR(IF('5 yr'!AI81=0,"",'5 yr'!AI81),"")</f>
        <v/>
      </c>
    </row>
    <row r="79" spans="1:7">
      <c r="A79" s="149" t="str">
        <f>IF('5 yr'!A82=0,"",'5 yr'!A82)</f>
        <v/>
      </c>
      <c r="B79" s="147" t="str">
        <f>IF('5 yr'!B82=0,"",'5 yr'!B82)</f>
        <v/>
      </c>
      <c r="C79" s="148" t="str">
        <f>IF('5 yr'!E82=0,"",'5 yr'!E82)</f>
        <v/>
      </c>
      <c r="D79" s="149" t="str">
        <f>IF('5 yr'!I82=0,"",'5 yr'!I82)</f>
        <v/>
      </c>
      <c r="E79" s="150" t="str">
        <f>IFERROR(IF('5 yr'!AF82=0,"",'5 yr'!AF82),"")</f>
        <v/>
      </c>
      <c r="F79" s="150" t="str">
        <f>IFERROR(IF('5 yr'!AH82=0,"",'5 yr'!AH82),"")</f>
        <v/>
      </c>
      <c r="G79" s="156" t="str">
        <f>IFERROR(IF('5 yr'!AI82=0,"",'5 yr'!AI82),"")</f>
        <v/>
      </c>
    </row>
    <row r="80" spans="1:7">
      <c r="A80" s="149" t="str">
        <f>IF('5 yr'!A83=0,"",'5 yr'!A83)</f>
        <v/>
      </c>
      <c r="B80" s="147" t="str">
        <f>IF('5 yr'!B83=0,"",'5 yr'!B83)</f>
        <v/>
      </c>
      <c r="C80" s="148" t="str">
        <f>IF('5 yr'!E83=0,"",'5 yr'!E83)</f>
        <v/>
      </c>
      <c r="D80" s="149" t="str">
        <f>IF('5 yr'!I83=0,"",'5 yr'!I83)</f>
        <v/>
      </c>
      <c r="E80" s="150" t="str">
        <f>IFERROR(IF('5 yr'!AF83=0,"",'5 yr'!AF83),"")</f>
        <v/>
      </c>
      <c r="F80" s="150" t="str">
        <f>IFERROR(IF('5 yr'!AH83=0,"",'5 yr'!AH83),"")</f>
        <v/>
      </c>
      <c r="G80" s="156" t="str">
        <f>IFERROR(IF('5 yr'!AI83=0,"",'5 yr'!AI83),"")</f>
        <v/>
      </c>
    </row>
    <row r="81" spans="1:7">
      <c r="A81" s="149" t="str">
        <f>IF('5 yr'!A84=0,"",'5 yr'!A84)</f>
        <v/>
      </c>
      <c r="B81" s="147" t="str">
        <f>IF('5 yr'!B84=0,"",'5 yr'!B84)</f>
        <v/>
      </c>
      <c r="C81" s="148" t="str">
        <f>IF('5 yr'!E84=0,"",'5 yr'!E84)</f>
        <v/>
      </c>
      <c r="D81" s="149" t="str">
        <f>IF('5 yr'!I84=0,"",'5 yr'!I84)</f>
        <v/>
      </c>
      <c r="E81" s="150" t="str">
        <f>IFERROR(IF('5 yr'!AF84=0,"",'5 yr'!AF84),"")</f>
        <v/>
      </c>
      <c r="F81" s="150" t="str">
        <f>IFERROR(IF('5 yr'!AH84=0,"",'5 yr'!AH84),"")</f>
        <v/>
      </c>
      <c r="G81" s="156" t="str">
        <f>IFERROR(IF('5 yr'!AI84=0,"",'5 yr'!AI84),"")</f>
        <v/>
      </c>
    </row>
    <row r="82" spans="1:7">
      <c r="A82" s="149" t="str">
        <f>IF('5 yr'!A85=0,"",'5 yr'!A85)</f>
        <v/>
      </c>
      <c r="B82" s="147" t="str">
        <f>IF('5 yr'!B85=0,"",'5 yr'!B85)</f>
        <v/>
      </c>
      <c r="C82" s="148" t="str">
        <f>IF('5 yr'!E85=0,"",'5 yr'!E85)</f>
        <v/>
      </c>
      <c r="D82" s="149" t="str">
        <f>IF('5 yr'!I85=0,"",'5 yr'!I85)</f>
        <v/>
      </c>
      <c r="E82" s="150" t="str">
        <f>IFERROR(IF('5 yr'!AF85=0,"",'5 yr'!AF85),"")</f>
        <v/>
      </c>
      <c r="F82" s="150" t="str">
        <f>IFERROR(IF('5 yr'!AH85=0,"",'5 yr'!AH85),"")</f>
        <v/>
      </c>
      <c r="G82" s="156" t="str">
        <f>IFERROR(IF('5 yr'!AI85=0,"",'5 yr'!AI85),"")</f>
        <v/>
      </c>
    </row>
    <row r="83" spans="1:7">
      <c r="A83" s="149" t="str">
        <f>IF('5 yr'!A86=0,"",'5 yr'!A86)</f>
        <v/>
      </c>
      <c r="B83" s="147" t="str">
        <f>IF('5 yr'!B86=0,"",'5 yr'!B86)</f>
        <v/>
      </c>
      <c r="C83" s="148" t="str">
        <f>IF('5 yr'!E86=0,"",'5 yr'!E86)</f>
        <v/>
      </c>
      <c r="D83" s="149" t="str">
        <f>IF('5 yr'!I86=0,"",'5 yr'!I86)</f>
        <v/>
      </c>
      <c r="E83" s="150" t="str">
        <f>IFERROR(IF('5 yr'!AF86=0,"",'5 yr'!AF86),"")</f>
        <v/>
      </c>
      <c r="F83" s="150" t="str">
        <f>IFERROR(IF('5 yr'!AH86=0,"",'5 yr'!AH86),"")</f>
        <v/>
      </c>
      <c r="G83" s="156" t="str">
        <f>IFERROR(IF('5 yr'!AI86=0,"",'5 yr'!AI86),"")</f>
        <v/>
      </c>
    </row>
    <row r="84" spans="1:7">
      <c r="A84" s="149" t="str">
        <f>IF('5 yr'!A87=0,"",'5 yr'!A87)</f>
        <v/>
      </c>
      <c r="B84" s="147" t="str">
        <f>IF('5 yr'!B87=0,"",'5 yr'!B87)</f>
        <v/>
      </c>
      <c r="C84" s="148" t="str">
        <f>IF('5 yr'!E87=0,"",'5 yr'!E87)</f>
        <v/>
      </c>
      <c r="D84" s="149" t="str">
        <f>IF('5 yr'!I87=0,"",'5 yr'!I87)</f>
        <v/>
      </c>
      <c r="E84" s="150" t="str">
        <f>IFERROR(IF('5 yr'!AF87=0,"",'5 yr'!AF87),"")</f>
        <v/>
      </c>
      <c r="F84" s="150" t="str">
        <f>IFERROR(IF('5 yr'!AH87=0,"",'5 yr'!AH87),"")</f>
        <v/>
      </c>
      <c r="G84" s="156" t="str">
        <f>IFERROR(IF('5 yr'!AI87=0,"",'5 yr'!AI87),"")</f>
        <v/>
      </c>
    </row>
    <row r="85" spans="1:7">
      <c r="A85" s="149" t="str">
        <f>IF('5 yr'!A88=0,"",'5 yr'!A88)</f>
        <v/>
      </c>
      <c r="B85" s="147" t="str">
        <f>IF('5 yr'!B88=0,"",'5 yr'!B88)</f>
        <v/>
      </c>
      <c r="C85" s="148" t="str">
        <f>IF('5 yr'!E88=0,"",'5 yr'!E88)</f>
        <v/>
      </c>
      <c r="D85" s="149" t="str">
        <f>IF('5 yr'!I88=0,"",'5 yr'!I88)</f>
        <v/>
      </c>
      <c r="E85" s="150" t="str">
        <f>IFERROR(IF('5 yr'!AF88=0,"",'5 yr'!AF88),"")</f>
        <v/>
      </c>
      <c r="F85" s="150" t="str">
        <f>IFERROR(IF('5 yr'!AH88=0,"",'5 yr'!AH88),"")</f>
        <v/>
      </c>
      <c r="G85" s="156" t="str">
        <f>IFERROR(IF('5 yr'!AI88=0,"",'5 yr'!AI88),"")</f>
        <v/>
      </c>
    </row>
    <row r="86" spans="1:7">
      <c r="A86" s="149" t="str">
        <f>IF('5 yr'!A89=0,"",'5 yr'!A89)</f>
        <v/>
      </c>
      <c r="B86" s="147" t="str">
        <f>IF('5 yr'!B89=0,"",'5 yr'!B89)</f>
        <v/>
      </c>
      <c r="C86" s="148" t="str">
        <f>IF('5 yr'!E89=0,"",'5 yr'!E89)</f>
        <v/>
      </c>
      <c r="D86" s="149" t="str">
        <f>IF('5 yr'!I89=0,"",'5 yr'!I89)</f>
        <v/>
      </c>
      <c r="E86" s="150" t="str">
        <f>IFERROR(IF('5 yr'!AF89=0,"",'5 yr'!AF89),"")</f>
        <v/>
      </c>
      <c r="F86" s="150" t="str">
        <f>IFERROR(IF('5 yr'!AH89=0,"",'5 yr'!AH89),"")</f>
        <v/>
      </c>
      <c r="G86" s="156" t="str">
        <f>IFERROR(IF('5 yr'!AI89=0,"",'5 yr'!AI89),"")</f>
        <v/>
      </c>
    </row>
    <row r="87" spans="1:7">
      <c r="A87" s="149" t="str">
        <f>IF('5 yr'!A90=0,"",'5 yr'!A90)</f>
        <v/>
      </c>
      <c r="B87" s="147" t="str">
        <f>IF('5 yr'!B90=0,"",'5 yr'!B90)</f>
        <v/>
      </c>
      <c r="C87" s="148" t="str">
        <f>IF('5 yr'!E90=0,"",'5 yr'!E90)</f>
        <v/>
      </c>
      <c r="D87" s="149" t="str">
        <f>IF('5 yr'!I90=0,"",'5 yr'!I90)</f>
        <v/>
      </c>
      <c r="E87" s="150" t="str">
        <f>IFERROR(IF('5 yr'!AF90=0,"",'5 yr'!AF90),"")</f>
        <v/>
      </c>
      <c r="F87" s="150" t="str">
        <f>IFERROR(IF('5 yr'!AH90=0,"",'5 yr'!AH90),"")</f>
        <v/>
      </c>
      <c r="G87" s="156" t="str">
        <f>IFERROR(IF('5 yr'!AI90=0,"",'5 yr'!AI90),"")</f>
        <v/>
      </c>
    </row>
    <row r="88" spans="1:7">
      <c r="A88" s="149" t="str">
        <f>IF('5 yr'!A91=0,"",'5 yr'!A91)</f>
        <v/>
      </c>
      <c r="B88" s="147" t="str">
        <f>IF('5 yr'!B91=0,"",'5 yr'!B91)</f>
        <v/>
      </c>
      <c r="C88" s="148" t="str">
        <f>IF('5 yr'!E91=0,"",'5 yr'!E91)</f>
        <v/>
      </c>
      <c r="D88" s="149" t="str">
        <f>IF('5 yr'!I91=0,"",'5 yr'!I91)</f>
        <v/>
      </c>
      <c r="E88" s="150" t="str">
        <f>IFERROR(IF('5 yr'!AF91=0,"",'5 yr'!AF91),"")</f>
        <v/>
      </c>
      <c r="F88" s="150" t="str">
        <f>IFERROR(IF('5 yr'!AH91=0,"",'5 yr'!AH91),"")</f>
        <v/>
      </c>
      <c r="G88" s="156" t="str">
        <f>IFERROR(IF('5 yr'!AI91=0,"",'5 yr'!AI91),"")</f>
        <v/>
      </c>
    </row>
    <row r="89" spans="1:7">
      <c r="A89" s="149" t="str">
        <f>IF('5 yr'!A92=0,"",'5 yr'!A92)</f>
        <v/>
      </c>
      <c r="B89" s="147" t="str">
        <f>IF('5 yr'!B92=0,"",'5 yr'!B92)</f>
        <v/>
      </c>
      <c r="C89" s="148" t="str">
        <f>IF('5 yr'!E92=0,"",'5 yr'!E92)</f>
        <v/>
      </c>
      <c r="D89" s="149" t="str">
        <f>IF('5 yr'!I92=0,"",'5 yr'!I92)</f>
        <v/>
      </c>
      <c r="E89" s="150" t="str">
        <f>IFERROR(IF('5 yr'!AF92=0,"",'5 yr'!AF92),"")</f>
        <v/>
      </c>
      <c r="F89" s="150" t="str">
        <f>IFERROR(IF('5 yr'!AH92=0,"",'5 yr'!AH92),"")</f>
        <v/>
      </c>
      <c r="G89" s="156" t="str">
        <f>IFERROR(IF('5 yr'!AI92=0,"",'5 yr'!AI92),"")</f>
        <v/>
      </c>
    </row>
    <row r="90" spans="1:7">
      <c r="A90" s="149" t="str">
        <f>IF('5 yr'!A93=0,"",'5 yr'!A93)</f>
        <v/>
      </c>
      <c r="B90" s="147" t="str">
        <f>IF('5 yr'!B93=0,"",'5 yr'!B93)</f>
        <v/>
      </c>
      <c r="C90" s="148" t="str">
        <f>IF('5 yr'!E93=0,"",'5 yr'!E93)</f>
        <v/>
      </c>
      <c r="D90" s="149" t="str">
        <f>IF('5 yr'!I93=0,"",'5 yr'!I93)</f>
        <v/>
      </c>
      <c r="E90" s="150" t="str">
        <f>IFERROR(IF('5 yr'!AF93=0,"",'5 yr'!AF93),"")</f>
        <v/>
      </c>
      <c r="F90" s="150" t="str">
        <f>IFERROR(IF('5 yr'!AH93=0,"",'5 yr'!AH93),"")</f>
        <v/>
      </c>
      <c r="G90" s="156" t="str">
        <f>IFERROR(IF('5 yr'!AI93=0,"",'5 yr'!AI93),"")</f>
        <v/>
      </c>
    </row>
    <row r="91" spans="1:7">
      <c r="A91" s="149" t="str">
        <f>IF('5 yr'!A94=0,"",'5 yr'!A94)</f>
        <v/>
      </c>
      <c r="B91" s="147" t="str">
        <f>IF('5 yr'!B94=0,"",'5 yr'!B94)</f>
        <v/>
      </c>
      <c r="C91" s="148" t="str">
        <f>IF('5 yr'!E94=0,"",'5 yr'!E94)</f>
        <v/>
      </c>
      <c r="D91" s="149" t="str">
        <f>IF('5 yr'!I94=0,"",'5 yr'!I94)</f>
        <v/>
      </c>
      <c r="E91" s="150" t="str">
        <f>IFERROR(IF('5 yr'!AF94=0,"",'5 yr'!AF94),"")</f>
        <v/>
      </c>
      <c r="F91" s="150" t="str">
        <f>IFERROR(IF('5 yr'!AH94=0,"",'5 yr'!AH94),"")</f>
        <v/>
      </c>
      <c r="G91" s="156" t="str">
        <f>IFERROR(IF('5 yr'!AI94=0,"",'5 yr'!AI94),"")</f>
        <v/>
      </c>
    </row>
    <row r="92" spans="1:7">
      <c r="A92" s="149" t="str">
        <f>IF('5 yr'!A95=0,"",'5 yr'!A95)</f>
        <v/>
      </c>
      <c r="B92" s="147" t="str">
        <f>IF('5 yr'!B95=0,"",'5 yr'!B95)</f>
        <v/>
      </c>
      <c r="C92" s="148" t="str">
        <f>IF('5 yr'!E95=0,"",'5 yr'!E95)</f>
        <v/>
      </c>
      <c r="D92" s="149" t="str">
        <f>IF('5 yr'!I95=0,"",'5 yr'!I95)</f>
        <v/>
      </c>
      <c r="E92" s="150" t="str">
        <f>IFERROR(IF('5 yr'!AF95=0,"",'5 yr'!AF95),"")</f>
        <v/>
      </c>
      <c r="F92" s="150" t="str">
        <f>IFERROR(IF('5 yr'!AH95=0,"",'5 yr'!AH95),"")</f>
        <v/>
      </c>
      <c r="G92" s="156" t="str">
        <f>IFERROR(IF('5 yr'!AI95=0,"",'5 yr'!AI95),"")</f>
        <v/>
      </c>
    </row>
    <row r="93" spans="1:7">
      <c r="A93" s="149" t="str">
        <f>IF('5 yr'!A96=0,"",'5 yr'!A96)</f>
        <v/>
      </c>
      <c r="B93" s="147" t="str">
        <f>IF('5 yr'!B96=0,"",'5 yr'!B96)</f>
        <v/>
      </c>
      <c r="C93" s="148" t="str">
        <f>IF('5 yr'!E96=0,"",'5 yr'!E96)</f>
        <v/>
      </c>
      <c r="D93" s="149" t="str">
        <f>IF('5 yr'!I96=0,"",'5 yr'!I96)</f>
        <v/>
      </c>
      <c r="E93" s="150" t="str">
        <f>IFERROR(IF('5 yr'!AF96=0,"",'5 yr'!AF96),"")</f>
        <v/>
      </c>
      <c r="F93" s="150" t="str">
        <f>IFERROR(IF('5 yr'!AH96=0,"",'5 yr'!AH96),"")</f>
        <v/>
      </c>
      <c r="G93" s="156" t="str">
        <f>IFERROR(IF('5 yr'!AI96=0,"",'5 yr'!AI96),"")</f>
        <v/>
      </c>
    </row>
    <row r="94" spans="1:7">
      <c r="A94" s="149" t="str">
        <f>IF('5 yr'!A97=0,"",'5 yr'!A97)</f>
        <v/>
      </c>
      <c r="B94" s="147" t="str">
        <f>IF('5 yr'!B97=0,"",'5 yr'!B97)</f>
        <v/>
      </c>
      <c r="C94" s="148" t="str">
        <f>IF('5 yr'!E97=0,"",'5 yr'!E97)</f>
        <v/>
      </c>
      <c r="D94" s="149" t="str">
        <f>IF('5 yr'!I97=0,"",'5 yr'!I97)</f>
        <v/>
      </c>
      <c r="E94" s="150" t="str">
        <f>IFERROR(IF('5 yr'!AF97=0,"",'5 yr'!AF97),"")</f>
        <v/>
      </c>
      <c r="F94" s="150" t="str">
        <f>IFERROR(IF('5 yr'!AH97=0,"",'5 yr'!AH97),"")</f>
        <v/>
      </c>
      <c r="G94" s="156" t="str">
        <f>IFERROR(IF('5 yr'!AI97=0,"",'5 yr'!AI97),"")</f>
        <v/>
      </c>
    </row>
    <row r="95" spans="1:7">
      <c r="A95" s="149" t="str">
        <f>IF('5 yr'!A98=0,"",'5 yr'!A98)</f>
        <v/>
      </c>
      <c r="B95" s="147" t="str">
        <f>IF('5 yr'!B98=0,"",'5 yr'!B98)</f>
        <v/>
      </c>
      <c r="C95" s="148" t="str">
        <f>IF('5 yr'!E98=0,"",'5 yr'!E98)</f>
        <v/>
      </c>
      <c r="D95" s="149" t="str">
        <f>IF('5 yr'!I98=0,"",'5 yr'!I98)</f>
        <v/>
      </c>
      <c r="E95" s="150" t="str">
        <f>IFERROR(IF('5 yr'!AF98=0,"",'5 yr'!AF98),"")</f>
        <v/>
      </c>
      <c r="F95" s="150" t="str">
        <f>IFERROR(IF('5 yr'!AH98=0,"",'5 yr'!AH98),"")</f>
        <v/>
      </c>
      <c r="G95" s="156" t="str">
        <f>IFERROR(IF('5 yr'!AI98=0,"",'5 yr'!AI98),"")</f>
        <v/>
      </c>
    </row>
    <row r="96" spans="1:7">
      <c r="A96" s="149" t="str">
        <f>IF('5 yr'!A99=0,"",'5 yr'!A99)</f>
        <v/>
      </c>
      <c r="B96" s="147" t="str">
        <f>IF('5 yr'!B99=0,"",'5 yr'!B99)</f>
        <v/>
      </c>
      <c r="C96" s="148" t="str">
        <f>IF('5 yr'!E99=0,"",'5 yr'!E99)</f>
        <v/>
      </c>
      <c r="D96" s="149" t="str">
        <f>IF('5 yr'!I99=0,"",'5 yr'!I99)</f>
        <v/>
      </c>
      <c r="E96" s="150" t="str">
        <f>IFERROR(IF('5 yr'!AF99=0,"",'5 yr'!AF99),"")</f>
        <v/>
      </c>
      <c r="F96" s="150" t="str">
        <f>IFERROR(IF('5 yr'!AH99=0,"",'5 yr'!AH99),"")</f>
        <v/>
      </c>
      <c r="G96" s="156" t="str">
        <f>IFERROR(IF('5 yr'!AI99=0,"",'5 yr'!AI99),"")</f>
        <v/>
      </c>
    </row>
    <row r="97" spans="1:7">
      <c r="A97" s="149" t="str">
        <f>IF('5 yr'!A100=0,"",'5 yr'!A100)</f>
        <v/>
      </c>
      <c r="B97" s="147" t="str">
        <f>IF('5 yr'!B100=0,"",'5 yr'!B100)</f>
        <v/>
      </c>
      <c r="C97" s="148" t="str">
        <f>IF('5 yr'!E100=0,"",'5 yr'!E100)</f>
        <v/>
      </c>
      <c r="D97" s="149" t="str">
        <f>IF('5 yr'!I100=0,"",'5 yr'!I100)</f>
        <v/>
      </c>
      <c r="E97" s="150" t="str">
        <f>IFERROR(IF('5 yr'!AF100=0,"",'5 yr'!AF100),"")</f>
        <v/>
      </c>
      <c r="F97" s="150" t="str">
        <f>IFERROR(IF('5 yr'!AH100=0,"",'5 yr'!AH100),"")</f>
        <v/>
      </c>
      <c r="G97" s="156" t="str">
        <f>IFERROR(IF('5 yr'!AI100=0,"",'5 yr'!AI100),"")</f>
        <v/>
      </c>
    </row>
    <row r="98" spans="1:7">
      <c r="A98" s="149" t="str">
        <f>IF('5 yr'!A101=0,"",'5 yr'!A101)</f>
        <v/>
      </c>
      <c r="B98" s="147" t="str">
        <f>IF('5 yr'!B101=0,"",'5 yr'!B101)</f>
        <v/>
      </c>
      <c r="C98" s="148" t="str">
        <f>IF('5 yr'!E101=0,"",'5 yr'!E101)</f>
        <v/>
      </c>
      <c r="D98" s="149" t="str">
        <f>IF('5 yr'!I101=0,"",'5 yr'!I101)</f>
        <v/>
      </c>
      <c r="E98" s="150" t="str">
        <f>IFERROR(IF('5 yr'!AF101=0,"",'5 yr'!AF101),"")</f>
        <v/>
      </c>
      <c r="F98" s="150" t="str">
        <f>IFERROR(IF('5 yr'!AH101=0,"",'5 yr'!AH101),"")</f>
        <v/>
      </c>
      <c r="G98" s="156" t="str">
        <f>IFERROR(IF('5 yr'!AI101=0,"",'5 yr'!AI101),"")</f>
        <v/>
      </c>
    </row>
    <row r="99" spans="1:7">
      <c r="A99" s="149" t="str">
        <f>IF('5 yr'!A102=0,"",'5 yr'!A102)</f>
        <v/>
      </c>
      <c r="B99" s="147" t="str">
        <f>IF('5 yr'!B102=0,"",'5 yr'!B102)</f>
        <v/>
      </c>
      <c r="C99" s="148" t="str">
        <f>IF('5 yr'!E102=0,"",'5 yr'!E102)</f>
        <v/>
      </c>
      <c r="D99" s="149" t="str">
        <f>IF('5 yr'!I102=0,"",'5 yr'!I102)</f>
        <v/>
      </c>
      <c r="E99" s="150" t="str">
        <f>IFERROR(IF('5 yr'!AF102=0,"",'5 yr'!AF102),"")</f>
        <v/>
      </c>
      <c r="F99" s="150" t="str">
        <f>IFERROR(IF('5 yr'!AH102=0,"",'5 yr'!AH102),"")</f>
        <v/>
      </c>
      <c r="G99" s="156" t="str">
        <f>IFERROR(IF('5 yr'!AI102=0,"",'5 yr'!AI102),"")</f>
        <v/>
      </c>
    </row>
    <row r="100" spans="1:7">
      <c r="A100" s="149" t="str">
        <f>IF('5 yr'!A103=0,"",'5 yr'!A103)</f>
        <v/>
      </c>
      <c r="B100" s="147" t="str">
        <f>IF('5 yr'!B103=0,"",'5 yr'!B103)</f>
        <v/>
      </c>
      <c r="C100" s="148" t="str">
        <f>IF('5 yr'!E103=0,"",'5 yr'!E103)</f>
        <v/>
      </c>
      <c r="D100" s="149" t="str">
        <f>IF('5 yr'!I103=0,"",'5 yr'!I103)</f>
        <v/>
      </c>
      <c r="E100" s="150" t="str">
        <f>IFERROR(IF('5 yr'!AF103=0,"",'5 yr'!AF103),"")</f>
        <v/>
      </c>
      <c r="F100" s="150" t="str">
        <f>IFERROR(IF('5 yr'!AH103=0,"",'5 yr'!AH103),"")</f>
        <v/>
      </c>
      <c r="G100" s="156" t="str">
        <f>IFERROR(IF('5 yr'!AI103=0,"",'5 yr'!AI103),"")</f>
        <v/>
      </c>
    </row>
    <row r="101" spans="1:7">
      <c r="A101" s="149" t="str">
        <f>IF('5 yr'!A104=0,"",'5 yr'!A104)</f>
        <v/>
      </c>
      <c r="B101" s="147" t="str">
        <f>IF('5 yr'!B104=0,"",'5 yr'!B104)</f>
        <v/>
      </c>
      <c r="C101" s="148" t="str">
        <f>IF('5 yr'!E104=0,"",'5 yr'!E104)</f>
        <v/>
      </c>
      <c r="D101" s="149" t="str">
        <f>IF('5 yr'!I104=0,"",'5 yr'!I104)</f>
        <v/>
      </c>
      <c r="E101" s="150" t="str">
        <f>IFERROR(IF('5 yr'!AF104=0,"",'5 yr'!AF104),"")</f>
        <v/>
      </c>
      <c r="F101" s="150" t="str">
        <f>IFERROR(IF('5 yr'!AH104=0,"",'5 yr'!AH104),"")</f>
        <v/>
      </c>
      <c r="G101" s="156" t="str">
        <f>IFERROR(IF('5 yr'!AI104=0,"",'5 yr'!AI104),"")</f>
        <v/>
      </c>
    </row>
    <row r="102" spans="1:7">
      <c r="A102" s="149" t="str">
        <f>IF('5 yr'!A105=0,"",'5 yr'!A105)</f>
        <v/>
      </c>
      <c r="B102" s="147" t="str">
        <f>IF('5 yr'!B105=0,"",'5 yr'!B105)</f>
        <v/>
      </c>
      <c r="C102" s="148" t="str">
        <f>IF('5 yr'!E105=0,"",'5 yr'!E105)</f>
        <v/>
      </c>
      <c r="D102" s="149" t="str">
        <f>IF('5 yr'!I105=0,"",'5 yr'!I105)</f>
        <v/>
      </c>
      <c r="E102" s="150" t="str">
        <f>IFERROR(IF('5 yr'!AF105=0,"",'5 yr'!AF105),"")</f>
        <v/>
      </c>
      <c r="F102" s="150" t="str">
        <f>IFERROR(IF('5 yr'!AH105=0,"",'5 yr'!AH105),"")</f>
        <v/>
      </c>
      <c r="G102" s="156" t="str">
        <f>IFERROR(IF('5 yr'!AI105=0,"",'5 yr'!AI105),"")</f>
        <v/>
      </c>
    </row>
    <row r="103" spans="1:7">
      <c r="A103" s="149" t="str">
        <f>IF('5 yr'!A106=0,"",'5 yr'!A106)</f>
        <v/>
      </c>
      <c r="B103" s="147" t="str">
        <f>IF('5 yr'!B106=0,"",'5 yr'!B106)</f>
        <v/>
      </c>
      <c r="C103" s="148" t="str">
        <f>IF('5 yr'!E106=0,"",'5 yr'!E106)</f>
        <v/>
      </c>
      <c r="D103" s="149" t="str">
        <f>IF('5 yr'!I106=0,"",'5 yr'!I106)</f>
        <v/>
      </c>
      <c r="E103" s="150" t="str">
        <f>IFERROR(IF('5 yr'!AF106=0,"",'5 yr'!AF106),"")</f>
        <v/>
      </c>
      <c r="F103" s="150" t="str">
        <f>IFERROR(IF('5 yr'!AH106=0,"",'5 yr'!AH106),"")</f>
        <v/>
      </c>
      <c r="G103" s="156" t="str">
        <f>IFERROR(IF('5 yr'!AI106=0,"",'5 yr'!AI106),"")</f>
        <v/>
      </c>
    </row>
    <row r="104" spans="1:7">
      <c r="A104" s="149" t="str">
        <f>IF('5 yr'!A107=0,"",'5 yr'!A107)</f>
        <v/>
      </c>
      <c r="B104" s="147" t="str">
        <f>IF('5 yr'!B107=0,"",'5 yr'!B107)</f>
        <v/>
      </c>
      <c r="C104" s="148" t="str">
        <f>IF('5 yr'!E107=0,"",'5 yr'!E107)</f>
        <v/>
      </c>
      <c r="D104" s="149" t="str">
        <f>IF('5 yr'!I107=0,"",'5 yr'!I107)</f>
        <v/>
      </c>
      <c r="E104" s="150" t="str">
        <f>IFERROR(IF('5 yr'!AF107=0,"",'5 yr'!AF107),"")</f>
        <v/>
      </c>
      <c r="F104" s="150" t="str">
        <f>IFERROR(IF('5 yr'!AH107=0,"",'5 yr'!AH107),"")</f>
        <v/>
      </c>
      <c r="G104" s="156" t="str">
        <f>IFERROR(IF('5 yr'!AI107=0,"",'5 yr'!AI107),"")</f>
        <v/>
      </c>
    </row>
    <row r="105" spans="1:7">
      <c r="A105" s="149" t="str">
        <f>IF('5 yr'!A108=0,"",'5 yr'!A108)</f>
        <v/>
      </c>
      <c r="B105" s="147" t="str">
        <f>IF('5 yr'!B108=0,"",'5 yr'!B108)</f>
        <v/>
      </c>
      <c r="C105" s="148" t="str">
        <f>IF('5 yr'!E108=0,"",'5 yr'!E108)</f>
        <v/>
      </c>
      <c r="D105" s="149" t="str">
        <f>IF('5 yr'!I108=0,"",'5 yr'!I108)</f>
        <v/>
      </c>
      <c r="E105" s="150" t="str">
        <f>IFERROR(IF('5 yr'!AF108=0,"",'5 yr'!AF108),"")</f>
        <v/>
      </c>
      <c r="F105" s="150" t="str">
        <f>IFERROR(IF('5 yr'!AH108=0,"",'5 yr'!AH108),"")</f>
        <v/>
      </c>
      <c r="G105" s="156" t="str">
        <f>IFERROR(IF('5 yr'!AI108=0,"",'5 yr'!AI108),"")</f>
        <v/>
      </c>
    </row>
    <row r="106" spans="1:7">
      <c r="A106" s="149" t="str">
        <f>IF('5 yr'!A109=0,"",'5 yr'!A109)</f>
        <v/>
      </c>
      <c r="B106" s="147" t="str">
        <f>IF('5 yr'!B109=0,"",'5 yr'!B109)</f>
        <v/>
      </c>
      <c r="C106" s="148" t="str">
        <f>IF('5 yr'!E109=0,"",'5 yr'!E109)</f>
        <v/>
      </c>
      <c r="D106" s="149" t="str">
        <f>IF('5 yr'!I109=0,"",'5 yr'!I109)</f>
        <v/>
      </c>
      <c r="E106" s="150" t="str">
        <f>IFERROR(IF('5 yr'!AF109=0,"",'5 yr'!AF109),"")</f>
        <v/>
      </c>
      <c r="F106" s="150" t="str">
        <f>IFERROR(IF('5 yr'!AH109=0,"",'5 yr'!AH109),"")</f>
        <v/>
      </c>
      <c r="G106" s="156" t="str">
        <f>IFERROR(IF('5 yr'!AI109=0,"",'5 yr'!AI109),"")</f>
        <v/>
      </c>
    </row>
    <row r="107" spans="1:7">
      <c r="A107" s="149" t="str">
        <f>IF('5 yr'!A110=0,"",'5 yr'!A110)</f>
        <v/>
      </c>
      <c r="B107" s="147" t="str">
        <f>IF('5 yr'!B110=0,"",'5 yr'!B110)</f>
        <v/>
      </c>
      <c r="C107" s="148" t="str">
        <f>IF('5 yr'!E110=0,"",'5 yr'!E110)</f>
        <v/>
      </c>
      <c r="D107" s="149" t="str">
        <f>IF('5 yr'!I110=0,"",'5 yr'!I110)</f>
        <v/>
      </c>
      <c r="E107" s="150" t="str">
        <f>IFERROR(IF('5 yr'!AF110=0,"",'5 yr'!AF110),"")</f>
        <v/>
      </c>
      <c r="F107" s="150" t="str">
        <f>IFERROR(IF('5 yr'!AH110=0,"",'5 yr'!AH110),"")</f>
        <v/>
      </c>
      <c r="G107" s="156" t="str">
        <f>IFERROR(IF('5 yr'!AI110=0,"",'5 yr'!AI110),"")</f>
        <v/>
      </c>
    </row>
    <row r="108" spans="1:7">
      <c r="A108" s="149" t="str">
        <f>IF('5 yr'!A111=0,"",'5 yr'!A111)</f>
        <v/>
      </c>
      <c r="B108" s="147" t="str">
        <f>IF('5 yr'!B111=0,"",'5 yr'!B111)</f>
        <v/>
      </c>
      <c r="C108" s="148" t="str">
        <f>IF('5 yr'!E111=0,"",'5 yr'!E111)</f>
        <v/>
      </c>
      <c r="D108" s="149" t="str">
        <f>IF('5 yr'!I111=0,"",'5 yr'!I111)</f>
        <v/>
      </c>
      <c r="E108" s="150" t="str">
        <f>IFERROR(IF('5 yr'!AF111=0,"",'5 yr'!AF111),"")</f>
        <v/>
      </c>
      <c r="F108" s="150" t="str">
        <f>IFERROR(IF('5 yr'!AH111=0,"",'5 yr'!AH111),"")</f>
        <v/>
      </c>
      <c r="G108" s="156" t="str">
        <f>IFERROR(IF('5 yr'!AI111=0,"",'5 yr'!AI111),"")</f>
        <v/>
      </c>
    </row>
    <row r="109" spans="1:7">
      <c r="A109" s="149" t="str">
        <f>IF('5 yr'!A112=0,"",'5 yr'!A112)</f>
        <v/>
      </c>
      <c r="B109" s="147" t="str">
        <f>IF('5 yr'!B112=0,"",'5 yr'!B112)</f>
        <v/>
      </c>
      <c r="C109" s="148" t="str">
        <f>IF('5 yr'!E112=0,"",'5 yr'!E112)</f>
        <v/>
      </c>
      <c r="D109" s="149" t="str">
        <f>IF('5 yr'!I112=0,"",'5 yr'!I112)</f>
        <v/>
      </c>
      <c r="E109" s="150" t="str">
        <f>IFERROR(IF('5 yr'!AF112=0,"",'5 yr'!AF112),"")</f>
        <v/>
      </c>
      <c r="F109" s="150" t="str">
        <f>IFERROR(IF('5 yr'!AH112=0,"",'5 yr'!AH112),"")</f>
        <v/>
      </c>
      <c r="G109" s="156" t="str">
        <f>IFERROR(IF('5 yr'!AI112=0,"",'5 yr'!AI112),"")</f>
        <v/>
      </c>
    </row>
    <row r="110" spans="1:7">
      <c r="A110" s="149" t="str">
        <f>IF('5 yr'!A113=0,"",'5 yr'!A113)</f>
        <v/>
      </c>
      <c r="B110" s="147" t="str">
        <f>IF('5 yr'!B113=0,"",'5 yr'!B113)</f>
        <v/>
      </c>
      <c r="C110" s="148" t="str">
        <f>IF('5 yr'!E113=0,"",'5 yr'!E113)</f>
        <v/>
      </c>
      <c r="D110" s="149" t="str">
        <f>IF('5 yr'!I113=0,"",'5 yr'!I113)</f>
        <v/>
      </c>
      <c r="E110" s="150" t="str">
        <f>IFERROR(IF('5 yr'!AF113=0,"",'5 yr'!AF113),"")</f>
        <v/>
      </c>
      <c r="F110" s="150" t="str">
        <f>IFERROR(IF('5 yr'!AH113=0,"",'5 yr'!AH113),"")</f>
        <v/>
      </c>
      <c r="G110" s="156" t="str">
        <f>IFERROR(IF('5 yr'!AI113=0,"",'5 yr'!AI113),"")</f>
        <v/>
      </c>
    </row>
    <row r="111" spans="1:7">
      <c r="A111" s="149" t="str">
        <f>IF('5 yr'!A114=0,"",'5 yr'!A114)</f>
        <v/>
      </c>
      <c r="B111" s="147" t="str">
        <f>IF('5 yr'!B114=0,"",'5 yr'!B114)</f>
        <v/>
      </c>
      <c r="C111" s="148" t="str">
        <f>IF('5 yr'!E114=0,"",'5 yr'!E114)</f>
        <v/>
      </c>
      <c r="D111" s="149" t="str">
        <f>IF('5 yr'!I114=0,"",'5 yr'!I114)</f>
        <v/>
      </c>
      <c r="E111" s="150" t="str">
        <f>IFERROR(IF('5 yr'!AF114=0,"",'5 yr'!AF114),"")</f>
        <v/>
      </c>
      <c r="F111" s="150" t="str">
        <f>IFERROR(IF('5 yr'!AH114=0,"",'5 yr'!AH114),"")</f>
        <v/>
      </c>
      <c r="G111" s="156" t="str">
        <f>IFERROR(IF('5 yr'!AI114=0,"",'5 yr'!AI114),"")</f>
        <v/>
      </c>
    </row>
    <row r="112" spans="1:7">
      <c r="A112" s="149" t="str">
        <f>IF('5 yr'!A115=0,"",'5 yr'!A115)</f>
        <v/>
      </c>
      <c r="B112" s="147" t="str">
        <f>IF('5 yr'!B115=0,"",'5 yr'!B115)</f>
        <v/>
      </c>
      <c r="C112" s="148" t="str">
        <f>IF('5 yr'!E115=0,"",'5 yr'!E115)</f>
        <v/>
      </c>
      <c r="D112" s="149" t="str">
        <f>IF('5 yr'!I115=0,"",'5 yr'!I115)</f>
        <v/>
      </c>
      <c r="E112" s="150" t="str">
        <f>IFERROR(IF('5 yr'!AF115=0,"",'5 yr'!AF115),"")</f>
        <v/>
      </c>
      <c r="F112" s="150" t="str">
        <f>IFERROR(IF('5 yr'!AH115=0,"",'5 yr'!AH115),"")</f>
        <v/>
      </c>
      <c r="G112" s="156" t="str">
        <f>IFERROR(IF('5 yr'!AI115=0,"",'5 yr'!AI115),"")</f>
        <v/>
      </c>
    </row>
    <row r="113" spans="1:7">
      <c r="A113" s="149" t="str">
        <f>IF('5 yr'!A116=0,"",'5 yr'!A116)</f>
        <v/>
      </c>
      <c r="B113" s="147" t="str">
        <f>IF('5 yr'!B116=0,"",'5 yr'!B116)</f>
        <v/>
      </c>
      <c r="C113" s="148" t="str">
        <f>IF('5 yr'!E116=0,"",'5 yr'!E116)</f>
        <v/>
      </c>
      <c r="D113" s="149" t="str">
        <f>IF('5 yr'!I116=0,"",'5 yr'!I116)</f>
        <v/>
      </c>
      <c r="E113" s="150" t="str">
        <f>IFERROR(IF('5 yr'!AF116=0,"",'5 yr'!AF116),"")</f>
        <v/>
      </c>
      <c r="F113" s="150" t="str">
        <f>IFERROR(IF('5 yr'!AH116=0,"",'5 yr'!AH116),"")</f>
        <v/>
      </c>
      <c r="G113" s="156" t="str">
        <f>IFERROR(IF('5 yr'!AI116=0,"",'5 yr'!AI116),"")</f>
        <v/>
      </c>
    </row>
    <row r="114" spans="1:7">
      <c r="A114" s="149" t="str">
        <f>IF('5 yr'!A117=0,"",'5 yr'!A117)</f>
        <v/>
      </c>
      <c r="B114" s="147" t="str">
        <f>IF('5 yr'!B117=0,"",'5 yr'!B117)</f>
        <v/>
      </c>
      <c r="C114" s="148" t="str">
        <f>IF('5 yr'!E117=0,"",'5 yr'!E117)</f>
        <v/>
      </c>
      <c r="D114" s="149" t="str">
        <f>IF('5 yr'!I117=0,"",'5 yr'!I117)</f>
        <v/>
      </c>
      <c r="E114" s="150" t="str">
        <f>IFERROR(IF('5 yr'!AF117=0,"",'5 yr'!AF117),"")</f>
        <v/>
      </c>
      <c r="F114" s="150" t="str">
        <f>IFERROR(IF('5 yr'!AH117=0,"",'5 yr'!AH117),"")</f>
        <v/>
      </c>
      <c r="G114" s="156" t="str">
        <f>IFERROR(IF('5 yr'!AI117=0,"",'5 yr'!AI117),"")</f>
        <v/>
      </c>
    </row>
    <row r="115" spans="1:7">
      <c r="A115" s="149" t="str">
        <f>IF('5 yr'!A118=0,"",'5 yr'!A118)</f>
        <v/>
      </c>
      <c r="B115" s="147" t="str">
        <f>IF('5 yr'!B118=0,"",'5 yr'!B118)</f>
        <v/>
      </c>
      <c r="C115" s="148" t="str">
        <f>IF('5 yr'!E118=0,"",'5 yr'!E118)</f>
        <v/>
      </c>
      <c r="D115" s="149" t="str">
        <f>IF('5 yr'!I118=0,"",'5 yr'!I118)</f>
        <v/>
      </c>
      <c r="E115" s="150" t="str">
        <f>IFERROR(IF('5 yr'!AF118=0,"",'5 yr'!AF118),"")</f>
        <v/>
      </c>
      <c r="F115" s="150" t="str">
        <f>IFERROR(IF('5 yr'!AH118=0,"",'5 yr'!AH118),"")</f>
        <v/>
      </c>
      <c r="G115" s="156" t="str">
        <f>IFERROR(IF('5 yr'!AI118=0,"",'5 yr'!AI118),"")</f>
        <v/>
      </c>
    </row>
    <row r="116" spans="1:7">
      <c r="A116" s="149" t="str">
        <f>IF('5 yr'!A119=0,"",'5 yr'!A119)</f>
        <v/>
      </c>
      <c r="B116" s="147" t="str">
        <f>IF('5 yr'!B119=0,"",'5 yr'!B119)</f>
        <v/>
      </c>
      <c r="C116" s="148" t="str">
        <f>IF('5 yr'!E119=0,"",'5 yr'!E119)</f>
        <v/>
      </c>
      <c r="D116" s="149" t="str">
        <f>IF('5 yr'!I119=0,"",'5 yr'!I119)</f>
        <v/>
      </c>
      <c r="E116" s="150" t="str">
        <f>IFERROR(IF('5 yr'!AF119=0,"",'5 yr'!AF119),"")</f>
        <v/>
      </c>
      <c r="F116" s="150" t="str">
        <f>IFERROR(IF('5 yr'!AH119=0,"",'5 yr'!AH119),"")</f>
        <v/>
      </c>
      <c r="G116" s="156" t="str">
        <f>IFERROR(IF('5 yr'!AI119=0,"",'5 yr'!AI119),"")</f>
        <v/>
      </c>
    </row>
    <row r="117" spans="1:7">
      <c r="A117" s="149" t="str">
        <f>IF('5 yr'!A120=0,"",'5 yr'!A120)</f>
        <v/>
      </c>
      <c r="B117" s="147" t="str">
        <f>IF('5 yr'!B120=0,"",'5 yr'!B120)</f>
        <v/>
      </c>
      <c r="C117" s="148" t="str">
        <f>IF('5 yr'!E120=0,"",'5 yr'!E120)</f>
        <v/>
      </c>
      <c r="D117" s="149" t="str">
        <f>IF('5 yr'!I120=0,"",'5 yr'!I120)</f>
        <v/>
      </c>
      <c r="E117" s="150" t="str">
        <f>IFERROR(IF('5 yr'!AF120=0,"",'5 yr'!AF120),"")</f>
        <v/>
      </c>
      <c r="F117" s="150" t="str">
        <f>IFERROR(IF('5 yr'!AH120=0,"",'5 yr'!AH120),"")</f>
        <v/>
      </c>
      <c r="G117" s="156" t="str">
        <f>IFERROR(IF('5 yr'!AI120=0,"",'5 yr'!AI120),"")</f>
        <v/>
      </c>
    </row>
    <row r="118" spans="1:7">
      <c r="A118" s="149" t="str">
        <f>IF('5 yr'!A121=0,"",'5 yr'!A121)</f>
        <v/>
      </c>
      <c r="B118" s="147" t="str">
        <f>IF('5 yr'!B121=0,"",'5 yr'!B121)</f>
        <v/>
      </c>
      <c r="C118" s="148" t="str">
        <f>IF('5 yr'!E121=0,"",'5 yr'!E121)</f>
        <v/>
      </c>
      <c r="D118" s="149" t="str">
        <f>IF('5 yr'!I121=0,"",'5 yr'!I121)</f>
        <v/>
      </c>
      <c r="E118" s="150" t="str">
        <f>IFERROR(IF('5 yr'!AF121=0,"",'5 yr'!AF121),"")</f>
        <v/>
      </c>
      <c r="F118" s="150" t="str">
        <f>IFERROR(IF('5 yr'!AH121=0,"",'5 yr'!AH121),"")</f>
        <v/>
      </c>
      <c r="G118" s="156" t="str">
        <f>IFERROR(IF('5 yr'!AI121=0,"",'5 yr'!AI121),"")</f>
        <v/>
      </c>
    </row>
    <row r="119" spans="1:7">
      <c r="A119" s="149" t="str">
        <f>IF('5 yr'!A122=0,"",'5 yr'!A122)</f>
        <v/>
      </c>
      <c r="B119" s="147" t="str">
        <f>IF('5 yr'!B122=0,"",'5 yr'!B122)</f>
        <v/>
      </c>
      <c r="C119" s="148" t="str">
        <f>IF('5 yr'!E122=0,"",'5 yr'!E122)</f>
        <v/>
      </c>
      <c r="D119" s="149" t="str">
        <f>IF('5 yr'!I122=0,"",'5 yr'!I122)</f>
        <v/>
      </c>
      <c r="E119" s="150" t="str">
        <f>IFERROR(IF('5 yr'!AF122=0,"",'5 yr'!AF122),"")</f>
        <v/>
      </c>
      <c r="F119" s="150" t="str">
        <f>IFERROR(IF('5 yr'!AH122=0,"",'5 yr'!AH122),"")</f>
        <v/>
      </c>
      <c r="G119" s="156" t="str">
        <f>IFERROR(IF('5 yr'!AI122=0,"",'5 yr'!AI122),"")</f>
        <v/>
      </c>
    </row>
    <row r="120" spans="1:7">
      <c r="A120" s="149" t="str">
        <f>IF('5 yr'!A123=0,"",'5 yr'!A123)</f>
        <v/>
      </c>
      <c r="B120" s="147" t="str">
        <f>IF('5 yr'!B123=0,"",'5 yr'!B123)</f>
        <v/>
      </c>
      <c r="C120" s="148" t="str">
        <f>IF('5 yr'!E123=0,"",'5 yr'!E123)</f>
        <v/>
      </c>
      <c r="D120" s="149" t="str">
        <f>IF('5 yr'!I123=0,"",'5 yr'!I123)</f>
        <v/>
      </c>
      <c r="E120" s="150" t="str">
        <f>IFERROR(IF('5 yr'!AF123=0,"",'5 yr'!AF123),"")</f>
        <v/>
      </c>
      <c r="F120" s="150" t="str">
        <f>IFERROR(IF('5 yr'!AH123=0,"",'5 yr'!AH123),"")</f>
        <v/>
      </c>
      <c r="G120" s="156" t="str">
        <f>IFERROR(IF('5 yr'!AI123=0,"",'5 yr'!AI123),"")</f>
        <v/>
      </c>
    </row>
    <row r="121" spans="1:7">
      <c r="A121" s="149" t="str">
        <f>IF('5 yr'!A124=0,"",'5 yr'!A124)</f>
        <v/>
      </c>
      <c r="B121" s="147" t="str">
        <f>IF('5 yr'!B124=0,"",'5 yr'!B124)</f>
        <v/>
      </c>
      <c r="C121" s="148" t="str">
        <f>IF('5 yr'!E124=0,"",'5 yr'!E124)</f>
        <v/>
      </c>
      <c r="D121" s="149" t="str">
        <f>IF('5 yr'!I124=0,"",'5 yr'!I124)</f>
        <v/>
      </c>
      <c r="E121" s="150" t="str">
        <f>IFERROR(IF('5 yr'!AF124=0,"",'5 yr'!AF124),"")</f>
        <v/>
      </c>
      <c r="F121" s="150" t="str">
        <f>IFERROR(IF('5 yr'!AH124=0,"",'5 yr'!AH124),"")</f>
        <v/>
      </c>
      <c r="G121" s="156" t="str">
        <f>IFERROR(IF('5 yr'!AI124=0,"",'5 yr'!AI124),"")</f>
        <v/>
      </c>
    </row>
    <row r="122" spans="1:7">
      <c r="A122" s="149" t="str">
        <f>IF('5 yr'!A125=0,"",'5 yr'!A125)</f>
        <v/>
      </c>
      <c r="B122" s="147" t="str">
        <f>IF('5 yr'!B125=0,"",'5 yr'!B125)</f>
        <v/>
      </c>
      <c r="C122" s="148" t="str">
        <f>IF('5 yr'!E125=0,"",'5 yr'!E125)</f>
        <v/>
      </c>
      <c r="D122" s="149" t="str">
        <f>IF('5 yr'!I125=0,"",'5 yr'!I125)</f>
        <v/>
      </c>
      <c r="E122" s="150" t="str">
        <f>IFERROR(IF('5 yr'!AF125=0,"",'5 yr'!AF125),"")</f>
        <v/>
      </c>
      <c r="F122" s="150" t="str">
        <f>IFERROR(IF('5 yr'!AH125=0,"",'5 yr'!AH125),"")</f>
        <v/>
      </c>
      <c r="G122" s="156" t="str">
        <f>IFERROR(IF('5 yr'!AI125=0,"",'5 yr'!AI125),"")</f>
        <v/>
      </c>
    </row>
    <row r="123" spans="1:7">
      <c r="A123" s="149" t="str">
        <f>IF('5 yr'!A126=0,"",'5 yr'!A126)</f>
        <v/>
      </c>
      <c r="B123" s="147" t="str">
        <f>IF('5 yr'!B126=0,"",'5 yr'!B126)</f>
        <v/>
      </c>
      <c r="C123" s="148" t="str">
        <f>IF('5 yr'!E126=0,"",'5 yr'!E126)</f>
        <v/>
      </c>
      <c r="D123" s="149" t="str">
        <f>IF('5 yr'!I126=0,"",'5 yr'!I126)</f>
        <v/>
      </c>
      <c r="E123" s="150" t="str">
        <f>IFERROR(IF('5 yr'!AF126=0,"",'5 yr'!AF126),"")</f>
        <v/>
      </c>
      <c r="F123" s="150" t="str">
        <f>IFERROR(IF('5 yr'!AH126=0,"",'5 yr'!AH126),"")</f>
        <v/>
      </c>
      <c r="G123" s="156" t="str">
        <f>IFERROR(IF('5 yr'!AI126=0,"",'5 yr'!AI126),"")</f>
        <v/>
      </c>
    </row>
    <row r="124" spans="1:7">
      <c r="A124" s="149" t="str">
        <f>IF('5 yr'!A127=0,"",'5 yr'!A127)</f>
        <v/>
      </c>
      <c r="B124" s="147" t="str">
        <f>IF('5 yr'!B127=0,"",'5 yr'!B127)</f>
        <v/>
      </c>
      <c r="C124" s="148" t="str">
        <f>IF('5 yr'!E127=0,"",'5 yr'!E127)</f>
        <v/>
      </c>
      <c r="D124" s="149" t="str">
        <f>IF('5 yr'!I127=0,"",'5 yr'!I127)</f>
        <v/>
      </c>
      <c r="E124" s="150" t="str">
        <f>IFERROR(IF('5 yr'!AF127=0,"",'5 yr'!AF127),"")</f>
        <v/>
      </c>
      <c r="F124" s="150" t="str">
        <f>IFERROR(IF('5 yr'!AH127=0,"",'5 yr'!AH127),"")</f>
        <v/>
      </c>
      <c r="G124" s="156" t="str">
        <f>IFERROR(IF('5 yr'!AI127=0,"",'5 yr'!AI127),"")</f>
        <v/>
      </c>
    </row>
    <row r="125" spans="1:7">
      <c r="A125" s="149" t="str">
        <f>IF('5 yr'!A128=0,"",'5 yr'!A128)</f>
        <v/>
      </c>
      <c r="B125" s="147" t="str">
        <f>IF('5 yr'!B128=0,"",'5 yr'!B128)</f>
        <v/>
      </c>
      <c r="C125" s="148" t="str">
        <f>IF('5 yr'!E128=0,"",'5 yr'!E128)</f>
        <v/>
      </c>
      <c r="D125" s="149" t="str">
        <f>IF('5 yr'!I128=0,"",'5 yr'!I128)</f>
        <v/>
      </c>
      <c r="E125" s="150" t="str">
        <f>IFERROR(IF('5 yr'!AF128=0,"",'5 yr'!AF128),"")</f>
        <v/>
      </c>
      <c r="F125" s="150" t="str">
        <f>IFERROR(IF('5 yr'!AH128=0,"",'5 yr'!AH128),"")</f>
        <v/>
      </c>
      <c r="G125" s="156" t="str">
        <f>IFERROR(IF('5 yr'!AI128=0,"",'5 yr'!AI128),"")</f>
        <v/>
      </c>
    </row>
    <row r="126" spans="1:7">
      <c r="A126" s="149" t="str">
        <f>IF('5 yr'!A129=0,"",'5 yr'!A129)</f>
        <v/>
      </c>
      <c r="B126" s="147" t="str">
        <f>IF('5 yr'!B129=0,"",'5 yr'!B129)</f>
        <v/>
      </c>
      <c r="C126" s="148" t="str">
        <f>IF('5 yr'!E129=0,"",'5 yr'!E129)</f>
        <v/>
      </c>
      <c r="D126" s="149" t="str">
        <f>IF('5 yr'!I129=0,"",'5 yr'!I129)</f>
        <v/>
      </c>
      <c r="E126" s="150" t="str">
        <f>IFERROR(IF('5 yr'!AF129=0,"",'5 yr'!AF129),"")</f>
        <v/>
      </c>
      <c r="F126" s="150" t="str">
        <f>IFERROR(IF('5 yr'!AH129=0,"",'5 yr'!AH129),"")</f>
        <v/>
      </c>
      <c r="G126" s="156" t="str">
        <f>IFERROR(IF('5 yr'!AI129=0,"",'5 yr'!AI129),"")</f>
        <v/>
      </c>
    </row>
    <row r="127" spans="1:7">
      <c r="A127" s="149" t="str">
        <f>IF('5 yr'!A130=0,"",'5 yr'!A130)</f>
        <v/>
      </c>
      <c r="B127" s="147" t="str">
        <f>IF('5 yr'!B130=0,"",'5 yr'!B130)</f>
        <v/>
      </c>
      <c r="C127" s="148" t="str">
        <f>IF('5 yr'!E130=0,"",'5 yr'!E130)</f>
        <v/>
      </c>
      <c r="D127" s="149" t="str">
        <f>IF('5 yr'!I130=0,"",'5 yr'!I130)</f>
        <v/>
      </c>
      <c r="E127" s="150" t="str">
        <f>IFERROR(IF('5 yr'!AF130=0,"",'5 yr'!AF130),"")</f>
        <v/>
      </c>
      <c r="F127" s="150" t="str">
        <f>IFERROR(IF('5 yr'!AH130=0,"",'5 yr'!AH130),"")</f>
        <v/>
      </c>
      <c r="G127" s="156" t="str">
        <f>IFERROR(IF('5 yr'!AI130=0,"",'5 yr'!AI130),"")</f>
        <v/>
      </c>
    </row>
    <row r="128" spans="1:7">
      <c r="A128" s="149" t="str">
        <f>IF('5 yr'!A131=0,"",'5 yr'!A131)</f>
        <v/>
      </c>
      <c r="B128" s="147" t="str">
        <f>IF('5 yr'!B131=0,"",'5 yr'!B131)</f>
        <v/>
      </c>
      <c r="C128" s="148" t="str">
        <f>IF('5 yr'!E131=0,"",'5 yr'!E131)</f>
        <v/>
      </c>
      <c r="D128" s="149" t="str">
        <f>IF('5 yr'!I131=0,"",'5 yr'!I131)</f>
        <v/>
      </c>
      <c r="E128" s="150" t="str">
        <f>IFERROR(IF('5 yr'!AF131=0,"",'5 yr'!AF131),"")</f>
        <v/>
      </c>
      <c r="F128" s="150" t="str">
        <f>IFERROR(IF('5 yr'!AH131=0,"",'5 yr'!AH131),"")</f>
        <v/>
      </c>
      <c r="G128" s="156" t="str">
        <f>IFERROR(IF('5 yr'!AI131=0,"",'5 yr'!AI131),"")</f>
        <v/>
      </c>
    </row>
    <row r="129" spans="1:7">
      <c r="A129" s="149" t="str">
        <f>IF('5 yr'!A132=0,"",'5 yr'!A132)</f>
        <v/>
      </c>
      <c r="B129" s="147" t="str">
        <f>IF('5 yr'!B132=0,"",'5 yr'!B132)</f>
        <v/>
      </c>
      <c r="C129" s="148" t="str">
        <f>IF('5 yr'!E132=0,"",'5 yr'!E132)</f>
        <v/>
      </c>
      <c r="D129" s="149" t="str">
        <f>IF('5 yr'!I132=0,"",'5 yr'!I132)</f>
        <v/>
      </c>
      <c r="E129" s="150" t="str">
        <f>IFERROR(IF('5 yr'!AF132=0,"",'5 yr'!AF132),"")</f>
        <v/>
      </c>
      <c r="F129" s="150" t="str">
        <f>IFERROR(IF('5 yr'!AH132=0,"",'5 yr'!AH132),"")</f>
        <v/>
      </c>
      <c r="G129" s="156" t="str">
        <f>IFERROR(IF('5 yr'!AI132=0,"",'5 yr'!AI132),"")</f>
        <v/>
      </c>
    </row>
    <row r="130" spans="1:7">
      <c r="A130" s="149" t="str">
        <f>IF('5 yr'!A133=0,"",'5 yr'!A133)</f>
        <v/>
      </c>
      <c r="B130" s="147" t="str">
        <f>IF('5 yr'!B133=0,"",'5 yr'!B133)</f>
        <v/>
      </c>
      <c r="C130" s="148" t="str">
        <f>IF('5 yr'!E133=0,"",'5 yr'!E133)</f>
        <v/>
      </c>
      <c r="D130" s="149" t="str">
        <f>IF('5 yr'!I133=0,"",'5 yr'!I133)</f>
        <v/>
      </c>
      <c r="E130" s="150" t="str">
        <f>IFERROR(IF('5 yr'!AF133=0,"",'5 yr'!AF133),"")</f>
        <v/>
      </c>
      <c r="F130" s="150" t="str">
        <f>IFERROR(IF('5 yr'!AH133=0,"",'5 yr'!AH133),"")</f>
        <v/>
      </c>
      <c r="G130" s="156" t="str">
        <f>IFERROR(IF('5 yr'!AI133=0,"",'5 yr'!AI133),"")</f>
        <v/>
      </c>
    </row>
    <row r="131" spans="1:7">
      <c r="A131" s="149" t="str">
        <f>IF('5 yr'!A134=0,"",'5 yr'!A134)</f>
        <v/>
      </c>
      <c r="B131" s="147" t="str">
        <f>IF('5 yr'!B134=0,"",'5 yr'!B134)</f>
        <v/>
      </c>
      <c r="C131" s="148" t="str">
        <f>IF('5 yr'!E134=0,"",'5 yr'!E134)</f>
        <v/>
      </c>
      <c r="D131" s="149" t="str">
        <f>IF('5 yr'!I134=0,"",'5 yr'!I134)</f>
        <v/>
      </c>
      <c r="E131" s="150" t="str">
        <f>IFERROR(IF('5 yr'!AF134=0,"",'5 yr'!AF134),"")</f>
        <v/>
      </c>
      <c r="F131" s="150" t="str">
        <f>IFERROR(IF('5 yr'!AH134=0,"",'5 yr'!AH134),"")</f>
        <v/>
      </c>
      <c r="G131" s="156" t="str">
        <f>IFERROR(IF('5 yr'!AI134=0,"",'5 yr'!AI134),"")</f>
        <v/>
      </c>
    </row>
    <row r="132" spans="1:7">
      <c r="A132" s="149" t="str">
        <f>IF('5 yr'!A135=0,"",'5 yr'!A135)</f>
        <v/>
      </c>
      <c r="B132" s="147" t="str">
        <f>IF('5 yr'!B135=0,"",'5 yr'!B135)</f>
        <v/>
      </c>
      <c r="C132" s="148" t="str">
        <f>IF('5 yr'!E135=0,"",'5 yr'!E135)</f>
        <v/>
      </c>
      <c r="D132" s="149" t="str">
        <f>IF('5 yr'!I135=0,"",'5 yr'!I135)</f>
        <v/>
      </c>
      <c r="E132" s="150" t="str">
        <f>IFERROR(IF('5 yr'!AF135=0,"",'5 yr'!AF135),"")</f>
        <v/>
      </c>
      <c r="F132" s="150" t="str">
        <f>IFERROR(IF('5 yr'!AH135=0,"",'5 yr'!AH135),"")</f>
        <v/>
      </c>
      <c r="G132" s="156" t="str">
        <f>IFERROR(IF('5 yr'!AI135=0,"",'5 yr'!AI135),"")</f>
        <v/>
      </c>
    </row>
    <row r="133" spans="1:7">
      <c r="A133" s="149" t="str">
        <f>IF('5 yr'!A136=0,"",'5 yr'!A136)</f>
        <v/>
      </c>
      <c r="B133" s="147" t="str">
        <f>IF('5 yr'!B136=0,"",'5 yr'!B136)</f>
        <v/>
      </c>
      <c r="C133" s="148" t="str">
        <f>IF('5 yr'!E136=0,"",'5 yr'!E136)</f>
        <v/>
      </c>
      <c r="D133" s="149" t="str">
        <f>IF('5 yr'!I136=0,"",'5 yr'!I136)</f>
        <v/>
      </c>
      <c r="E133" s="150" t="str">
        <f>IFERROR(IF('5 yr'!AF136=0,"",'5 yr'!AF136),"")</f>
        <v/>
      </c>
      <c r="F133" s="150" t="str">
        <f>IFERROR(IF('5 yr'!AH136=0,"",'5 yr'!AH136),"")</f>
        <v/>
      </c>
      <c r="G133" s="156" t="str">
        <f>IFERROR(IF('5 yr'!AI136=0,"",'5 yr'!AI136),"")</f>
        <v/>
      </c>
    </row>
    <row r="134" spans="1:7">
      <c r="A134" s="149" t="str">
        <f>IF('5 yr'!A137=0,"",'5 yr'!A137)</f>
        <v/>
      </c>
      <c r="B134" s="147" t="str">
        <f>IF('5 yr'!B137=0,"",'5 yr'!B137)</f>
        <v/>
      </c>
      <c r="C134" s="148" t="str">
        <f>IF('5 yr'!E137=0,"",'5 yr'!E137)</f>
        <v/>
      </c>
      <c r="D134" s="149" t="str">
        <f>IF('5 yr'!I137=0,"",'5 yr'!I137)</f>
        <v/>
      </c>
      <c r="E134" s="150" t="str">
        <f>IFERROR(IF('5 yr'!AF137=0,"",'5 yr'!AF137),"")</f>
        <v/>
      </c>
      <c r="F134" s="150" t="str">
        <f>IFERROR(IF('5 yr'!AH137=0,"",'5 yr'!AH137),"")</f>
        <v/>
      </c>
      <c r="G134" s="156" t="str">
        <f>IFERROR(IF('5 yr'!AI137=0,"",'5 yr'!AI137),"")</f>
        <v/>
      </c>
    </row>
    <row r="135" spans="1:7">
      <c r="A135" s="149" t="str">
        <f>IF('5 yr'!A138=0,"",'5 yr'!A138)</f>
        <v/>
      </c>
      <c r="B135" s="147" t="str">
        <f>IF('5 yr'!B138=0,"",'5 yr'!B138)</f>
        <v/>
      </c>
      <c r="C135" s="148" t="str">
        <f>IF('5 yr'!E138=0,"",'5 yr'!E138)</f>
        <v/>
      </c>
      <c r="D135" s="149" t="str">
        <f>IF('5 yr'!I138=0,"",'5 yr'!I138)</f>
        <v/>
      </c>
      <c r="E135" s="150" t="str">
        <f>IFERROR(IF('5 yr'!AF138=0,"",'5 yr'!AF138),"")</f>
        <v/>
      </c>
      <c r="F135" s="150" t="str">
        <f>IFERROR(IF('5 yr'!AH138=0,"",'5 yr'!AH138),"")</f>
        <v/>
      </c>
      <c r="G135" s="156" t="str">
        <f>IFERROR(IF('5 yr'!AI138=0,"",'5 yr'!AI138),"")</f>
        <v/>
      </c>
    </row>
    <row r="136" spans="1:7">
      <c r="A136" s="149" t="str">
        <f>IF('5 yr'!A139=0,"",'5 yr'!A139)</f>
        <v/>
      </c>
      <c r="B136" s="147" t="str">
        <f>IF('5 yr'!B139=0,"",'5 yr'!B139)</f>
        <v/>
      </c>
      <c r="C136" s="148" t="str">
        <f>IF('5 yr'!E139=0,"",'5 yr'!E139)</f>
        <v/>
      </c>
      <c r="D136" s="149" t="str">
        <f>IF('5 yr'!I139=0,"",'5 yr'!I139)</f>
        <v/>
      </c>
      <c r="E136" s="150" t="str">
        <f>IFERROR(IF('5 yr'!AF139=0,"",'5 yr'!AF139),"")</f>
        <v/>
      </c>
      <c r="F136" s="150" t="str">
        <f>IFERROR(IF('5 yr'!AH139=0,"",'5 yr'!AH139),"")</f>
        <v/>
      </c>
      <c r="G136" s="156" t="str">
        <f>IFERROR(IF('5 yr'!AI139=0,"",'5 yr'!AI139),"")</f>
        <v/>
      </c>
    </row>
    <row r="137" spans="1:7">
      <c r="A137" s="149" t="str">
        <f>IF('5 yr'!A140=0,"",'5 yr'!A140)</f>
        <v/>
      </c>
      <c r="B137" s="147" t="str">
        <f>IF('5 yr'!B140=0,"",'5 yr'!B140)</f>
        <v/>
      </c>
      <c r="C137" s="148" t="str">
        <f>IF('5 yr'!E140=0,"",'5 yr'!E140)</f>
        <v/>
      </c>
      <c r="D137" s="149" t="str">
        <f>IF('5 yr'!I140=0,"",'5 yr'!I140)</f>
        <v/>
      </c>
      <c r="E137" s="150" t="str">
        <f>IFERROR(IF('5 yr'!AF140=0,"",'5 yr'!AF140),"")</f>
        <v/>
      </c>
      <c r="F137" s="150" t="str">
        <f>IFERROR(IF('5 yr'!AH140=0,"",'5 yr'!AH140),"")</f>
        <v/>
      </c>
      <c r="G137" s="156" t="str">
        <f>IFERROR(IF('5 yr'!AI140=0,"",'5 yr'!AI140),"")</f>
        <v/>
      </c>
    </row>
    <row r="138" spans="1:7">
      <c r="A138" s="149" t="str">
        <f>IF('5 yr'!A141=0,"",'5 yr'!A141)</f>
        <v/>
      </c>
      <c r="B138" s="147" t="str">
        <f>IF('5 yr'!B141=0,"",'5 yr'!B141)</f>
        <v/>
      </c>
      <c r="C138" s="148" t="str">
        <f>IF('5 yr'!E141=0,"",'5 yr'!E141)</f>
        <v/>
      </c>
      <c r="D138" s="149" t="str">
        <f>IF('5 yr'!I141=0,"",'5 yr'!I141)</f>
        <v/>
      </c>
      <c r="E138" s="150" t="str">
        <f>IFERROR(IF('5 yr'!AF141=0,"",'5 yr'!AF141),"")</f>
        <v/>
      </c>
      <c r="F138" s="150" t="str">
        <f>IFERROR(IF('5 yr'!AH141=0,"",'5 yr'!AH141),"")</f>
        <v/>
      </c>
      <c r="G138" s="156" t="str">
        <f>IFERROR(IF('5 yr'!AI141=0,"",'5 yr'!AI141),"")</f>
        <v/>
      </c>
    </row>
    <row r="139" spans="1:7">
      <c r="A139" s="149" t="str">
        <f>IF('5 yr'!A142=0,"",'5 yr'!A142)</f>
        <v/>
      </c>
      <c r="B139" s="147" t="str">
        <f>IF('5 yr'!B142=0,"",'5 yr'!B142)</f>
        <v/>
      </c>
      <c r="C139" s="148" t="str">
        <f>IF('5 yr'!E142=0,"",'5 yr'!E142)</f>
        <v/>
      </c>
      <c r="D139" s="149" t="str">
        <f>IF('5 yr'!I142=0,"",'5 yr'!I142)</f>
        <v/>
      </c>
      <c r="E139" s="150" t="str">
        <f>IFERROR(IF('5 yr'!AF142=0,"",'5 yr'!AF142),"")</f>
        <v/>
      </c>
      <c r="F139" s="150" t="str">
        <f>IFERROR(IF('5 yr'!AH142=0,"",'5 yr'!AH142),"")</f>
        <v/>
      </c>
      <c r="G139" s="156" t="str">
        <f>IFERROR(IF('5 yr'!AI142=0,"",'5 yr'!AI142),"")</f>
        <v/>
      </c>
    </row>
    <row r="140" spans="1:7">
      <c r="A140" s="149" t="str">
        <f>IF('5 yr'!A143=0,"",'5 yr'!A143)</f>
        <v/>
      </c>
      <c r="B140" s="147" t="str">
        <f>IF('5 yr'!B143=0,"",'5 yr'!B143)</f>
        <v/>
      </c>
      <c r="C140" s="148" t="str">
        <f>IF('5 yr'!E143=0,"",'5 yr'!E143)</f>
        <v/>
      </c>
      <c r="D140" s="149" t="str">
        <f>IF('5 yr'!I143=0,"",'5 yr'!I143)</f>
        <v/>
      </c>
      <c r="E140" s="150" t="str">
        <f>IFERROR(IF('5 yr'!AF143=0,"",'5 yr'!AF143),"")</f>
        <v/>
      </c>
      <c r="F140" s="150" t="str">
        <f>IFERROR(IF('5 yr'!AH143=0,"",'5 yr'!AH143),"")</f>
        <v/>
      </c>
      <c r="G140" s="156" t="str">
        <f>IFERROR(IF('5 yr'!AI143=0,"",'5 yr'!AI143),"")</f>
        <v/>
      </c>
    </row>
    <row r="141" spans="1:7">
      <c r="A141" s="149" t="str">
        <f>IF('5 yr'!A144=0,"",'5 yr'!A144)</f>
        <v/>
      </c>
      <c r="B141" s="147" t="str">
        <f>IF('5 yr'!B144=0,"",'5 yr'!B144)</f>
        <v/>
      </c>
      <c r="C141" s="148" t="str">
        <f>IF('5 yr'!E144=0,"",'5 yr'!E144)</f>
        <v/>
      </c>
      <c r="D141" s="149" t="str">
        <f>IF('5 yr'!I144=0,"",'5 yr'!I144)</f>
        <v/>
      </c>
      <c r="E141" s="150" t="str">
        <f>IFERROR(IF('5 yr'!AF144=0,"",'5 yr'!AF144),"")</f>
        <v/>
      </c>
      <c r="F141" s="150" t="str">
        <f>IFERROR(IF('5 yr'!AH144=0,"",'5 yr'!AH144),"")</f>
        <v/>
      </c>
      <c r="G141" s="156" t="str">
        <f>IFERROR(IF('5 yr'!AI144=0,"",'5 yr'!AI144),"")</f>
        <v/>
      </c>
    </row>
    <row r="142" spans="1:7">
      <c r="A142" s="149" t="str">
        <f>IF('5 yr'!A145=0,"",'5 yr'!A145)</f>
        <v/>
      </c>
      <c r="B142" s="147" t="str">
        <f>IF('5 yr'!B145=0,"",'5 yr'!B145)</f>
        <v/>
      </c>
      <c r="C142" s="148" t="str">
        <f>IF('5 yr'!E145=0,"",'5 yr'!E145)</f>
        <v/>
      </c>
      <c r="D142" s="149" t="str">
        <f>IF('5 yr'!I145=0,"",'5 yr'!I145)</f>
        <v/>
      </c>
      <c r="E142" s="150" t="str">
        <f>IFERROR(IF('5 yr'!AF145=0,"",'5 yr'!AF145),"")</f>
        <v/>
      </c>
      <c r="F142" s="150" t="str">
        <f>IFERROR(IF('5 yr'!AH145=0,"",'5 yr'!AH145),"")</f>
        <v/>
      </c>
      <c r="G142" s="156" t="str">
        <f>IFERROR(IF('5 yr'!AI145=0,"",'5 yr'!AI145),"")</f>
        <v/>
      </c>
    </row>
    <row r="143" spans="1:7">
      <c r="A143" s="149" t="str">
        <f>IF('5 yr'!A146=0,"",'5 yr'!A146)</f>
        <v/>
      </c>
      <c r="B143" s="147" t="str">
        <f>IF('5 yr'!B146=0,"",'5 yr'!B146)</f>
        <v/>
      </c>
      <c r="C143" s="148" t="str">
        <f>IF('5 yr'!E146=0,"",'5 yr'!E146)</f>
        <v/>
      </c>
      <c r="D143" s="149" t="str">
        <f>IF('5 yr'!I146=0,"",'5 yr'!I146)</f>
        <v/>
      </c>
      <c r="E143" s="150" t="str">
        <f>IFERROR(IF('5 yr'!AF146=0,"",'5 yr'!AF146),"")</f>
        <v/>
      </c>
      <c r="F143" s="150" t="str">
        <f>IFERROR(IF('5 yr'!AH146=0,"",'5 yr'!AH146),"")</f>
        <v/>
      </c>
      <c r="G143" s="156" t="str">
        <f>IFERROR(IF('5 yr'!AI146=0,"",'5 yr'!AI146),"")</f>
        <v/>
      </c>
    </row>
    <row r="144" spans="1:7">
      <c r="A144" s="149" t="str">
        <f>IF('5 yr'!A147=0,"",'5 yr'!A147)</f>
        <v/>
      </c>
      <c r="B144" s="147" t="str">
        <f>IF('5 yr'!B147=0,"",'5 yr'!B147)</f>
        <v/>
      </c>
      <c r="C144" s="148" t="str">
        <f>IF('5 yr'!E147=0,"",'5 yr'!E147)</f>
        <v/>
      </c>
      <c r="D144" s="149" t="str">
        <f>IF('5 yr'!I147=0,"",'5 yr'!I147)</f>
        <v/>
      </c>
      <c r="E144" s="150" t="str">
        <f>IFERROR(IF('5 yr'!AF147=0,"",'5 yr'!AF147),"")</f>
        <v/>
      </c>
      <c r="F144" s="150" t="str">
        <f>IFERROR(IF('5 yr'!AH147=0,"",'5 yr'!AH147),"")</f>
        <v/>
      </c>
      <c r="G144" s="156" t="str">
        <f>IFERROR(IF('5 yr'!AI147=0,"",'5 yr'!AI147),"")</f>
        <v/>
      </c>
    </row>
    <row r="145" spans="1:7">
      <c r="A145" s="149" t="str">
        <f>IF('5 yr'!A148=0,"",'5 yr'!A148)</f>
        <v/>
      </c>
      <c r="B145" s="147" t="str">
        <f>IF('5 yr'!B148=0,"",'5 yr'!B148)</f>
        <v/>
      </c>
      <c r="C145" s="148" t="str">
        <f>IF('5 yr'!E148=0,"",'5 yr'!E148)</f>
        <v/>
      </c>
      <c r="D145" s="149" t="str">
        <f>IF('5 yr'!I148=0,"",'5 yr'!I148)</f>
        <v/>
      </c>
      <c r="E145" s="150" t="str">
        <f>IFERROR(IF('5 yr'!AF148=0,"",'5 yr'!AF148),"")</f>
        <v/>
      </c>
      <c r="F145" s="150" t="str">
        <f>IFERROR(IF('5 yr'!AH148=0,"",'5 yr'!AH148),"")</f>
        <v/>
      </c>
      <c r="G145" s="156" t="str">
        <f>IFERROR(IF('5 yr'!AI148=0,"",'5 yr'!AI148),"")</f>
        <v/>
      </c>
    </row>
    <row r="146" spans="1:7">
      <c r="A146" s="149" t="str">
        <f>IF('5 yr'!A149=0,"",'5 yr'!A149)</f>
        <v/>
      </c>
      <c r="B146" s="147" t="str">
        <f>IF('5 yr'!B149=0,"",'5 yr'!B149)</f>
        <v/>
      </c>
      <c r="C146" s="148" t="str">
        <f>IF('5 yr'!E149=0,"",'5 yr'!E149)</f>
        <v/>
      </c>
      <c r="D146" s="149" t="str">
        <f>IF('5 yr'!I149=0,"",'5 yr'!I149)</f>
        <v/>
      </c>
      <c r="E146" s="150" t="str">
        <f>IFERROR(IF('5 yr'!AF149=0,"",'5 yr'!AF149),"")</f>
        <v/>
      </c>
      <c r="F146" s="150" t="str">
        <f>IFERROR(IF('5 yr'!AH149=0,"",'5 yr'!AH149),"")</f>
        <v/>
      </c>
      <c r="G146" s="156" t="str">
        <f>IFERROR(IF('5 yr'!AI149=0,"",'5 yr'!AI149),"")</f>
        <v/>
      </c>
    </row>
    <row r="147" spans="1:7">
      <c r="A147" s="149" t="str">
        <f>IF('5 yr'!A150=0,"",'5 yr'!A150)</f>
        <v/>
      </c>
      <c r="B147" s="147" t="str">
        <f>IF('5 yr'!B150=0,"",'5 yr'!B150)</f>
        <v/>
      </c>
      <c r="C147" s="148" t="str">
        <f>IF('5 yr'!E150=0,"",'5 yr'!E150)</f>
        <v/>
      </c>
      <c r="D147" s="149" t="str">
        <f>IF('5 yr'!I150=0,"",'5 yr'!I150)</f>
        <v/>
      </c>
      <c r="E147" s="150" t="str">
        <f>IFERROR(IF('5 yr'!AF150=0,"",'5 yr'!AF150),"")</f>
        <v/>
      </c>
      <c r="F147" s="150" t="str">
        <f>IFERROR(IF('5 yr'!AH150=0,"",'5 yr'!AH150),"")</f>
        <v/>
      </c>
      <c r="G147" s="156" t="str">
        <f>IFERROR(IF('5 yr'!AI150=0,"",'5 yr'!AI150),"")</f>
        <v/>
      </c>
    </row>
    <row r="148" spans="1:7">
      <c r="A148" s="149" t="str">
        <f>IF('5 yr'!A151=0,"",'5 yr'!A151)</f>
        <v/>
      </c>
      <c r="B148" s="147" t="str">
        <f>IF('5 yr'!B151=0,"",'5 yr'!B151)</f>
        <v/>
      </c>
      <c r="C148" s="148" t="str">
        <f>IF('5 yr'!E151=0,"",'5 yr'!E151)</f>
        <v/>
      </c>
      <c r="D148" s="149" t="str">
        <f>IF('5 yr'!I151=0,"",'5 yr'!I151)</f>
        <v/>
      </c>
      <c r="E148" s="150" t="str">
        <f>IFERROR(IF('5 yr'!AF151=0,"",'5 yr'!AF151),"")</f>
        <v/>
      </c>
      <c r="F148" s="150" t="str">
        <f>IFERROR(IF('5 yr'!AH151=0,"",'5 yr'!AH151),"")</f>
        <v/>
      </c>
      <c r="G148" s="156" t="str">
        <f>IFERROR(IF('5 yr'!AI151=0,"",'5 yr'!AI151),"")</f>
        <v/>
      </c>
    </row>
    <row r="149" spans="1:7">
      <c r="A149" s="149" t="str">
        <f>IF('5 yr'!A152=0,"",'5 yr'!A152)</f>
        <v/>
      </c>
      <c r="B149" s="147" t="str">
        <f>IF('5 yr'!B152=0,"",'5 yr'!B152)</f>
        <v/>
      </c>
      <c r="C149" s="148" t="str">
        <f>IF('5 yr'!E152=0,"",'5 yr'!E152)</f>
        <v/>
      </c>
      <c r="D149" s="149" t="str">
        <f>IF('5 yr'!I152=0,"",'5 yr'!I152)</f>
        <v/>
      </c>
      <c r="E149" s="150" t="str">
        <f>IFERROR(IF('5 yr'!AF152=0,"",'5 yr'!AF152),"")</f>
        <v/>
      </c>
      <c r="F149" s="150" t="str">
        <f>IFERROR(IF('5 yr'!AH152=0,"",'5 yr'!AH152),"")</f>
        <v/>
      </c>
      <c r="G149" s="156" t="str">
        <f>IFERROR(IF('5 yr'!AI152=0,"",'5 yr'!AI152),"")</f>
        <v/>
      </c>
    </row>
    <row r="150" spans="1:7">
      <c r="A150" s="149" t="str">
        <f>IF('5 yr'!A153=0,"",'5 yr'!A153)</f>
        <v/>
      </c>
      <c r="B150" s="147" t="str">
        <f>IF('5 yr'!B153=0,"",'5 yr'!B153)</f>
        <v/>
      </c>
      <c r="C150" s="148" t="str">
        <f>IF('5 yr'!E153=0,"",'5 yr'!E153)</f>
        <v/>
      </c>
      <c r="D150" s="149" t="str">
        <f>IF('5 yr'!I153=0,"",'5 yr'!I153)</f>
        <v/>
      </c>
      <c r="E150" s="150" t="str">
        <f>IFERROR(IF('5 yr'!AF153=0,"",'5 yr'!AF153),"")</f>
        <v/>
      </c>
      <c r="F150" s="150" t="str">
        <f>IFERROR(IF('5 yr'!AH153=0,"",'5 yr'!AH153),"")</f>
        <v/>
      </c>
      <c r="G150" s="156" t="str">
        <f>IFERROR(IF('5 yr'!AI153=0,"",'5 yr'!AI153),"")</f>
        <v/>
      </c>
    </row>
    <row r="151" spans="1:7">
      <c r="A151" s="149" t="str">
        <f>IF('5 yr'!A154=0,"",'5 yr'!A154)</f>
        <v/>
      </c>
      <c r="B151" s="147" t="str">
        <f>IF('5 yr'!B154=0,"",'5 yr'!B154)</f>
        <v/>
      </c>
      <c r="C151" s="148" t="str">
        <f>IF('5 yr'!E154=0,"",'5 yr'!E154)</f>
        <v/>
      </c>
      <c r="D151" s="149" t="str">
        <f>IF('5 yr'!I154=0,"",'5 yr'!I154)</f>
        <v/>
      </c>
      <c r="E151" s="150" t="str">
        <f>IFERROR(IF('5 yr'!AF154=0,"",'5 yr'!AF154),"")</f>
        <v/>
      </c>
      <c r="F151" s="150" t="str">
        <f>IFERROR(IF('5 yr'!AH154=0,"",'5 yr'!AH154),"")</f>
        <v/>
      </c>
      <c r="G151" s="156" t="str">
        <f>IFERROR(IF('5 yr'!AI154=0,"",'5 yr'!AI154),"")</f>
        <v/>
      </c>
    </row>
    <row r="152" spans="1:7">
      <c r="A152" s="149" t="str">
        <f>IF('5 yr'!A155=0,"",'5 yr'!A155)</f>
        <v/>
      </c>
      <c r="B152" s="147" t="str">
        <f>IF('5 yr'!B155=0,"",'5 yr'!B155)</f>
        <v/>
      </c>
      <c r="C152" s="148" t="str">
        <f>IF('5 yr'!E155=0,"",'5 yr'!E155)</f>
        <v/>
      </c>
      <c r="D152" s="149" t="str">
        <f>IF('5 yr'!I155=0,"",'5 yr'!I155)</f>
        <v/>
      </c>
      <c r="E152" s="150" t="str">
        <f>IFERROR(IF('5 yr'!AF155=0,"",'5 yr'!AF155),"")</f>
        <v/>
      </c>
      <c r="F152" s="150" t="str">
        <f>IFERROR(IF('5 yr'!AH155=0,"",'5 yr'!AH155),"")</f>
        <v/>
      </c>
      <c r="G152" s="156" t="str">
        <f>IFERROR(IF('5 yr'!AI155=0,"",'5 yr'!AI155),"")</f>
        <v/>
      </c>
    </row>
    <row r="153" spans="1:7">
      <c r="A153" s="149" t="str">
        <f>IF('5 yr'!A156=0,"",'5 yr'!A156)</f>
        <v/>
      </c>
      <c r="B153" s="147" t="str">
        <f>IF('5 yr'!B156=0,"",'5 yr'!B156)</f>
        <v/>
      </c>
      <c r="C153" s="148" t="str">
        <f>IF('5 yr'!E156=0,"",'5 yr'!E156)</f>
        <v/>
      </c>
      <c r="D153" s="149" t="str">
        <f>IF('5 yr'!I156=0,"",'5 yr'!I156)</f>
        <v/>
      </c>
      <c r="E153" s="150" t="str">
        <f>IFERROR(IF('5 yr'!AF156=0,"",'5 yr'!AF156),"")</f>
        <v/>
      </c>
      <c r="F153" s="150" t="str">
        <f>IFERROR(IF('5 yr'!AH156=0,"",'5 yr'!AH156),"")</f>
        <v/>
      </c>
      <c r="G153" s="156" t="str">
        <f>IFERROR(IF('5 yr'!AI156=0,"",'5 yr'!AI156),"")</f>
        <v/>
      </c>
    </row>
    <row r="154" spans="1:7">
      <c r="A154" s="149" t="str">
        <f>IF('5 yr'!A157=0,"",'5 yr'!A157)</f>
        <v/>
      </c>
      <c r="B154" s="147" t="str">
        <f>IF('5 yr'!B157=0,"",'5 yr'!B157)</f>
        <v/>
      </c>
      <c r="C154" s="148" t="str">
        <f>IF('5 yr'!E157=0,"",'5 yr'!E157)</f>
        <v/>
      </c>
      <c r="D154" s="149" t="str">
        <f>IF('5 yr'!I157=0,"",'5 yr'!I157)</f>
        <v/>
      </c>
      <c r="E154" s="150" t="str">
        <f>IFERROR(IF('5 yr'!AF157=0,"",'5 yr'!AF157),"")</f>
        <v/>
      </c>
      <c r="F154" s="150" t="str">
        <f>IFERROR(IF('5 yr'!AH157=0,"",'5 yr'!AH157),"")</f>
        <v/>
      </c>
      <c r="G154" s="156" t="str">
        <f>IFERROR(IF('5 yr'!AI157=0,"",'5 yr'!AI157),"")</f>
        <v/>
      </c>
    </row>
    <row r="155" spans="1:7">
      <c r="A155" s="149" t="str">
        <f>IF('5 yr'!A158=0,"",'5 yr'!A158)</f>
        <v/>
      </c>
      <c r="B155" s="147" t="str">
        <f>IF('5 yr'!B158=0,"",'5 yr'!B158)</f>
        <v/>
      </c>
      <c r="C155" s="148" t="str">
        <f>IF('5 yr'!E158=0,"",'5 yr'!E158)</f>
        <v/>
      </c>
      <c r="D155" s="149" t="str">
        <f>IF('5 yr'!I158=0,"",'5 yr'!I158)</f>
        <v/>
      </c>
      <c r="E155" s="150" t="str">
        <f>IFERROR(IF('5 yr'!AF158=0,"",'5 yr'!AF158),"")</f>
        <v/>
      </c>
      <c r="F155" s="150" t="str">
        <f>IFERROR(IF('5 yr'!AH158=0,"",'5 yr'!AH158),"")</f>
        <v/>
      </c>
      <c r="G155" s="156" t="str">
        <f>IFERROR(IF('5 yr'!AI158=0,"",'5 yr'!AI158),"")</f>
        <v/>
      </c>
    </row>
    <row r="156" spans="1:7">
      <c r="A156" s="149" t="str">
        <f>IF('5 yr'!A159=0,"",'5 yr'!A159)</f>
        <v/>
      </c>
      <c r="B156" s="147" t="str">
        <f>IF('5 yr'!B159=0,"",'5 yr'!B159)</f>
        <v/>
      </c>
      <c r="C156" s="148" t="str">
        <f>IF('5 yr'!E159=0,"",'5 yr'!E159)</f>
        <v/>
      </c>
      <c r="D156" s="149" t="str">
        <f>IF('5 yr'!I159=0,"",'5 yr'!I159)</f>
        <v/>
      </c>
      <c r="E156" s="150" t="str">
        <f>IFERROR(IF('5 yr'!AF159=0,"",'5 yr'!AF159),"")</f>
        <v/>
      </c>
      <c r="F156" s="150" t="str">
        <f>IFERROR(IF('5 yr'!AH159=0,"",'5 yr'!AH159),"")</f>
        <v/>
      </c>
      <c r="G156" s="156" t="str">
        <f>IFERROR(IF('5 yr'!AI159=0,"",'5 yr'!AI159),"")</f>
        <v/>
      </c>
    </row>
    <row r="157" spans="1:7">
      <c r="A157" s="149" t="str">
        <f>IF('5 yr'!A160=0,"",'5 yr'!A160)</f>
        <v/>
      </c>
      <c r="B157" s="147" t="str">
        <f>IF('5 yr'!B160=0,"",'5 yr'!B160)</f>
        <v/>
      </c>
      <c r="C157" s="148" t="str">
        <f>IF('5 yr'!E160=0,"",'5 yr'!E160)</f>
        <v/>
      </c>
      <c r="D157" s="149" t="str">
        <f>IF('5 yr'!I160=0,"",'5 yr'!I160)</f>
        <v/>
      </c>
      <c r="E157" s="150" t="str">
        <f>IFERROR(IF('5 yr'!AF160=0,"",'5 yr'!AF160),"")</f>
        <v/>
      </c>
      <c r="F157" s="150" t="str">
        <f>IFERROR(IF('5 yr'!AH160=0,"",'5 yr'!AH160),"")</f>
        <v/>
      </c>
      <c r="G157" s="156" t="str">
        <f>IFERROR(IF('5 yr'!AI160=0,"",'5 yr'!AI160),"")</f>
        <v/>
      </c>
    </row>
    <row r="158" spans="1:7">
      <c r="A158" s="149" t="str">
        <f>IF('5 yr'!A161=0,"",'5 yr'!A161)</f>
        <v/>
      </c>
      <c r="B158" s="147" t="str">
        <f>IF('5 yr'!B161=0,"",'5 yr'!B161)</f>
        <v/>
      </c>
      <c r="C158" s="148" t="str">
        <f>IF('5 yr'!E161=0,"",'5 yr'!E161)</f>
        <v/>
      </c>
      <c r="D158" s="149" t="str">
        <f>IF('5 yr'!I161=0,"",'5 yr'!I161)</f>
        <v/>
      </c>
      <c r="E158" s="150" t="str">
        <f>IFERROR(IF('5 yr'!AF161=0,"",'5 yr'!AF161),"")</f>
        <v/>
      </c>
      <c r="F158" s="150" t="str">
        <f>IFERROR(IF('5 yr'!AH161=0,"",'5 yr'!AH161),"")</f>
        <v/>
      </c>
      <c r="G158" s="156" t="str">
        <f>IFERROR(IF('5 yr'!AI161=0,"",'5 yr'!AI161),"")</f>
        <v/>
      </c>
    </row>
    <row r="159" spans="1:7">
      <c r="A159" s="149" t="str">
        <f>IF('5 yr'!A162=0,"",'5 yr'!A162)</f>
        <v/>
      </c>
      <c r="B159" s="147" t="str">
        <f>IF('5 yr'!B162=0,"",'5 yr'!B162)</f>
        <v/>
      </c>
      <c r="C159" s="148" t="str">
        <f>IF('5 yr'!E162=0,"",'5 yr'!E162)</f>
        <v/>
      </c>
      <c r="D159" s="149" t="str">
        <f>IF('5 yr'!I162=0,"",'5 yr'!I162)</f>
        <v/>
      </c>
      <c r="E159" s="150" t="str">
        <f>IFERROR(IF('5 yr'!AF162=0,"",'5 yr'!AF162),"")</f>
        <v/>
      </c>
      <c r="F159" s="150" t="str">
        <f>IFERROR(IF('5 yr'!AH162=0,"",'5 yr'!AH162),"")</f>
        <v/>
      </c>
      <c r="G159" s="156" t="str">
        <f>IFERROR(IF('5 yr'!AI162=0,"",'5 yr'!AI162),"")</f>
        <v/>
      </c>
    </row>
    <row r="160" spans="1:7">
      <c r="A160" s="149" t="str">
        <f>IF('5 yr'!A163=0,"",'5 yr'!A163)</f>
        <v/>
      </c>
      <c r="B160" s="147" t="str">
        <f>IF('5 yr'!B163=0,"",'5 yr'!B163)</f>
        <v/>
      </c>
      <c r="C160" s="148" t="str">
        <f>IF('5 yr'!E163=0,"",'5 yr'!E163)</f>
        <v/>
      </c>
      <c r="D160" s="149" t="str">
        <f>IF('5 yr'!I163=0,"",'5 yr'!I163)</f>
        <v/>
      </c>
      <c r="E160" s="150" t="str">
        <f>IFERROR(IF('5 yr'!AF163=0,"",'5 yr'!AF163),"")</f>
        <v/>
      </c>
      <c r="F160" s="150" t="str">
        <f>IFERROR(IF('5 yr'!AH163=0,"",'5 yr'!AH163),"")</f>
        <v/>
      </c>
      <c r="G160" s="156" t="str">
        <f>IFERROR(IF('5 yr'!AI163=0,"",'5 yr'!AI163),"")</f>
        <v/>
      </c>
    </row>
    <row r="161" spans="1:7">
      <c r="A161" s="149" t="str">
        <f>IF('5 yr'!A164=0,"",'5 yr'!A164)</f>
        <v/>
      </c>
      <c r="B161" s="147" t="str">
        <f>IF('5 yr'!B164=0,"",'5 yr'!B164)</f>
        <v/>
      </c>
      <c r="C161" s="148" t="str">
        <f>IF('5 yr'!E164=0,"",'5 yr'!E164)</f>
        <v/>
      </c>
      <c r="D161" s="149" t="str">
        <f>IF('5 yr'!I164=0,"",'5 yr'!I164)</f>
        <v/>
      </c>
      <c r="E161" s="150" t="str">
        <f>IFERROR(IF('5 yr'!AF164=0,"",'5 yr'!AF164),"")</f>
        <v/>
      </c>
      <c r="F161" s="150" t="str">
        <f>IFERROR(IF('5 yr'!AH164=0,"",'5 yr'!AH164),"")</f>
        <v/>
      </c>
      <c r="G161" s="156" t="str">
        <f>IFERROR(IF('5 yr'!AI164=0,"",'5 yr'!AI164),"")</f>
        <v/>
      </c>
    </row>
    <row r="162" spans="1:7">
      <c r="A162" s="149" t="str">
        <f>IF('5 yr'!A165=0,"",'5 yr'!A165)</f>
        <v/>
      </c>
      <c r="B162" s="147" t="str">
        <f>IF('5 yr'!B165=0,"",'5 yr'!B165)</f>
        <v/>
      </c>
      <c r="C162" s="148" t="str">
        <f>IF('5 yr'!E165=0,"",'5 yr'!E165)</f>
        <v/>
      </c>
      <c r="D162" s="149" t="str">
        <f>IF('5 yr'!I165=0,"",'5 yr'!I165)</f>
        <v/>
      </c>
      <c r="E162" s="150" t="str">
        <f>IFERROR(IF('5 yr'!AF165=0,"",'5 yr'!AF165),"")</f>
        <v/>
      </c>
      <c r="F162" s="150" t="str">
        <f>IFERROR(IF('5 yr'!AH165=0,"",'5 yr'!AH165),"")</f>
        <v/>
      </c>
      <c r="G162" s="156" t="str">
        <f>IFERROR(IF('5 yr'!AI165=0,"",'5 yr'!AI165),"")</f>
        <v/>
      </c>
    </row>
    <row r="163" spans="1:7">
      <c r="A163" s="149" t="str">
        <f>IF('5 yr'!A166=0,"",'5 yr'!A166)</f>
        <v/>
      </c>
      <c r="B163" s="147" t="str">
        <f>IF('5 yr'!B166=0,"",'5 yr'!B166)</f>
        <v/>
      </c>
      <c r="C163" s="148" t="str">
        <f>IF('5 yr'!E166=0,"",'5 yr'!E166)</f>
        <v/>
      </c>
      <c r="D163" s="149" t="str">
        <f>IF('5 yr'!I166=0,"",'5 yr'!I166)</f>
        <v/>
      </c>
      <c r="E163" s="150" t="str">
        <f>IFERROR(IF('5 yr'!AF166=0,"",'5 yr'!AF166),"")</f>
        <v/>
      </c>
      <c r="F163" s="150" t="str">
        <f>IFERROR(IF('5 yr'!AH166=0,"",'5 yr'!AH166),"")</f>
        <v/>
      </c>
      <c r="G163" s="156" t="str">
        <f>IFERROR(IF('5 yr'!AI166=0,"",'5 yr'!AI166),"")</f>
        <v/>
      </c>
    </row>
    <row r="164" spans="1:7">
      <c r="A164" s="149" t="str">
        <f>IF('5 yr'!A167=0,"",'5 yr'!A167)</f>
        <v/>
      </c>
      <c r="B164" s="147" t="str">
        <f>IF('5 yr'!B167=0,"",'5 yr'!B167)</f>
        <v/>
      </c>
      <c r="C164" s="148" t="str">
        <f>IF('5 yr'!E167=0,"",'5 yr'!E167)</f>
        <v/>
      </c>
      <c r="D164" s="149" t="str">
        <f>IF('5 yr'!I167=0,"",'5 yr'!I167)</f>
        <v/>
      </c>
      <c r="E164" s="150" t="str">
        <f>IFERROR(IF('5 yr'!AF167=0,"",'5 yr'!AF167),"")</f>
        <v/>
      </c>
      <c r="F164" s="150" t="str">
        <f>IFERROR(IF('5 yr'!AH167=0,"",'5 yr'!AH167),"")</f>
        <v/>
      </c>
      <c r="G164" s="156" t="str">
        <f>IFERROR(IF('5 yr'!AI167=0,"",'5 yr'!AI167),"")</f>
        <v/>
      </c>
    </row>
    <row r="165" spans="1:7">
      <c r="A165" s="149" t="str">
        <f>IF('5 yr'!A168=0,"",'5 yr'!A168)</f>
        <v/>
      </c>
      <c r="B165" s="147" t="str">
        <f>IF('5 yr'!B168=0,"",'5 yr'!B168)</f>
        <v/>
      </c>
      <c r="C165" s="148" t="str">
        <f>IF('5 yr'!E168=0,"",'5 yr'!E168)</f>
        <v/>
      </c>
      <c r="D165" s="149" t="str">
        <f>IF('5 yr'!I168=0,"",'5 yr'!I168)</f>
        <v/>
      </c>
      <c r="E165" s="150" t="str">
        <f>IFERROR(IF('5 yr'!AF168=0,"",'5 yr'!AF168),"")</f>
        <v/>
      </c>
      <c r="F165" s="150" t="str">
        <f>IFERROR(IF('5 yr'!AH168=0,"",'5 yr'!AH168),"")</f>
        <v/>
      </c>
      <c r="G165" s="156" t="str">
        <f>IFERROR(IF('5 yr'!AI168=0,"",'5 yr'!AI168),"")</f>
        <v/>
      </c>
    </row>
    <row r="166" spans="1:7">
      <c r="A166" s="149" t="str">
        <f>IF('5 yr'!A169=0,"",'5 yr'!A169)</f>
        <v/>
      </c>
      <c r="B166" s="147" t="str">
        <f>IF('5 yr'!B169=0,"",'5 yr'!B169)</f>
        <v/>
      </c>
      <c r="C166" s="148" t="str">
        <f>IF('5 yr'!E169=0,"",'5 yr'!E169)</f>
        <v/>
      </c>
      <c r="D166" s="149" t="str">
        <f>IF('5 yr'!I169=0,"",'5 yr'!I169)</f>
        <v/>
      </c>
      <c r="E166" s="150" t="str">
        <f>IFERROR(IF('5 yr'!AF169=0,"",'5 yr'!AF169),"")</f>
        <v/>
      </c>
      <c r="F166" s="150" t="str">
        <f>IFERROR(IF('5 yr'!AH169=0,"",'5 yr'!AH169),"")</f>
        <v/>
      </c>
      <c r="G166" s="156" t="str">
        <f>IFERROR(IF('5 yr'!AI169=0,"",'5 yr'!AI169),"")</f>
        <v/>
      </c>
    </row>
    <row r="167" spans="1:7">
      <c r="A167" s="149" t="str">
        <f>IF('5 yr'!A170=0,"",'5 yr'!A170)</f>
        <v/>
      </c>
      <c r="B167" s="147" t="str">
        <f>IF('5 yr'!B170=0,"",'5 yr'!B170)</f>
        <v/>
      </c>
      <c r="C167" s="148" t="str">
        <f>IF('5 yr'!E170=0,"",'5 yr'!E170)</f>
        <v/>
      </c>
      <c r="D167" s="149" t="str">
        <f>IF('5 yr'!I170=0,"",'5 yr'!I170)</f>
        <v/>
      </c>
      <c r="E167" s="150" t="str">
        <f>IFERROR(IF('5 yr'!AF170=0,"",'5 yr'!AF170),"")</f>
        <v/>
      </c>
      <c r="F167" s="150" t="str">
        <f>IFERROR(IF('5 yr'!AH170=0,"",'5 yr'!AH170),"")</f>
        <v/>
      </c>
      <c r="G167" s="156" t="str">
        <f>IFERROR(IF('5 yr'!AI170=0,"",'5 yr'!AI170),"")</f>
        <v/>
      </c>
    </row>
    <row r="168" spans="1:7">
      <c r="A168" s="149" t="str">
        <f>IF('5 yr'!A171=0,"",'5 yr'!A171)</f>
        <v/>
      </c>
      <c r="B168" s="147" t="str">
        <f>IF('5 yr'!B171=0,"",'5 yr'!B171)</f>
        <v/>
      </c>
      <c r="C168" s="148" t="str">
        <f>IF('5 yr'!E171=0,"",'5 yr'!E171)</f>
        <v/>
      </c>
      <c r="D168" s="149" t="str">
        <f>IF('5 yr'!I171=0,"",'5 yr'!I171)</f>
        <v/>
      </c>
      <c r="E168" s="150" t="str">
        <f>IFERROR(IF('5 yr'!AF171=0,"",'5 yr'!AF171),"")</f>
        <v/>
      </c>
      <c r="F168" s="150" t="str">
        <f>IFERROR(IF('5 yr'!AH171=0,"",'5 yr'!AH171),"")</f>
        <v/>
      </c>
      <c r="G168" s="156" t="str">
        <f>IFERROR(IF('5 yr'!AI171=0,"",'5 yr'!AI171),"")</f>
        <v/>
      </c>
    </row>
    <row r="169" spans="1:7">
      <c r="A169" s="149" t="str">
        <f>IF('5 yr'!A172=0,"",'5 yr'!A172)</f>
        <v/>
      </c>
      <c r="B169" s="147" t="str">
        <f>IF('5 yr'!B172=0,"",'5 yr'!B172)</f>
        <v/>
      </c>
      <c r="C169" s="148" t="str">
        <f>IF('5 yr'!E172=0,"",'5 yr'!E172)</f>
        <v/>
      </c>
      <c r="D169" s="149" t="str">
        <f>IF('5 yr'!I172=0,"",'5 yr'!I172)</f>
        <v/>
      </c>
      <c r="E169" s="150" t="str">
        <f>IFERROR(IF('5 yr'!AF172=0,"",'5 yr'!AF172),"")</f>
        <v/>
      </c>
      <c r="F169" s="150" t="str">
        <f>IFERROR(IF('5 yr'!AH172=0,"",'5 yr'!AH172),"")</f>
        <v/>
      </c>
      <c r="G169" s="156" t="str">
        <f>IFERROR(IF('5 yr'!AI172=0,"",'5 yr'!AI172),"")</f>
        <v/>
      </c>
    </row>
    <row r="170" spans="1:7">
      <c r="A170" s="149" t="str">
        <f>IF('5 yr'!A173=0,"",'5 yr'!A173)</f>
        <v/>
      </c>
      <c r="B170" s="147" t="str">
        <f>IF('5 yr'!B173=0,"",'5 yr'!B173)</f>
        <v/>
      </c>
      <c r="C170" s="148" t="str">
        <f>IF('5 yr'!E173=0,"",'5 yr'!E173)</f>
        <v/>
      </c>
      <c r="D170" s="149" t="str">
        <f>IF('5 yr'!I173=0,"",'5 yr'!I173)</f>
        <v/>
      </c>
      <c r="E170" s="150" t="str">
        <f>IFERROR(IF('5 yr'!AF173=0,"",'5 yr'!AF173),"")</f>
        <v/>
      </c>
      <c r="F170" s="150" t="str">
        <f>IFERROR(IF('5 yr'!AH173=0,"",'5 yr'!AH173),"")</f>
        <v/>
      </c>
      <c r="G170" s="156" t="str">
        <f>IFERROR(IF('5 yr'!AI173=0,"",'5 yr'!AI173),"")</f>
        <v/>
      </c>
    </row>
    <row r="171" spans="1:7">
      <c r="A171" s="149" t="str">
        <f>IF('5 yr'!A174=0,"",'5 yr'!A174)</f>
        <v/>
      </c>
      <c r="B171" s="147" t="str">
        <f>IF('5 yr'!B174=0,"",'5 yr'!B174)</f>
        <v/>
      </c>
      <c r="C171" s="148" t="str">
        <f>IF('5 yr'!E174=0,"",'5 yr'!E174)</f>
        <v/>
      </c>
      <c r="D171" s="149" t="str">
        <f>IF('5 yr'!I174=0,"",'5 yr'!I174)</f>
        <v/>
      </c>
      <c r="E171" s="150" t="str">
        <f>IFERROR(IF('5 yr'!AF174=0,"",'5 yr'!AF174),"")</f>
        <v/>
      </c>
      <c r="F171" s="150" t="str">
        <f>IFERROR(IF('5 yr'!AH174=0,"",'5 yr'!AH174),"")</f>
        <v/>
      </c>
      <c r="G171" s="156" t="str">
        <f>IFERROR(IF('5 yr'!AI174=0,"",'5 yr'!AI174),"")</f>
        <v/>
      </c>
    </row>
    <row r="172" spans="1:7">
      <c r="A172" s="149" t="str">
        <f>IF('5 yr'!A175=0,"",'5 yr'!A175)</f>
        <v/>
      </c>
      <c r="B172" s="147" t="str">
        <f>IF('5 yr'!B175=0,"",'5 yr'!B175)</f>
        <v/>
      </c>
      <c r="C172" s="148" t="str">
        <f>IF('5 yr'!E175=0,"",'5 yr'!E175)</f>
        <v/>
      </c>
      <c r="D172" s="149" t="str">
        <f>IF('5 yr'!I175=0,"",'5 yr'!I175)</f>
        <v/>
      </c>
      <c r="E172" s="150" t="str">
        <f>IFERROR(IF('5 yr'!AF175=0,"",'5 yr'!AF175),"")</f>
        <v/>
      </c>
      <c r="F172" s="150" t="str">
        <f>IFERROR(IF('5 yr'!AH175=0,"",'5 yr'!AH175),"")</f>
        <v/>
      </c>
      <c r="G172" s="156" t="str">
        <f>IFERROR(IF('5 yr'!AI175=0,"",'5 yr'!AI175),"")</f>
        <v/>
      </c>
    </row>
    <row r="173" spans="1:7">
      <c r="A173" s="149" t="str">
        <f>IF('5 yr'!A176=0,"",'5 yr'!A176)</f>
        <v/>
      </c>
      <c r="B173" s="147" t="str">
        <f>IF('5 yr'!B176=0,"",'5 yr'!B176)</f>
        <v/>
      </c>
      <c r="C173" s="148" t="str">
        <f>IF('5 yr'!E176=0,"",'5 yr'!E176)</f>
        <v/>
      </c>
      <c r="D173" s="149" t="str">
        <f>IF('5 yr'!I176=0,"",'5 yr'!I176)</f>
        <v/>
      </c>
      <c r="E173" s="150" t="str">
        <f>IFERROR(IF('5 yr'!AF176=0,"",'5 yr'!AF176),"")</f>
        <v/>
      </c>
      <c r="F173" s="150" t="str">
        <f>IFERROR(IF('5 yr'!AH176=0,"",'5 yr'!AH176),"")</f>
        <v/>
      </c>
      <c r="G173" s="156" t="str">
        <f>IFERROR(IF('5 yr'!AI176=0,"",'5 yr'!AI176),"")</f>
        <v/>
      </c>
    </row>
    <row r="174" spans="1:7">
      <c r="A174" s="149" t="str">
        <f>IF('5 yr'!A177=0,"",'5 yr'!A177)</f>
        <v/>
      </c>
      <c r="B174" s="147" t="str">
        <f>IF('5 yr'!B177=0,"",'5 yr'!B177)</f>
        <v/>
      </c>
      <c r="C174" s="148" t="str">
        <f>IF('5 yr'!E177=0,"",'5 yr'!E177)</f>
        <v/>
      </c>
      <c r="D174" s="149" t="str">
        <f>IF('5 yr'!I177=0,"",'5 yr'!I177)</f>
        <v/>
      </c>
      <c r="E174" s="150" t="str">
        <f>IFERROR(IF('5 yr'!AF177=0,"",'5 yr'!AF177),"")</f>
        <v/>
      </c>
      <c r="F174" s="150" t="str">
        <f>IFERROR(IF('5 yr'!AH177=0,"",'5 yr'!AH177),"")</f>
        <v/>
      </c>
      <c r="G174" s="156" t="str">
        <f>IFERROR(IF('5 yr'!AI177=0,"",'5 yr'!AI177),"")</f>
        <v/>
      </c>
    </row>
    <row r="175" spans="1:7">
      <c r="A175" s="149" t="str">
        <f>IF('5 yr'!A178=0,"",'5 yr'!A178)</f>
        <v/>
      </c>
      <c r="B175" s="147" t="str">
        <f>IF('5 yr'!B178=0,"",'5 yr'!B178)</f>
        <v/>
      </c>
      <c r="C175" s="148" t="str">
        <f>IF('5 yr'!E178=0,"",'5 yr'!E178)</f>
        <v/>
      </c>
      <c r="D175" s="149" t="str">
        <f>IF('5 yr'!I178=0,"",'5 yr'!I178)</f>
        <v/>
      </c>
      <c r="E175" s="150" t="str">
        <f>IFERROR(IF('5 yr'!AF178=0,"",'5 yr'!AF178),"")</f>
        <v/>
      </c>
      <c r="F175" s="150" t="str">
        <f>IFERROR(IF('5 yr'!AH178=0,"",'5 yr'!AH178),"")</f>
        <v/>
      </c>
      <c r="G175" s="156" t="str">
        <f>IFERROR(IF('5 yr'!AI178=0,"",'5 yr'!AI178),"")</f>
        <v/>
      </c>
    </row>
    <row r="176" spans="1:7">
      <c r="A176" s="149" t="str">
        <f>IF('5 yr'!A179=0,"",'5 yr'!A179)</f>
        <v/>
      </c>
      <c r="B176" s="147" t="str">
        <f>IF('5 yr'!B179=0,"",'5 yr'!B179)</f>
        <v/>
      </c>
      <c r="C176" s="148" t="str">
        <f>IF('5 yr'!E179=0,"",'5 yr'!E179)</f>
        <v/>
      </c>
      <c r="D176" s="149" t="str">
        <f>IF('5 yr'!I179=0,"",'5 yr'!I179)</f>
        <v/>
      </c>
      <c r="E176" s="150" t="str">
        <f>IFERROR(IF('5 yr'!AF179=0,"",'5 yr'!AF179),"")</f>
        <v/>
      </c>
      <c r="F176" s="150" t="str">
        <f>IFERROR(IF('5 yr'!AH179=0,"",'5 yr'!AH179),"")</f>
        <v/>
      </c>
      <c r="G176" s="156" t="str">
        <f>IFERROR(IF('5 yr'!AI179=0,"",'5 yr'!AI179),"")</f>
        <v/>
      </c>
    </row>
    <row r="177" spans="1:7">
      <c r="A177" s="149" t="str">
        <f>IF('5 yr'!A180=0,"",'5 yr'!A180)</f>
        <v/>
      </c>
      <c r="B177" s="147" t="str">
        <f>IF('5 yr'!B180=0,"",'5 yr'!B180)</f>
        <v/>
      </c>
      <c r="C177" s="148" t="str">
        <f>IF('5 yr'!E180=0,"",'5 yr'!E180)</f>
        <v/>
      </c>
      <c r="D177" s="149" t="str">
        <f>IF('5 yr'!I180=0,"",'5 yr'!I180)</f>
        <v/>
      </c>
      <c r="E177" s="150" t="str">
        <f>IFERROR(IF('5 yr'!AF180=0,"",'5 yr'!AF180),"")</f>
        <v/>
      </c>
      <c r="F177" s="150" t="str">
        <f>IFERROR(IF('5 yr'!AH180=0,"",'5 yr'!AH180),"")</f>
        <v/>
      </c>
      <c r="G177" s="156" t="str">
        <f>IFERROR(IF('5 yr'!AI180=0,"",'5 yr'!AI180),"")</f>
        <v/>
      </c>
    </row>
    <row r="178" spans="1:7">
      <c r="A178" s="149" t="str">
        <f>IF('5 yr'!A181=0,"",'5 yr'!A181)</f>
        <v/>
      </c>
      <c r="B178" s="147" t="str">
        <f>IF('5 yr'!B181=0,"",'5 yr'!B181)</f>
        <v/>
      </c>
      <c r="C178" s="148" t="str">
        <f>IF('5 yr'!E181=0,"",'5 yr'!E181)</f>
        <v/>
      </c>
      <c r="D178" s="149" t="str">
        <f>IF('5 yr'!I181=0,"",'5 yr'!I181)</f>
        <v/>
      </c>
      <c r="E178" s="150" t="str">
        <f>IFERROR(IF('5 yr'!AF181=0,"",'5 yr'!AF181),"")</f>
        <v/>
      </c>
      <c r="F178" s="150" t="str">
        <f>IFERROR(IF('5 yr'!AH181=0,"",'5 yr'!AH181),"")</f>
        <v/>
      </c>
      <c r="G178" s="156" t="str">
        <f>IFERROR(IF('5 yr'!AI181=0,"",'5 yr'!AI181),"")</f>
        <v/>
      </c>
    </row>
    <row r="179" spans="1:7">
      <c r="A179" s="149" t="str">
        <f>IF('5 yr'!A182=0,"",'5 yr'!A182)</f>
        <v/>
      </c>
      <c r="B179" s="147" t="str">
        <f>IF('5 yr'!B182=0,"",'5 yr'!B182)</f>
        <v/>
      </c>
      <c r="C179" s="148" t="str">
        <f>IF('5 yr'!E182=0,"",'5 yr'!E182)</f>
        <v/>
      </c>
      <c r="D179" s="149" t="str">
        <f>IF('5 yr'!I182=0,"",'5 yr'!I182)</f>
        <v/>
      </c>
      <c r="E179" s="150" t="str">
        <f>IFERROR(IF('5 yr'!AF182=0,"",'5 yr'!AF182),"")</f>
        <v/>
      </c>
      <c r="F179" s="150" t="str">
        <f>IFERROR(IF('5 yr'!AH182=0,"",'5 yr'!AH182),"")</f>
        <v/>
      </c>
      <c r="G179" s="156" t="str">
        <f>IFERROR(IF('5 yr'!AI182=0,"",'5 yr'!AI182),"")</f>
        <v/>
      </c>
    </row>
    <row r="180" spans="1:7">
      <c r="A180" s="149" t="str">
        <f>IF('5 yr'!A183=0,"",'5 yr'!A183)</f>
        <v/>
      </c>
      <c r="B180" s="147" t="str">
        <f>IF('5 yr'!B183=0,"",'5 yr'!B183)</f>
        <v/>
      </c>
      <c r="C180" s="148" t="str">
        <f>IF('5 yr'!E183=0,"",'5 yr'!E183)</f>
        <v/>
      </c>
      <c r="D180" s="149" t="str">
        <f>IF('5 yr'!I183=0,"",'5 yr'!I183)</f>
        <v/>
      </c>
      <c r="E180" s="150" t="str">
        <f>IFERROR(IF('5 yr'!AF183=0,"",'5 yr'!AF183),"")</f>
        <v/>
      </c>
      <c r="F180" s="150" t="str">
        <f>IFERROR(IF('5 yr'!AH183=0,"",'5 yr'!AH183),"")</f>
        <v/>
      </c>
      <c r="G180" s="156" t="str">
        <f>IFERROR(IF('5 yr'!AI183=0,"",'5 yr'!AI183),"")</f>
        <v/>
      </c>
    </row>
    <row r="181" spans="1:7">
      <c r="A181" s="149" t="str">
        <f>IF('5 yr'!A184=0,"",'5 yr'!A184)</f>
        <v/>
      </c>
      <c r="B181" s="147" t="str">
        <f>IF('5 yr'!B184=0,"",'5 yr'!B184)</f>
        <v/>
      </c>
      <c r="C181" s="148" t="str">
        <f>IF('5 yr'!E184=0,"",'5 yr'!E184)</f>
        <v/>
      </c>
      <c r="D181" s="149" t="str">
        <f>IF('5 yr'!I184=0,"",'5 yr'!I184)</f>
        <v/>
      </c>
      <c r="E181" s="150" t="str">
        <f>IFERROR(IF('5 yr'!AF184=0,"",'5 yr'!AF184),"")</f>
        <v/>
      </c>
      <c r="F181" s="150" t="str">
        <f>IFERROR(IF('5 yr'!AH184=0,"",'5 yr'!AH184),"")</f>
        <v/>
      </c>
      <c r="G181" s="156" t="str">
        <f>IFERROR(IF('5 yr'!AI184=0,"",'5 yr'!AI184),"")</f>
        <v/>
      </c>
    </row>
    <row r="182" spans="1:7">
      <c r="A182" s="149" t="str">
        <f>IF('5 yr'!A185=0,"",'5 yr'!A185)</f>
        <v/>
      </c>
      <c r="B182" s="147" t="str">
        <f>IF('5 yr'!B185=0,"",'5 yr'!B185)</f>
        <v/>
      </c>
      <c r="C182" s="148" t="str">
        <f>IF('5 yr'!E185=0,"",'5 yr'!E185)</f>
        <v/>
      </c>
      <c r="D182" s="149" t="str">
        <f>IF('5 yr'!I185=0,"",'5 yr'!I185)</f>
        <v/>
      </c>
      <c r="E182" s="150" t="str">
        <f>IFERROR(IF('5 yr'!AF185=0,"",'5 yr'!AF185),"")</f>
        <v/>
      </c>
      <c r="F182" s="150" t="str">
        <f>IFERROR(IF('5 yr'!AH185=0,"",'5 yr'!AH185),"")</f>
        <v/>
      </c>
      <c r="G182" s="156" t="str">
        <f>IFERROR(IF('5 yr'!AI185=0,"",'5 yr'!AI185),"")</f>
        <v/>
      </c>
    </row>
    <row r="183" spans="1:7">
      <c r="A183" s="149" t="str">
        <f>IF('5 yr'!A186=0,"",'5 yr'!A186)</f>
        <v/>
      </c>
      <c r="B183" s="147" t="str">
        <f>IF('5 yr'!B186=0,"",'5 yr'!B186)</f>
        <v/>
      </c>
      <c r="C183" s="148" t="str">
        <f>IF('5 yr'!E186=0,"",'5 yr'!E186)</f>
        <v/>
      </c>
      <c r="D183" s="149" t="str">
        <f>IF('5 yr'!I186=0,"",'5 yr'!I186)</f>
        <v/>
      </c>
      <c r="E183" s="150" t="str">
        <f>IFERROR(IF('5 yr'!AF186=0,"",'5 yr'!AF186),"")</f>
        <v/>
      </c>
      <c r="F183" s="150" t="str">
        <f>IFERROR(IF('5 yr'!AH186=0,"",'5 yr'!AH186),"")</f>
        <v/>
      </c>
      <c r="G183" s="156" t="str">
        <f>IFERROR(IF('5 yr'!AI186=0,"",'5 yr'!AI186),"")</f>
        <v/>
      </c>
    </row>
    <row r="184" spans="1:7">
      <c r="A184" s="149" t="str">
        <f>IF('5 yr'!A187=0,"",'5 yr'!A187)</f>
        <v/>
      </c>
      <c r="B184" s="147" t="str">
        <f>IF('5 yr'!B187=0,"",'5 yr'!B187)</f>
        <v/>
      </c>
      <c r="C184" s="148" t="str">
        <f>IF('5 yr'!E187=0,"",'5 yr'!E187)</f>
        <v/>
      </c>
      <c r="D184" s="149" t="str">
        <f>IF('5 yr'!I187=0,"",'5 yr'!I187)</f>
        <v/>
      </c>
      <c r="E184" s="150" t="str">
        <f>IFERROR(IF('5 yr'!AF187=0,"",'5 yr'!AF187),"")</f>
        <v/>
      </c>
      <c r="F184" s="150" t="str">
        <f>IFERROR(IF('5 yr'!AH187=0,"",'5 yr'!AH187),"")</f>
        <v/>
      </c>
      <c r="G184" s="156" t="str">
        <f>IFERROR(IF('5 yr'!AI187=0,"",'5 yr'!AI187),"")</f>
        <v/>
      </c>
    </row>
    <row r="185" spans="1:7">
      <c r="A185" s="149" t="str">
        <f>IF('5 yr'!A188=0,"",'5 yr'!A188)</f>
        <v/>
      </c>
      <c r="B185" s="147" t="str">
        <f>IF('5 yr'!B188=0,"",'5 yr'!B188)</f>
        <v/>
      </c>
      <c r="C185" s="148" t="str">
        <f>IF('5 yr'!E188=0,"",'5 yr'!E188)</f>
        <v/>
      </c>
      <c r="D185" s="149" t="str">
        <f>IF('5 yr'!I188=0,"",'5 yr'!I188)</f>
        <v/>
      </c>
      <c r="E185" s="150" t="str">
        <f>IFERROR(IF('5 yr'!AF188=0,"",'5 yr'!AF188),"")</f>
        <v/>
      </c>
      <c r="F185" s="150" t="str">
        <f>IFERROR(IF('5 yr'!AH188=0,"",'5 yr'!AH188),"")</f>
        <v/>
      </c>
      <c r="G185" s="156" t="str">
        <f>IFERROR(IF('5 yr'!AI188=0,"",'5 yr'!AI188),"")</f>
        <v/>
      </c>
    </row>
    <row r="186" spans="1:7">
      <c r="A186" s="149" t="str">
        <f>IF('5 yr'!A189=0,"",'5 yr'!A189)</f>
        <v/>
      </c>
      <c r="B186" s="147" t="str">
        <f>IF('5 yr'!B189=0,"",'5 yr'!B189)</f>
        <v/>
      </c>
      <c r="C186" s="148" t="str">
        <f>IF('5 yr'!E189=0,"",'5 yr'!E189)</f>
        <v/>
      </c>
      <c r="D186" s="149" t="str">
        <f>IF('5 yr'!I189=0,"",'5 yr'!I189)</f>
        <v/>
      </c>
      <c r="E186" s="150" t="str">
        <f>IFERROR(IF('5 yr'!AF189=0,"",'5 yr'!AF189),"")</f>
        <v/>
      </c>
      <c r="F186" s="150" t="str">
        <f>IFERROR(IF('5 yr'!AH189=0,"",'5 yr'!AH189),"")</f>
        <v/>
      </c>
      <c r="G186" s="156" t="str">
        <f>IFERROR(IF('5 yr'!AI189=0,"",'5 yr'!AI189),"")</f>
        <v/>
      </c>
    </row>
    <row r="187" spans="1:7">
      <c r="A187" s="149" t="str">
        <f>IF('5 yr'!A190=0,"",'5 yr'!A190)</f>
        <v/>
      </c>
      <c r="B187" s="147" t="str">
        <f>IF('5 yr'!B190=0,"",'5 yr'!B190)</f>
        <v/>
      </c>
      <c r="C187" s="148" t="str">
        <f>IF('5 yr'!E190=0,"",'5 yr'!E190)</f>
        <v/>
      </c>
      <c r="D187" s="149" t="str">
        <f>IF('5 yr'!I190=0,"",'5 yr'!I190)</f>
        <v/>
      </c>
      <c r="E187" s="150" t="str">
        <f>IFERROR(IF('5 yr'!AF190=0,"",'5 yr'!AF190),"")</f>
        <v/>
      </c>
      <c r="F187" s="150" t="str">
        <f>IFERROR(IF('5 yr'!AH190=0,"",'5 yr'!AH190),"")</f>
        <v/>
      </c>
      <c r="G187" s="156" t="str">
        <f>IFERROR(IF('5 yr'!AI190=0,"",'5 yr'!AI190),"")</f>
        <v/>
      </c>
    </row>
    <row r="188" spans="1:7">
      <c r="A188" s="149" t="str">
        <f>IF('5 yr'!A191=0,"",'5 yr'!A191)</f>
        <v/>
      </c>
      <c r="B188" s="147" t="str">
        <f>IF('5 yr'!B191=0,"",'5 yr'!B191)</f>
        <v/>
      </c>
      <c r="C188" s="148" t="str">
        <f>IF('5 yr'!E191=0,"",'5 yr'!E191)</f>
        <v/>
      </c>
      <c r="D188" s="149" t="str">
        <f>IF('5 yr'!I191=0,"",'5 yr'!I191)</f>
        <v/>
      </c>
      <c r="E188" s="150" t="str">
        <f>IFERROR(IF('5 yr'!AF191=0,"",'5 yr'!AF191),"")</f>
        <v/>
      </c>
      <c r="F188" s="150" t="str">
        <f>IFERROR(IF('5 yr'!AH191=0,"",'5 yr'!AH191),"")</f>
        <v/>
      </c>
      <c r="G188" s="156" t="str">
        <f>IFERROR(IF('5 yr'!AI191=0,"",'5 yr'!AI191),"")</f>
        <v/>
      </c>
    </row>
    <row r="189" spans="1:7">
      <c r="A189" s="149" t="str">
        <f>IF('5 yr'!A192=0,"",'5 yr'!A192)</f>
        <v/>
      </c>
      <c r="B189" s="147" t="str">
        <f>IF('5 yr'!B192=0,"",'5 yr'!B192)</f>
        <v/>
      </c>
      <c r="C189" s="148" t="str">
        <f>IF('5 yr'!E192=0,"",'5 yr'!E192)</f>
        <v/>
      </c>
      <c r="D189" s="149" t="str">
        <f>IF('5 yr'!I192=0,"",'5 yr'!I192)</f>
        <v/>
      </c>
      <c r="E189" s="150" t="str">
        <f>IFERROR(IF('5 yr'!AF192=0,"",'5 yr'!AF192),"")</f>
        <v/>
      </c>
      <c r="F189" s="150" t="str">
        <f>IFERROR(IF('5 yr'!AH192=0,"",'5 yr'!AH192),"")</f>
        <v/>
      </c>
      <c r="G189" s="156" t="str">
        <f>IFERROR(IF('5 yr'!AI192=0,"",'5 yr'!AI192),"")</f>
        <v/>
      </c>
    </row>
    <row r="190" spans="1:7">
      <c r="A190" s="149" t="str">
        <f>IF('5 yr'!A193=0,"",'5 yr'!A193)</f>
        <v/>
      </c>
      <c r="B190" s="147" t="str">
        <f>IF('5 yr'!B193=0,"",'5 yr'!B193)</f>
        <v/>
      </c>
      <c r="C190" s="148" t="str">
        <f>IF('5 yr'!E193=0,"",'5 yr'!E193)</f>
        <v/>
      </c>
      <c r="D190" s="149" t="str">
        <f>IF('5 yr'!I193=0,"",'5 yr'!I193)</f>
        <v/>
      </c>
      <c r="E190" s="150" t="str">
        <f>IFERROR(IF('5 yr'!AF193=0,"",'5 yr'!AF193),"")</f>
        <v/>
      </c>
      <c r="F190" s="150" t="str">
        <f>IFERROR(IF('5 yr'!AH193=0,"",'5 yr'!AH193),"")</f>
        <v/>
      </c>
      <c r="G190" s="156" t="str">
        <f>IFERROR(IF('5 yr'!AI193=0,"",'5 yr'!AI193),"")</f>
        <v/>
      </c>
    </row>
    <row r="191" spans="1:7">
      <c r="A191" s="149" t="str">
        <f>IF('5 yr'!A194=0,"",'5 yr'!A194)</f>
        <v/>
      </c>
      <c r="B191" s="147" t="str">
        <f>IF('5 yr'!B194=0,"",'5 yr'!B194)</f>
        <v/>
      </c>
      <c r="C191" s="148" t="str">
        <f>IF('5 yr'!E194=0,"",'5 yr'!E194)</f>
        <v/>
      </c>
      <c r="D191" s="149" t="str">
        <f>IF('5 yr'!I194=0,"",'5 yr'!I194)</f>
        <v/>
      </c>
      <c r="E191" s="150" t="str">
        <f>IFERROR(IF('5 yr'!AF194=0,"",'5 yr'!AF194),"")</f>
        <v/>
      </c>
      <c r="F191" s="150" t="str">
        <f>IFERROR(IF('5 yr'!AH194=0,"",'5 yr'!AH194),"")</f>
        <v/>
      </c>
      <c r="G191" s="156" t="str">
        <f>IFERROR(IF('5 yr'!AI194=0,"",'5 yr'!AI194),"")</f>
        <v/>
      </c>
    </row>
    <row r="192" spans="1:7">
      <c r="A192" s="149" t="str">
        <f>IF('5 yr'!A195=0,"",'5 yr'!A195)</f>
        <v/>
      </c>
      <c r="B192" s="147" t="str">
        <f>IF('5 yr'!B195=0,"",'5 yr'!B195)</f>
        <v/>
      </c>
      <c r="C192" s="148" t="str">
        <f>IF('5 yr'!E195=0,"",'5 yr'!E195)</f>
        <v/>
      </c>
      <c r="D192" s="149" t="str">
        <f>IF('5 yr'!I195=0,"",'5 yr'!I195)</f>
        <v/>
      </c>
      <c r="E192" s="150" t="str">
        <f>IFERROR(IF('5 yr'!AF195=0,"",'5 yr'!AF195),"")</f>
        <v/>
      </c>
      <c r="F192" s="150" t="str">
        <f>IFERROR(IF('5 yr'!AH195=0,"",'5 yr'!AH195),"")</f>
        <v/>
      </c>
      <c r="G192" s="156" t="str">
        <f>IFERROR(IF('5 yr'!AI195=0,"",'5 yr'!AI195),"")</f>
        <v/>
      </c>
    </row>
    <row r="193" spans="1:7">
      <c r="A193" s="149" t="str">
        <f>IF('5 yr'!A196=0,"",'5 yr'!A196)</f>
        <v/>
      </c>
      <c r="B193" s="147" t="str">
        <f>IF('5 yr'!B196=0,"",'5 yr'!B196)</f>
        <v/>
      </c>
      <c r="C193" s="148" t="str">
        <f>IF('5 yr'!E196=0,"",'5 yr'!E196)</f>
        <v/>
      </c>
      <c r="D193" s="149" t="str">
        <f>IF('5 yr'!I196=0,"",'5 yr'!I196)</f>
        <v/>
      </c>
      <c r="E193" s="150" t="str">
        <f>IFERROR(IF('5 yr'!AF196=0,"",'5 yr'!AF196),"")</f>
        <v/>
      </c>
      <c r="F193" s="150" t="str">
        <f>IFERROR(IF('5 yr'!AH196=0,"",'5 yr'!AH196),"")</f>
        <v/>
      </c>
      <c r="G193" s="156" t="str">
        <f>IFERROR(IF('5 yr'!AI196=0,"",'5 yr'!AI196),"")</f>
        <v/>
      </c>
    </row>
    <row r="194" spans="1:7">
      <c r="A194" s="149" t="str">
        <f>IF('5 yr'!A197=0,"",'5 yr'!A197)</f>
        <v/>
      </c>
      <c r="B194" s="147" t="str">
        <f>IF('5 yr'!B197=0,"",'5 yr'!B197)</f>
        <v/>
      </c>
      <c r="C194" s="148" t="str">
        <f>IF('5 yr'!E197=0,"",'5 yr'!E197)</f>
        <v/>
      </c>
      <c r="D194" s="149" t="str">
        <f>IF('5 yr'!I197=0,"",'5 yr'!I197)</f>
        <v/>
      </c>
      <c r="E194" s="150" t="str">
        <f>IFERROR(IF('5 yr'!AF197=0,"",'5 yr'!AF197),"")</f>
        <v/>
      </c>
      <c r="F194" s="150" t="str">
        <f>IFERROR(IF('5 yr'!AH197=0,"",'5 yr'!AH197),"")</f>
        <v/>
      </c>
      <c r="G194" s="156" t="str">
        <f>IFERROR(IF('5 yr'!AI197=0,"",'5 yr'!AI197),"")</f>
        <v/>
      </c>
    </row>
    <row r="195" spans="1:7">
      <c r="A195" s="149" t="str">
        <f>IF('5 yr'!A198=0,"",'5 yr'!A198)</f>
        <v/>
      </c>
      <c r="B195" s="147" t="str">
        <f>IF('5 yr'!B198=0,"",'5 yr'!B198)</f>
        <v/>
      </c>
      <c r="C195" s="148" t="str">
        <f>IF('5 yr'!E198=0,"",'5 yr'!E198)</f>
        <v/>
      </c>
      <c r="D195" s="149" t="str">
        <f>IF('5 yr'!I198=0,"",'5 yr'!I198)</f>
        <v/>
      </c>
      <c r="E195" s="150" t="str">
        <f>IFERROR(IF('5 yr'!AF198=0,"",'5 yr'!AF198),"")</f>
        <v/>
      </c>
      <c r="F195" s="150" t="str">
        <f>IFERROR(IF('5 yr'!AH198=0,"",'5 yr'!AH198),"")</f>
        <v/>
      </c>
      <c r="G195" s="156" t="str">
        <f>IFERROR(IF('5 yr'!AI198=0,"",'5 yr'!AI198),"")</f>
        <v/>
      </c>
    </row>
    <row r="196" spans="1:7">
      <c r="A196" s="149" t="str">
        <f>IF('5 yr'!A199=0,"",'5 yr'!A199)</f>
        <v/>
      </c>
      <c r="B196" s="147" t="str">
        <f>IF('5 yr'!B199=0,"",'5 yr'!B199)</f>
        <v/>
      </c>
      <c r="C196" s="148" t="str">
        <f>IF('5 yr'!E199=0,"",'5 yr'!E199)</f>
        <v/>
      </c>
      <c r="D196" s="149" t="str">
        <f>IF('5 yr'!I199=0,"",'5 yr'!I199)</f>
        <v/>
      </c>
      <c r="E196" s="150" t="str">
        <f>IFERROR(IF('5 yr'!AF199=0,"",'5 yr'!AF199),"")</f>
        <v/>
      </c>
      <c r="F196" s="150" t="str">
        <f>IFERROR(IF('5 yr'!AH199=0,"",'5 yr'!AH199),"")</f>
        <v/>
      </c>
      <c r="G196" s="156" t="str">
        <f>IFERROR(IF('5 yr'!AI199=0,"",'5 yr'!AI199),"")</f>
        <v/>
      </c>
    </row>
    <row r="197" spans="1:7">
      <c r="A197" s="149" t="str">
        <f>IF('5 yr'!A200=0,"",'5 yr'!A200)</f>
        <v/>
      </c>
      <c r="B197" s="147" t="str">
        <f>IF('5 yr'!B200=0,"",'5 yr'!B200)</f>
        <v/>
      </c>
      <c r="C197" s="148" t="str">
        <f>IF('5 yr'!E200=0,"",'5 yr'!E200)</f>
        <v/>
      </c>
      <c r="D197" s="149" t="str">
        <f>IF('5 yr'!I200=0,"",'5 yr'!I200)</f>
        <v/>
      </c>
      <c r="E197" s="150" t="str">
        <f>IFERROR(IF('5 yr'!AF200=0,"",'5 yr'!AF200),"")</f>
        <v/>
      </c>
      <c r="F197" s="150" t="str">
        <f>IFERROR(IF('5 yr'!AH200=0,"",'5 yr'!AH200),"")</f>
        <v/>
      </c>
      <c r="G197" s="156" t="str">
        <f>IFERROR(IF('5 yr'!AI200=0,"",'5 yr'!AI200),"")</f>
        <v/>
      </c>
    </row>
    <row r="198" spans="1:7">
      <c r="A198" s="149" t="str">
        <f>IF('5 yr'!A201=0,"",'5 yr'!A201)</f>
        <v/>
      </c>
      <c r="B198" s="147" t="str">
        <f>IF('5 yr'!B201=0,"",'5 yr'!B201)</f>
        <v/>
      </c>
      <c r="C198" s="148" t="str">
        <f>IF('5 yr'!E201=0,"",'5 yr'!E201)</f>
        <v/>
      </c>
      <c r="D198" s="149" t="str">
        <f>IF('5 yr'!I201=0,"",'5 yr'!I201)</f>
        <v/>
      </c>
      <c r="E198" s="150" t="str">
        <f>IFERROR(IF('5 yr'!AF201=0,"",'5 yr'!AF201),"")</f>
        <v/>
      </c>
      <c r="F198" s="150" t="str">
        <f>IFERROR(IF('5 yr'!AH201=0,"",'5 yr'!AH201),"")</f>
        <v/>
      </c>
      <c r="G198" s="156" t="str">
        <f>IFERROR(IF('5 yr'!AI201=0,"",'5 yr'!AI201),"")</f>
        <v/>
      </c>
    </row>
    <row r="199" spans="1:7">
      <c r="A199" s="149" t="str">
        <f>IF('5 yr'!A202=0,"",'5 yr'!A202)</f>
        <v/>
      </c>
      <c r="B199" s="147" t="str">
        <f>IF('5 yr'!B202=0,"",'5 yr'!B202)</f>
        <v/>
      </c>
      <c r="C199" s="148" t="str">
        <f>IF('5 yr'!E202=0,"",'5 yr'!E202)</f>
        <v/>
      </c>
      <c r="D199" s="149" t="str">
        <f>IF('5 yr'!I202=0,"",'5 yr'!I202)</f>
        <v/>
      </c>
      <c r="E199" s="150" t="str">
        <f>IFERROR(IF('5 yr'!AF202=0,"",'5 yr'!AF202),"")</f>
        <v/>
      </c>
      <c r="F199" s="150" t="str">
        <f>IFERROR(IF('5 yr'!AH202=0,"",'5 yr'!AH202),"")</f>
        <v/>
      </c>
      <c r="G199" s="156" t="str">
        <f>IFERROR(IF('5 yr'!AI202=0,"",'5 yr'!AI202),"")</f>
        <v/>
      </c>
    </row>
    <row r="200" spans="1:7">
      <c r="A200" s="149" t="str">
        <f>IF('5 yr'!A203=0,"",'5 yr'!A203)</f>
        <v/>
      </c>
      <c r="B200" s="147" t="str">
        <f>IF('5 yr'!B203=0,"",'5 yr'!B203)</f>
        <v/>
      </c>
      <c r="C200" s="148" t="str">
        <f>IF('5 yr'!E203=0,"",'5 yr'!E203)</f>
        <v/>
      </c>
      <c r="D200" s="149" t="str">
        <f>IF('5 yr'!I203=0,"",'5 yr'!I203)</f>
        <v/>
      </c>
      <c r="E200" s="150" t="str">
        <f>IFERROR(IF('5 yr'!AF203=0,"",'5 yr'!AF203),"")</f>
        <v/>
      </c>
      <c r="F200" s="150" t="str">
        <f>IFERROR(IF('5 yr'!AH203=0,"",'5 yr'!AH203),"")</f>
        <v/>
      </c>
      <c r="G200" s="156" t="str">
        <f>IFERROR(IF('5 yr'!AI203=0,"",'5 yr'!AI203),"")</f>
        <v/>
      </c>
    </row>
    <row r="201" spans="1:7">
      <c r="A201" s="149" t="str">
        <f>IF('5 yr'!A204=0,"",'5 yr'!A204)</f>
        <v/>
      </c>
      <c r="B201" s="147" t="str">
        <f>IF('5 yr'!B204=0,"",'5 yr'!B204)</f>
        <v/>
      </c>
      <c r="C201" s="148" t="str">
        <f>IF('5 yr'!E204=0,"",'5 yr'!E204)</f>
        <v/>
      </c>
      <c r="D201" s="149" t="str">
        <f>IF('5 yr'!I204=0,"",'5 yr'!I204)</f>
        <v/>
      </c>
      <c r="E201" s="150" t="str">
        <f>IFERROR(IF('5 yr'!AF204=0,"",'5 yr'!AF204),"")</f>
        <v/>
      </c>
      <c r="F201" s="150" t="str">
        <f>IFERROR(IF('5 yr'!AH204=0,"",'5 yr'!AH204),"")</f>
        <v/>
      </c>
      <c r="G201" s="156" t="str">
        <f>IFERROR(IF('5 yr'!AI204=0,"",'5 yr'!AI204),"")</f>
        <v/>
      </c>
    </row>
    <row r="202" spans="1:7">
      <c r="A202" s="149" t="str">
        <f>IF('5 yr'!A205=0,"",'5 yr'!A205)</f>
        <v/>
      </c>
      <c r="B202" s="147" t="str">
        <f>IF('5 yr'!B205=0,"",'5 yr'!B205)</f>
        <v/>
      </c>
      <c r="C202" s="148" t="str">
        <f>IF('5 yr'!E205=0,"",'5 yr'!E205)</f>
        <v/>
      </c>
      <c r="D202" s="149" t="str">
        <f>IF('5 yr'!I205=0,"",'5 yr'!I205)</f>
        <v/>
      </c>
      <c r="E202" s="150" t="str">
        <f>IFERROR(IF('5 yr'!AF205=0,"",'5 yr'!AF205),"")</f>
        <v/>
      </c>
      <c r="F202" s="150" t="str">
        <f>IFERROR(IF('5 yr'!AH205=0,"",'5 yr'!AH205),"")</f>
        <v/>
      </c>
      <c r="G202" s="156" t="str">
        <f>IFERROR(IF('5 yr'!AI205=0,"",'5 yr'!AI205),"")</f>
        <v/>
      </c>
    </row>
    <row r="203" spans="1:7">
      <c r="A203" s="149" t="str">
        <f>IF('5 yr'!A206=0,"",'5 yr'!A206)</f>
        <v/>
      </c>
      <c r="B203" s="147" t="str">
        <f>IF('5 yr'!B206=0,"",'5 yr'!B206)</f>
        <v/>
      </c>
      <c r="C203" s="148" t="str">
        <f>IF('5 yr'!E206=0,"",'5 yr'!E206)</f>
        <v/>
      </c>
      <c r="D203" s="149" t="str">
        <f>IF('5 yr'!I206=0,"",'5 yr'!I206)</f>
        <v/>
      </c>
      <c r="E203" s="150" t="str">
        <f>IFERROR(IF('5 yr'!AF206=0,"",'5 yr'!AF206),"")</f>
        <v/>
      </c>
      <c r="F203" s="150" t="str">
        <f>IFERROR(IF('5 yr'!AH206=0,"",'5 yr'!AH206),"")</f>
        <v/>
      </c>
      <c r="G203" s="156" t="str">
        <f>IFERROR(IF('5 yr'!AI206=0,"",'5 yr'!AI206),"")</f>
        <v/>
      </c>
    </row>
    <row r="204" spans="1:7">
      <c r="A204" s="149" t="str">
        <f>IF('5 yr'!A207=0,"",'5 yr'!A207)</f>
        <v/>
      </c>
      <c r="B204" s="147" t="str">
        <f>IF('5 yr'!B207=0,"",'5 yr'!B207)</f>
        <v/>
      </c>
      <c r="C204" s="148" t="str">
        <f>IF('5 yr'!E207=0,"",'5 yr'!E207)</f>
        <v/>
      </c>
      <c r="D204" s="149" t="str">
        <f>IF('5 yr'!I207=0,"",'5 yr'!I207)</f>
        <v/>
      </c>
      <c r="E204" s="150" t="str">
        <f>IFERROR(IF('5 yr'!AF207=0,"",'5 yr'!AF207),"")</f>
        <v/>
      </c>
      <c r="F204" s="150" t="str">
        <f>IFERROR(IF('5 yr'!AH207=0,"",'5 yr'!AH207),"")</f>
        <v/>
      </c>
      <c r="G204" s="156" t="str">
        <f>IFERROR(IF('5 yr'!AI207=0,"",'5 yr'!AI207),"")</f>
        <v/>
      </c>
    </row>
    <row r="205" spans="1:7">
      <c r="A205" s="149" t="str">
        <f>IF('5 yr'!A208=0,"",'5 yr'!A208)</f>
        <v/>
      </c>
      <c r="B205" s="147" t="str">
        <f>IF('5 yr'!B208=0,"",'5 yr'!B208)</f>
        <v/>
      </c>
      <c r="C205" s="148" t="str">
        <f>IF('5 yr'!E208=0,"",'5 yr'!E208)</f>
        <v/>
      </c>
      <c r="D205" s="149" t="str">
        <f>IF('5 yr'!I208=0,"",'5 yr'!I208)</f>
        <v/>
      </c>
      <c r="E205" s="150" t="str">
        <f>IFERROR(IF('5 yr'!AF208=0,"",'5 yr'!AF208),"")</f>
        <v/>
      </c>
      <c r="F205" s="150" t="str">
        <f>IFERROR(IF('5 yr'!AH208=0,"",'5 yr'!AH208),"")</f>
        <v/>
      </c>
      <c r="G205" s="156" t="str">
        <f>IFERROR(IF('5 yr'!AI208=0,"",'5 yr'!AI208),"")</f>
        <v/>
      </c>
    </row>
    <row r="206" spans="1:7">
      <c r="A206" s="149" t="str">
        <f>IF('5 yr'!A209=0,"",'5 yr'!A209)</f>
        <v/>
      </c>
      <c r="B206" s="147" t="str">
        <f>IF('5 yr'!B209=0,"",'5 yr'!B209)</f>
        <v/>
      </c>
      <c r="C206" s="148" t="str">
        <f>IF('5 yr'!E209=0,"",'5 yr'!E209)</f>
        <v/>
      </c>
      <c r="D206" s="149" t="str">
        <f>IF('5 yr'!I209=0,"",'5 yr'!I209)</f>
        <v/>
      </c>
      <c r="E206" s="150" t="str">
        <f>IFERROR(IF('5 yr'!AF209=0,"",'5 yr'!AF209),"")</f>
        <v/>
      </c>
      <c r="F206" s="150" t="str">
        <f>IFERROR(IF('5 yr'!AH209=0,"",'5 yr'!AH209),"")</f>
        <v/>
      </c>
      <c r="G206" s="156" t="str">
        <f>IFERROR(IF('5 yr'!AI209=0,"",'5 yr'!AI209),"")</f>
        <v/>
      </c>
    </row>
    <row r="207" spans="1:7">
      <c r="A207" s="149" t="str">
        <f>IF('5 yr'!A210=0,"",'5 yr'!A210)</f>
        <v/>
      </c>
      <c r="B207" s="147" t="str">
        <f>IF('5 yr'!B210=0,"",'5 yr'!B210)</f>
        <v/>
      </c>
      <c r="C207" s="148" t="str">
        <f>IF('5 yr'!E210=0,"",'5 yr'!E210)</f>
        <v/>
      </c>
      <c r="D207" s="149" t="str">
        <f>IF('5 yr'!I210=0,"",'5 yr'!I210)</f>
        <v/>
      </c>
      <c r="E207" s="150" t="str">
        <f>IFERROR(IF('5 yr'!AF210=0,"",'5 yr'!AF210),"")</f>
        <v/>
      </c>
      <c r="F207" s="150" t="str">
        <f>IFERROR(IF('5 yr'!AH210=0,"",'5 yr'!AH210),"")</f>
        <v/>
      </c>
      <c r="G207" s="156" t="str">
        <f>IFERROR(IF('5 yr'!AI210=0,"",'5 yr'!AI210),"")</f>
        <v/>
      </c>
    </row>
    <row r="208" spans="1:7">
      <c r="A208" s="149" t="str">
        <f>IF('5 yr'!A211=0,"",'5 yr'!A211)</f>
        <v/>
      </c>
      <c r="B208" s="147" t="str">
        <f>IF('5 yr'!B211=0,"",'5 yr'!B211)</f>
        <v/>
      </c>
      <c r="C208" s="148" t="str">
        <f>IF('5 yr'!E211=0,"",'5 yr'!E211)</f>
        <v/>
      </c>
      <c r="D208" s="149" t="str">
        <f>IF('5 yr'!I211=0,"",'5 yr'!I211)</f>
        <v/>
      </c>
      <c r="E208" s="150" t="str">
        <f>IFERROR(IF('5 yr'!AF211=0,"",'5 yr'!AF211),"")</f>
        <v/>
      </c>
      <c r="F208" s="150" t="str">
        <f>IFERROR(IF('5 yr'!AH211=0,"",'5 yr'!AH211),"")</f>
        <v/>
      </c>
      <c r="G208" s="156" t="str">
        <f>IFERROR(IF('5 yr'!AI211=0,"",'5 yr'!AI211),"")</f>
        <v/>
      </c>
    </row>
    <row r="209" spans="1:7">
      <c r="A209" s="149" t="str">
        <f>IF('5 yr'!A212=0,"",'5 yr'!A212)</f>
        <v/>
      </c>
      <c r="B209" s="147" t="str">
        <f>IF('5 yr'!B212=0,"",'5 yr'!B212)</f>
        <v/>
      </c>
      <c r="C209" s="148" t="str">
        <f>IF('5 yr'!E212=0,"",'5 yr'!E212)</f>
        <v/>
      </c>
      <c r="D209" s="149" t="str">
        <f>IF('5 yr'!I212=0,"",'5 yr'!I212)</f>
        <v/>
      </c>
      <c r="E209" s="150" t="str">
        <f>IFERROR(IF('5 yr'!AF212=0,"",'5 yr'!AF212),"")</f>
        <v/>
      </c>
      <c r="F209" s="150" t="str">
        <f>IFERROR(IF('5 yr'!AH212=0,"",'5 yr'!AH212),"")</f>
        <v/>
      </c>
      <c r="G209" s="156" t="str">
        <f>IFERROR(IF('5 yr'!AI212=0,"",'5 yr'!AI212),"")</f>
        <v/>
      </c>
    </row>
    <row r="210" spans="1:7">
      <c r="A210" s="149" t="str">
        <f>IF('5 yr'!A213=0,"",'5 yr'!A213)</f>
        <v/>
      </c>
      <c r="B210" s="147" t="str">
        <f>IF('5 yr'!B213=0,"",'5 yr'!B213)</f>
        <v/>
      </c>
      <c r="C210" s="148" t="str">
        <f>IF('5 yr'!E213=0,"",'5 yr'!E213)</f>
        <v/>
      </c>
      <c r="D210" s="149" t="str">
        <f>IF('5 yr'!I213=0,"",'5 yr'!I213)</f>
        <v/>
      </c>
      <c r="E210" s="150" t="str">
        <f>IFERROR(IF('5 yr'!AF213=0,"",'5 yr'!AF213),"")</f>
        <v/>
      </c>
      <c r="F210" s="150" t="str">
        <f>IFERROR(IF('5 yr'!AH213=0,"",'5 yr'!AH213),"")</f>
        <v/>
      </c>
      <c r="G210" s="156" t="str">
        <f>IFERROR(IF('5 yr'!AI213=0,"",'5 yr'!AI213),"")</f>
        <v/>
      </c>
    </row>
    <row r="211" spans="1:7">
      <c r="A211" s="149" t="str">
        <f>IF('5 yr'!A214=0,"",'5 yr'!A214)</f>
        <v/>
      </c>
      <c r="B211" s="147" t="str">
        <f>IF('5 yr'!B214=0,"",'5 yr'!B214)</f>
        <v/>
      </c>
      <c r="C211" s="148" t="str">
        <f>IF('5 yr'!E214=0,"",'5 yr'!E214)</f>
        <v/>
      </c>
      <c r="D211" s="149" t="str">
        <f>IF('5 yr'!I214=0,"",'5 yr'!I214)</f>
        <v/>
      </c>
      <c r="E211" s="150" t="str">
        <f>IFERROR(IF('5 yr'!AF214=0,"",'5 yr'!AF214),"")</f>
        <v/>
      </c>
      <c r="F211" s="150" t="str">
        <f>IFERROR(IF('5 yr'!AH214=0,"",'5 yr'!AH214),"")</f>
        <v/>
      </c>
      <c r="G211" s="156" t="str">
        <f>IFERROR(IF('5 yr'!AI214=0,"",'5 yr'!AI214),"")</f>
        <v/>
      </c>
    </row>
    <row r="212" spans="1:7">
      <c r="A212" s="149" t="str">
        <f>IF('5 yr'!A215=0,"",'5 yr'!A215)</f>
        <v/>
      </c>
      <c r="B212" s="147" t="str">
        <f>IF('5 yr'!B215=0,"",'5 yr'!B215)</f>
        <v/>
      </c>
      <c r="C212" s="148" t="str">
        <f>IF('5 yr'!E215=0,"",'5 yr'!E215)</f>
        <v/>
      </c>
      <c r="D212" s="149" t="str">
        <f>IF('5 yr'!I215=0,"",'5 yr'!I215)</f>
        <v/>
      </c>
      <c r="E212" s="150" t="str">
        <f>IFERROR(IF('5 yr'!AF215=0,"",'5 yr'!AF215),"")</f>
        <v/>
      </c>
      <c r="F212" s="150" t="str">
        <f>IFERROR(IF('5 yr'!AH215=0,"",'5 yr'!AH215),"")</f>
        <v/>
      </c>
      <c r="G212" s="156" t="str">
        <f>IFERROR(IF('5 yr'!AI215=0,"",'5 yr'!AI215),"")</f>
        <v/>
      </c>
    </row>
    <row r="213" spans="1:7">
      <c r="A213" s="149" t="str">
        <f>IF('5 yr'!A216=0,"",'5 yr'!A216)</f>
        <v/>
      </c>
      <c r="B213" s="147" t="str">
        <f>IF('5 yr'!B216=0,"",'5 yr'!B216)</f>
        <v/>
      </c>
      <c r="C213" s="148" t="str">
        <f>IF('5 yr'!E216=0,"",'5 yr'!E216)</f>
        <v/>
      </c>
      <c r="D213" s="149" t="str">
        <f>IF('5 yr'!I216=0,"",'5 yr'!I216)</f>
        <v/>
      </c>
      <c r="E213" s="150" t="str">
        <f>IFERROR(IF('5 yr'!AF216=0,"",'5 yr'!AF216),"")</f>
        <v/>
      </c>
      <c r="F213" s="150" t="str">
        <f>IFERROR(IF('5 yr'!AH216=0,"",'5 yr'!AH216),"")</f>
        <v/>
      </c>
      <c r="G213" s="156" t="str">
        <f>IFERROR(IF('5 yr'!AI216=0,"",'5 yr'!AI216),"")</f>
        <v/>
      </c>
    </row>
    <row r="214" spans="1:7">
      <c r="A214" s="149" t="str">
        <f>IF('5 yr'!A217=0,"",'5 yr'!A217)</f>
        <v/>
      </c>
      <c r="B214" s="147" t="str">
        <f>IF('5 yr'!B217=0,"",'5 yr'!B217)</f>
        <v/>
      </c>
      <c r="C214" s="148" t="str">
        <f>IF('5 yr'!E217=0,"",'5 yr'!E217)</f>
        <v/>
      </c>
      <c r="D214" s="149" t="str">
        <f>IF('5 yr'!I217=0,"",'5 yr'!I217)</f>
        <v/>
      </c>
      <c r="E214" s="150" t="str">
        <f>IFERROR(IF('5 yr'!AF217=0,"",'5 yr'!AF217),"")</f>
        <v/>
      </c>
      <c r="F214" s="150" t="str">
        <f>IFERROR(IF('5 yr'!AH217=0,"",'5 yr'!AH217),"")</f>
        <v/>
      </c>
      <c r="G214" s="156" t="str">
        <f>IFERROR(IF('5 yr'!AI217=0,"",'5 yr'!AI217),"")</f>
        <v/>
      </c>
    </row>
    <row r="215" spans="1:7">
      <c r="A215" s="149" t="str">
        <f>IF('5 yr'!A218=0,"",'5 yr'!A218)</f>
        <v/>
      </c>
      <c r="B215" s="147" t="str">
        <f>IF('5 yr'!B218=0,"",'5 yr'!B218)</f>
        <v/>
      </c>
      <c r="C215" s="148" t="str">
        <f>IF('5 yr'!E218=0,"",'5 yr'!E218)</f>
        <v/>
      </c>
      <c r="D215" s="149" t="str">
        <f>IF('5 yr'!I218=0,"",'5 yr'!I218)</f>
        <v/>
      </c>
      <c r="E215" s="150" t="str">
        <f>IFERROR(IF('5 yr'!AF218=0,"",'5 yr'!AF218),"")</f>
        <v/>
      </c>
      <c r="F215" s="150" t="str">
        <f>IFERROR(IF('5 yr'!AH218=0,"",'5 yr'!AH218),"")</f>
        <v/>
      </c>
      <c r="G215" s="156" t="str">
        <f>IFERROR(IF('5 yr'!AI218=0,"",'5 yr'!AI218),"")</f>
        <v/>
      </c>
    </row>
    <row r="216" spans="1:7">
      <c r="A216" s="149" t="str">
        <f>IF('5 yr'!A219=0,"",'5 yr'!A219)</f>
        <v/>
      </c>
      <c r="B216" s="147" t="str">
        <f>IF('5 yr'!B219=0,"",'5 yr'!B219)</f>
        <v/>
      </c>
      <c r="C216" s="148" t="str">
        <f>IF('5 yr'!E219=0,"",'5 yr'!E219)</f>
        <v/>
      </c>
      <c r="D216" s="149" t="str">
        <f>IF('5 yr'!I219=0,"",'5 yr'!I219)</f>
        <v/>
      </c>
      <c r="E216" s="150" t="str">
        <f>IFERROR(IF('5 yr'!AF219=0,"",'5 yr'!AF219),"")</f>
        <v/>
      </c>
      <c r="F216" s="150" t="str">
        <f>IFERROR(IF('5 yr'!AH219=0,"",'5 yr'!AH219),"")</f>
        <v/>
      </c>
      <c r="G216" s="156" t="str">
        <f>IFERROR(IF('5 yr'!AI219=0,"",'5 yr'!AI219),"")</f>
        <v/>
      </c>
    </row>
    <row r="217" spans="1:7">
      <c r="A217" s="149" t="str">
        <f>IF('5 yr'!A220=0,"",'5 yr'!A220)</f>
        <v/>
      </c>
      <c r="B217" s="147" t="str">
        <f>IF('5 yr'!B220=0,"",'5 yr'!B220)</f>
        <v/>
      </c>
      <c r="C217" s="148" t="str">
        <f>IF('5 yr'!E220=0,"",'5 yr'!E220)</f>
        <v/>
      </c>
      <c r="D217" s="149" t="str">
        <f>IF('5 yr'!I220=0,"",'5 yr'!I220)</f>
        <v/>
      </c>
      <c r="E217" s="150" t="str">
        <f>IFERROR(IF('5 yr'!AF220=0,"",'5 yr'!AF220),"")</f>
        <v/>
      </c>
      <c r="F217" s="150" t="str">
        <f>IFERROR(IF('5 yr'!AH220=0,"",'5 yr'!AH220),"")</f>
        <v/>
      </c>
      <c r="G217" s="156" t="str">
        <f>IFERROR(IF('5 yr'!AI220=0,"",'5 yr'!AI220),"")</f>
        <v/>
      </c>
    </row>
    <row r="218" spans="1:7">
      <c r="A218" s="149" t="str">
        <f>IF('5 yr'!A221=0,"",'5 yr'!A221)</f>
        <v/>
      </c>
      <c r="B218" s="147" t="str">
        <f>IF('5 yr'!B221=0,"",'5 yr'!B221)</f>
        <v/>
      </c>
      <c r="C218" s="148" t="str">
        <f>IF('5 yr'!E221=0,"",'5 yr'!E221)</f>
        <v/>
      </c>
      <c r="D218" s="149" t="str">
        <f>IF('5 yr'!I221=0,"",'5 yr'!I221)</f>
        <v/>
      </c>
      <c r="E218" s="150" t="str">
        <f>IFERROR(IF('5 yr'!AF221=0,"",'5 yr'!AF221),"")</f>
        <v/>
      </c>
      <c r="F218" s="150" t="str">
        <f>IFERROR(IF('5 yr'!AH221=0,"",'5 yr'!AH221),"")</f>
        <v/>
      </c>
      <c r="G218" s="156" t="str">
        <f>IFERROR(IF('5 yr'!AI221=0,"",'5 yr'!AI221),"")</f>
        <v/>
      </c>
    </row>
    <row r="219" spans="1:7">
      <c r="A219" s="149" t="str">
        <f>IF('5 yr'!A222=0,"",'5 yr'!A222)</f>
        <v/>
      </c>
      <c r="B219" s="147" t="str">
        <f>IF('5 yr'!B222=0,"",'5 yr'!B222)</f>
        <v/>
      </c>
      <c r="C219" s="148" t="str">
        <f>IF('5 yr'!E222=0,"",'5 yr'!E222)</f>
        <v/>
      </c>
      <c r="D219" s="149" t="str">
        <f>IF('5 yr'!I222=0,"",'5 yr'!I222)</f>
        <v/>
      </c>
      <c r="E219" s="150" t="str">
        <f>IFERROR(IF('5 yr'!AF222=0,"",'5 yr'!AF222),"")</f>
        <v/>
      </c>
      <c r="F219" s="150" t="str">
        <f>IFERROR(IF('5 yr'!AH222=0,"",'5 yr'!AH222),"")</f>
        <v/>
      </c>
      <c r="G219" s="156" t="str">
        <f>IFERROR(IF('5 yr'!AI222=0,"",'5 yr'!AI222),"")</f>
        <v/>
      </c>
    </row>
    <row r="220" spans="1:7">
      <c r="A220" s="149" t="str">
        <f>IF('5 yr'!A223=0,"",'5 yr'!A223)</f>
        <v/>
      </c>
      <c r="B220" s="147" t="str">
        <f>IF('5 yr'!B223=0,"",'5 yr'!B223)</f>
        <v/>
      </c>
      <c r="C220" s="148" t="str">
        <f>IF('5 yr'!E223=0,"",'5 yr'!E223)</f>
        <v/>
      </c>
      <c r="D220" s="149" t="str">
        <f>IF('5 yr'!I223=0,"",'5 yr'!I223)</f>
        <v/>
      </c>
      <c r="E220" s="150" t="str">
        <f>IFERROR(IF('5 yr'!AF223=0,"",'5 yr'!AF223),"")</f>
        <v/>
      </c>
      <c r="F220" s="150" t="str">
        <f>IFERROR(IF('5 yr'!AH223=0,"",'5 yr'!AH223),"")</f>
        <v/>
      </c>
      <c r="G220" s="156" t="str">
        <f>IFERROR(IF('5 yr'!AI223=0,"",'5 yr'!AI223),"")</f>
        <v/>
      </c>
    </row>
    <row r="221" spans="1:7">
      <c r="A221" s="149" t="str">
        <f>IF('5 yr'!A224=0,"",'5 yr'!A224)</f>
        <v/>
      </c>
      <c r="B221" s="147" t="str">
        <f>IF('5 yr'!B224=0,"",'5 yr'!B224)</f>
        <v/>
      </c>
      <c r="C221" s="148" t="str">
        <f>IF('5 yr'!E224=0,"",'5 yr'!E224)</f>
        <v/>
      </c>
      <c r="D221" s="149" t="str">
        <f>IF('5 yr'!I224=0,"",'5 yr'!I224)</f>
        <v/>
      </c>
      <c r="E221" s="150" t="str">
        <f>IFERROR(IF('5 yr'!AF224=0,"",'5 yr'!AF224),"")</f>
        <v/>
      </c>
      <c r="F221" s="150" t="str">
        <f>IFERROR(IF('5 yr'!AH224=0,"",'5 yr'!AH224),"")</f>
        <v/>
      </c>
      <c r="G221" s="156" t="str">
        <f>IFERROR(IF('5 yr'!AI224=0,"",'5 yr'!AI224),"")</f>
        <v/>
      </c>
    </row>
    <row r="222" spans="1:7">
      <c r="A222" s="149" t="str">
        <f>IF('5 yr'!A225=0,"",'5 yr'!A225)</f>
        <v/>
      </c>
      <c r="B222" s="147" t="str">
        <f>IF('5 yr'!B225=0,"",'5 yr'!B225)</f>
        <v/>
      </c>
      <c r="C222" s="148" t="str">
        <f>IF('5 yr'!E225=0,"",'5 yr'!E225)</f>
        <v/>
      </c>
      <c r="D222" s="149" t="str">
        <f>IF('5 yr'!I225=0,"",'5 yr'!I225)</f>
        <v/>
      </c>
      <c r="E222" s="150" t="str">
        <f>IFERROR(IF('5 yr'!AF225=0,"",'5 yr'!AF225),"")</f>
        <v/>
      </c>
      <c r="F222" s="150" t="str">
        <f>IFERROR(IF('5 yr'!AH225=0,"",'5 yr'!AH225),"")</f>
        <v/>
      </c>
      <c r="G222" s="156" t="str">
        <f>IFERROR(IF('5 yr'!AI225=0,"",'5 yr'!AI225),"")</f>
        <v/>
      </c>
    </row>
    <row r="223" spans="1:7">
      <c r="A223" s="149" t="str">
        <f>IF('5 yr'!A226=0,"",'5 yr'!A226)</f>
        <v/>
      </c>
      <c r="B223" s="147" t="str">
        <f>IF('5 yr'!B226=0,"",'5 yr'!B226)</f>
        <v/>
      </c>
      <c r="C223" s="148" t="str">
        <f>IF('5 yr'!E226=0,"",'5 yr'!E226)</f>
        <v/>
      </c>
      <c r="D223" s="149" t="str">
        <f>IF('5 yr'!I226=0,"",'5 yr'!I226)</f>
        <v/>
      </c>
      <c r="E223" s="150" t="str">
        <f>IFERROR(IF('5 yr'!AF226=0,"",'5 yr'!AF226),"")</f>
        <v/>
      </c>
      <c r="F223" s="150" t="str">
        <f>IFERROR(IF('5 yr'!AH226=0,"",'5 yr'!AH226),"")</f>
        <v/>
      </c>
      <c r="G223" s="156" t="str">
        <f>IFERROR(IF('5 yr'!AI226=0,"",'5 yr'!AI226),"")</f>
        <v/>
      </c>
    </row>
    <row r="224" spans="1:7">
      <c r="A224" s="149" t="str">
        <f>IF('5 yr'!A227=0,"",'5 yr'!A227)</f>
        <v/>
      </c>
      <c r="B224" s="147" t="str">
        <f>IF('5 yr'!B227=0,"",'5 yr'!B227)</f>
        <v/>
      </c>
      <c r="C224" s="148" t="str">
        <f>IF('5 yr'!E227=0,"",'5 yr'!E227)</f>
        <v/>
      </c>
      <c r="D224" s="149" t="str">
        <f>IF('5 yr'!I227=0,"",'5 yr'!I227)</f>
        <v/>
      </c>
      <c r="E224" s="150" t="str">
        <f>IFERROR(IF('5 yr'!AF227=0,"",'5 yr'!AF227),"")</f>
        <v/>
      </c>
      <c r="F224" s="150" t="str">
        <f>IFERROR(IF('5 yr'!AH227=0,"",'5 yr'!AH227),"")</f>
        <v/>
      </c>
      <c r="G224" s="156" t="str">
        <f>IFERROR(IF('5 yr'!AI227=0,"",'5 yr'!AI227),"")</f>
        <v/>
      </c>
    </row>
    <row r="225" spans="1:7">
      <c r="A225" s="149" t="str">
        <f>IF('5 yr'!A228=0,"",'5 yr'!A228)</f>
        <v/>
      </c>
      <c r="B225" s="147" t="str">
        <f>IF('5 yr'!B228=0,"",'5 yr'!B228)</f>
        <v/>
      </c>
      <c r="C225" s="148" t="str">
        <f>IF('5 yr'!E228=0,"",'5 yr'!E228)</f>
        <v/>
      </c>
      <c r="D225" s="149" t="str">
        <f>IF('5 yr'!I228=0,"",'5 yr'!I228)</f>
        <v/>
      </c>
      <c r="E225" s="150" t="str">
        <f>IFERROR(IF('5 yr'!AF228=0,"",'5 yr'!AF228),"")</f>
        <v/>
      </c>
      <c r="F225" s="150" t="str">
        <f>IFERROR(IF('5 yr'!AH228=0,"",'5 yr'!AH228),"")</f>
        <v/>
      </c>
      <c r="G225" s="156" t="str">
        <f>IFERROR(IF('5 yr'!AI228=0,"",'5 yr'!AI228),"")</f>
        <v/>
      </c>
    </row>
    <row r="226" spans="1:7">
      <c r="A226" s="149" t="str">
        <f>IF('5 yr'!A229=0,"",'5 yr'!A229)</f>
        <v/>
      </c>
      <c r="B226" s="147" t="str">
        <f>IF('5 yr'!B229=0,"",'5 yr'!B229)</f>
        <v/>
      </c>
      <c r="C226" s="148" t="str">
        <f>IF('5 yr'!E229=0,"",'5 yr'!E229)</f>
        <v/>
      </c>
      <c r="D226" s="149" t="str">
        <f>IF('5 yr'!I229=0,"",'5 yr'!I229)</f>
        <v/>
      </c>
      <c r="E226" s="150" t="str">
        <f>IFERROR(IF('5 yr'!AF229=0,"",'5 yr'!AF229),"")</f>
        <v/>
      </c>
      <c r="F226" s="150" t="str">
        <f>IFERROR(IF('5 yr'!AH229=0,"",'5 yr'!AH229),"")</f>
        <v/>
      </c>
      <c r="G226" s="156" t="str">
        <f>IFERROR(IF('5 yr'!AI229=0,"",'5 yr'!AI229),"")</f>
        <v/>
      </c>
    </row>
    <row r="227" spans="1:7">
      <c r="A227" s="149" t="str">
        <f>IF('5 yr'!A230=0,"",'5 yr'!A230)</f>
        <v/>
      </c>
      <c r="B227" s="147" t="str">
        <f>IF('5 yr'!B230=0,"",'5 yr'!B230)</f>
        <v/>
      </c>
      <c r="C227" s="148" t="str">
        <f>IF('5 yr'!E230=0,"",'5 yr'!E230)</f>
        <v/>
      </c>
      <c r="D227" s="149" t="str">
        <f>IF('5 yr'!I230=0,"",'5 yr'!I230)</f>
        <v/>
      </c>
      <c r="E227" s="150" t="str">
        <f>IFERROR(IF('5 yr'!AF230=0,"",'5 yr'!AF230),"")</f>
        <v/>
      </c>
      <c r="F227" s="150" t="str">
        <f>IFERROR(IF('5 yr'!AH230=0,"",'5 yr'!AH230),"")</f>
        <v/>
      </c>
      <c r="G227" s="156" t="str">
        <f>IFERROR(IF('5 yr'!AI230=0,"",'5 yr'!AI230),"")</f>
        <v/>
      </c>
    </row>
    <row r="228" spans="1:7">
      <c r="A228" s="149" t="str">
        <f>IF('5 yr'!A231=0,"",'5 yr'!A231)</f>
        <v/>
      </c>
      <c r="B228" s="147" t="str">
        <f>IF('5 yr'!B231=0,"",'5 yr'!B231)</f>
        <v/>
      </c>
      <c r="C228" s="148" t="str">
        <f>IF('5 yr'!E231=0,"",'5 yr'!E231)</f>
        <v/>
      </c>
      <c r="D228" s="149" t="str">
        <f>IF('5 yr'!I231=0,"",'5 yr'!I231)</f>
        <v/>
      </c>
      <c r="E228" s="150" t="str">
        <f>IFERROR(IF('5 yr'!AF231=0,"",'5 yr'!AF231),"")</f>
        <v/>
      </c>
      <c r="F228" s="150" t="str">
        <f>IFERROR(IF('5 yr'!AH231=0,"",'5 yr'!AH231),"")</f>
        <v/>
      </c>
      <c r="G228" s="156" t="str">
        <f>IFERROR(IF('5 yr'!AI231=0,"",'5 yr'!AI231),"")</f>
        <v/>
      </c>
    </row>
    <row r="229" spans="1:7">
      <c r="A229" s="149" t="str">
        <f>IF('5 yr'!A232=0,"",'5 yr'!A232)</f>
        <v/>
      </c>
      <c r="B229" s="147" t="str">
        <f>IF('5 yr'!B232=0,"",'5 yr'!B232)</f>
        <v/>
      </c>
      <c r="C229" s="148" t="str">
        <f>IF('5 yr'!E232=0,"",'5 yr'!E232)</f>
        <v/>
      </c>
      <c r="D229" s="149" t="str">
        <f>IF('5 yr'!I232=0,"",'5 yr'!I232)</f>
        <v/>
      </c>
      <c r="E229" s="150" t="str">
        <f>IFERROR(IF('5 yr'!AF232=0,"",'5 yr'!AF232),"")</f>
        <v/>
      </c>
      <c r="F229" s="150" t="str">
        <f>IFERROR(IF('5 yr'!AH232=0,"",'5 yr'!AH232),"")</f>
        <v/>
      </c>
      <c r="G229" s="156" t="str">
        <f>IFERROR(IF('5 yr'!AI232=0,"",'5 yr'!AI232),"")</f>
        <v/>
      </c>
    </row>
    <row r="230" spans="1:7">
      <c r="A230" s="149" t="str">
        <f>IF('5 yr'!A233=0,"",'5 yr'!A233)</f>
        <v/>
      </c>
      <c r="B230" s="147" t="str">
        <f>IF('5 yr'!B233=0,"",'5 yr'!B233)</f>
        <v/>
      </c>
      <c r="C230" s="148" t="str">
        <f>IF('5 yr'!E233=0,"",'5 yr'!E233)</f>
        <v/>
      </c>
      <c r="D230" s="149" t="str">
        <f>IF('5 yr'!I233=0,"",'5 yr'!I233)</f>
        <v/>
      </c>
      <c r="E230" s="150" t="str">
        <f>IFERROR(IF('5 yr'!AF233=0,"",'5 yr'!AF233),"")</f>
        <v/>
      </c>
      <c r="F230" s="150" t="str">
        <f>IFERROR(IF('5 yr'!AH233=0,"",'5 yr'!AH233),"")</f>
        <v/>
      </c>
      <c r="G230" s="156" t="str">
        <f>IFERROR(IF('5 yr'!AI233=0,"",'5 yr'!AI233),"")</f>
        <v/>
      </c>
    </row>
    <row r="231" spans="1:7">
      <c r="A231" s="149" t="str">
        <f>IF('5 yr'!A234=0,"",'5 yr'!A234)</f>
        <v/>
      </c>
      <c r="B231" s="147" t="str">
        <f>IF('5 yr'!B234=0,"",'5 yr'!B234)</f>
        <v/>
      </c>
      <c r="C231" s="148" t="str">
        <f>IF('5 yr'!E234=0,"",'5 yr'!E234)</f>
        <v/>
      </c>
      <c r="D231" s="149" t="str">
        <f>IF('5 yr'!I234=0,"",'5 yr'!I234)</f>
        <v/>
      </c>
      <c r="E231" s="150" t="str">
        <f>IFERROR(IF('5 yr'!AF234=0,"",'5 yr'!AF234),"")</f>
        <v/>
      </c>
      <c r="F231" s="150" t="str">
        <f>IFERROR(IF('5 yr'!AH234=0,"",'5 yr'!AH234),"")</f>
        <v/>
      </c>
      <c r="G231" s="156" t="str">
        <f>IFERROR(IF('5 yr'!AI234=0,"",'5 yr'!AI234),"")</f>
        <v/>
      </c>
    </row>
    <row r="232" spans="1:7">
      <c r="A232" s="149" t="str">
        <f>IF('5 yr'!A235=0,"",'5 yr'!A235)</f>
        <v/>
      </c>
      <c r="B232" s="147" t="str">
        <f>IF('5 yr'!B235=0,"",'5 yr'!B235)</f>
        <v/>
      </c>
      <c r="C232" s="148" t="str">
        <f>IF('5 yr'!E235=0,"",'5 yr'!E235)</f>
        <v/>
      </c>
      <c r="D232" s="149" t="str">
        <f>IF('5 yr'!I235=0,"",'5 yr'!I235)</f>
        <v/>
      </c>
      <c r="E232" s="150" t="str">
        <f>IFERROR(IF('5 yr'!AF235=0,"",'5 yr'!AF235),"")</f>
        <v/>
      </c>
      <c r="F232" s="150" t="str">
        <f>IFERROR(IF('5 yr'!AH235=0,"",'5 yr'!AH235),"")</f>
        <v/>
      </c>
      <c r="G232" s="156" t="str">
        <f>IFERROR(IF('5 yr'!AI235=0,"",'5 yr'!AI235),"")</f>
        <v/>
      </c>
    </row>
    <row r="233" spans="1:7">
      <c r="A233" s="149" t="str">
        <f>IF('5 yr'!A236=0,"",'5 yr'!A236)</f>
        <v/>
      </c>
      <c r="B233" s="147" t="str">
        <f>IF('5 yr'!B236=0,"",'5 yr'!B236)</f>
        <v/>
      </c>
      <c r="C233" s="148" t="str">
        <f>IF('5 yr'!E236=0,"",'5 yr'!E236)</f>
        <v/>
      </c>
      <c r="D233" s="149" t="str">
        <f>IF('5 yr'!I236=0,"",'5 yr'!I236)</f>
        <v/>
      </c>
      <c r="E233" s="150" t="str">
        <f>IFERROR(IF('5 yr'!AF236=0,"",'5 yr'!AF236),"")</f>
        <v/>
      </c>
      <c r="F233" s="150" t="str">
        <f>IFERROR(IF('5 yr'!AH236=0,"",'5 yr'!AH236),"")</f>
        <v/>
      </c>
      <c r="G233" s="156" t="str">
        <f>IFERROR(IF('5 yr'!AI236=0,"",'5 yr'!AI236),"")</f>
        <v/>
      </c>
    </row>
    <row r="234" spans="1:7">
      <c r="A234" s="149" t="str">
        <f>IF('5 yr'!A237=0,"",'5 yr'!A237)</f>
        <v/>
      </c>
      <c r="B234" s="147" t="str">
        <f>IF('5 yr'!B237=0,"",'5 yr'!B237)</f>
        <v/>
      </c>
      <c r="C234" s="148" t="str">
        <f>IF('5 yr'!E237=0,"",'5 yr'!E237)</f>
        <v/>
      </c>
      <c r="D234" s="149" t="str">
        <f>IF('5 yr'!I237=0,"",'5 yr'!I237)</f>
        <v/>
      </c>
      <c r="E234" s="150" t="str">
        <f>IFERROR(IF('5 yr'!AF237=0,"",'5 yr'!AF237),"")</f>
        <v/>
      </c>
      <c r="F234" s="150" t="str">
        <f>IFERROR(IF('5 yr'!AH237=0,"",'5 yr'!AH237),"")</f>
        <v/>
      </c>
      <c r="G234" s="156" t="str">
        <f>IFERROR(IF('5 yr'!AI237=0,"",'5 yr'!AI237),"")</f>
        <v/>
      </c>
    </row>
    <row r="235" spans="1:7">
      <c r="A235" s="149" t="str">
        <f>IF('5 yr'!A238=0,"",'5 yr'!A238)</f>
        <v/>
      </c>
      <c r="B235" s="147" t="str">
        <f>IF('5 yr'!B238=0,"",'5 yr'!B238)</f>
        <v/>
      </c>
      <c r="C235" s="148" t="str">
        <f>IF('5 yr'!E238=0,"",'5 yr'!E238)</f>
        <v/>
      </c>
      <c r="D235" s="149" t="str">
        <f>IF('5 yr'!I238=0,"",'5 yr'!I238)</f>
        <v/>
      </c>
      <c r="E235" s="150" t="str">
        <f>IFERROR(IF('5 yr'!AF238=0,"",'5 yr'!AF238),"")</f>
        <v/>
      </c>
      <c r="F235" s="150" t="str">
        <f>IFERROR(IF('5 yr'!AH238=0,"",'5 yr'!AH238),"")</f>
        <v/>
      </c>
      <c r="G235" s="156" t="str">
        <f>IFERROR(IF('5 yr'!AI238=0,"",'5 yr'!AI238),"")</f>
        <v/>
      </c>
    </row>
    <row r="236" spans="1:7">
      <c r="A236" s="149" t="str">
        <f>IF('5 yr'!A239=0,"",'5 yr'!A239)</f>
        <v/>
      </c>
      <c r="B236" s="147" t="str">
        <f>IF('5 yr'!B239=0,"",'5 yr'!B239)</f>
        <v/>
      </c>
      <c r="C236" s="148" t="str">
        <f>IF('5 yr'!E239=0,"",'5 yr'!E239)</f>
        <v/>
      </c>
      <c r="D236" s="149" t="str">
        <f>IF('5 yr'!I239=0,"",'5 yr'!I239)</f>
        <v/>
      </c>
      <c r="E236" s="150" t="str">
        <f>IFERROR(IF('5 yr'!AF239=0,"",'5 yr'!AF239),"")</f>
        <v/>
      </c>
      <c r="F236" s="150" t="str">
        <f>IFERROR(IF('5 yr'!AH239=0,"",'5 yr'!AH239),"")</f>
        <v/>
      </c>
      <c r="G236" s="156" t="str">
        <f>IFERROR(IF('5 yr'!AI239=0,"",'5 yr'!AI239),"")</f>
        <v/>
      </c>
    </row>
    <row r="237" spans="1:7">
      <c r="A237" s="149" t="str">
        <f>IF('5 yr'!A240=0,"",'5 yr'!A240)</f>
        <v/>
      </c>
      <c r="B237" s="147" t="str">
        <f>IF('5 yr'!B240=0,"",'5 yr'!B240)</f>
        <v/>
      </c>
      <c r="C237" s="148" t="str">
        <f>IF('5 yr'!E240=0,"",'5 yr'!E240)</f>
        <v/>
      </c>
      <c r="D237" s="149" t="str">
        <f>IF('5 yr'!I240=0,"",'5 yr'!I240)</f>
        <v/>
      </c>
      <c r="E237" s="150" t="str">
        <f>IFERROR(IF('5 yr'!AF240=0,"",'5 yr'!AF240),"")</f>
        <v/>
      </c>
      <c r="F237" s="150" t="str">
        <f>IFERROR(IF('5 yr'!AH240=0,"",'5 yr'!AH240),"")</f>
        <v/>
      </c>
      <c r="G237" s="156" t="str">
        <f>IFERROR(IF('5 yr'!AI240=0,"",'5 yr'!AI240),"")</f>
        <v/>
      </c>
    </row>
    <row r="238" spans="1:7">
      <c r="A238" s="149" t="str">
        <f>IF('5 yr'!A241=0,"",'5 yr'!A241)</f>
        <v/>
      </c>
      <c r="B238" s="147" t="str">
        <f>IF('5 yr'!B241=0,"",'5 yr'!B241)</f>
        <v/>
      </c>
      <c r="C238" s="148" t="str">
        <f>IF('5 yr'!E241=0,"",'5 yr'!E241)</f>
        <v/>
      </c>
      <c r="D238" s="149" t="str">
        <f>IF('5 yr'!I241=0,"",'5 yr'!I241)</f>
        <v/>
      </c>
      <c r="E238" s="150" t="str">
        <f>IFERROR(IF('5 yr'!AF241=0,"",'5 yr'!AF241),"")</f>
        <v/>
      </c>
      <c r="F238" s="150" t="str">
        <f>IFERROR(IF('5 yr'!AH241=0,"",'5 yr'!AH241),"")</f>
        <v/>
      </c>
      <c r="G238" s="156" t="str">
        <f>IFERROR(IF('5 yr'!AI241=0,"",'5 yr'!AI241),"")</f>
        <v/>
      </c>
    </row>
    <row r="239" spans="1:7">
      <c r="A239" s="149" t="str">
        <f>IF('5 yr'!A242=0,"",'5 yr'!A242)</f>
        <v/>
      </c>
      <c r="B239" s="147" t="str">
        <f>IF('5 yr'!B242=0,"",'5 yr'!B242)</f>
        <v/>
      </c>
      <c r="C239" s="148" t="str">
        <f>IF('5 yr'!E242=0,"",'5 yr'!E242)</f>
        <v/>
      </c>
      <c r="D239" s="149" t="str">
        <f>IF('5 yr'!I242=0,"",'5 yr'!I242)</f>
        <v/>
      </c>
      <c r="E239" s="150" t="str">
        <f>IFERROR(IF('5 yr'!AF242=0,"",'5 yr'!AF242),"")</f>
        <v/>
      </c>
      <c r="F239" s="150" t="str">
        <f>IFERROR(IF('5 yr'!AH242=0,"",'5 yr'!AH242),"")</f>
        <v/>
      </c>
      <c r="G239" s="156" t="str">
        <f>IFERROR(IF('5 yr'!AI242=0,"",'5 yr'!AI242),"")</f>
        <v/>
      </c>
    </row>
    <row r="240" spans="1:7">
      <c r="A240" s="149" t="str">
        <f>IF('5 yr'!A243=0,"",'5 yr'!A243)</f>
        <v/>
      </c>
      <c r="B240" s="147" t="str">
        <f>IF('5 yr'!B243=0,"",'5 yr'!B243)</f>
        <v/>
      </c>
      <c r="C240" s="148" t="str">
        <f>IF('5 yr'!E243=0,"",'5 yr'!E243)</f>
        <v/>
      </c>
      <c r="D240" s="149" t="str">
        <f>IF('5 yr'!I243=0,"",'5 yr'!I243)</f>
        <v/>
      </c>
      <c r="E240" s="150" t="str">
        <f>IFERROR(IF('5 yr'!AF243=0,"",'5 yr'!AF243),"")</f>
        <v/>
      </c>
      <c r="F240" s="150" t="str">
        <f>IFERROR(IF('5 yr'!AH243=0,"",'5 yr'!AH243),"")</f>
        <v/>
      </c>
      <c r="G240" s="156" t="str">
        <f>IFERROR(IF('5 yr'!AI243=0,"",'5 yr'!AI243),"")</f>
        <v/>
      </c>
    </row>
    <row r="241" spans="1:7">
      <c r="A241" s="149" t="str">
        <f>IF('5 yr'!A244=0,"",'5 yr'!A244)</f>
        <v/>
      </c>
      <c r="B241" s="147" t="str">
        <f>IF('5 yr'!B244=0,"",'5 yr'!B244)</f>
        <v/>
      </c>
      <c r="C241" s="148" t="str">
        <f>IF('5 yr'!E244=0,"",'5 yr'!E244)</f>
        <v/>
      </c>
      <c r="D241" s="149" t="str">
        <f>IF('5 yr'!I244=0,"",'5 yr'!I244)</f>
        <v/>
      </c>
      <c r="E241" s="150" t="str">
        <f>IFERROR(IF('5 yr'!AF244=0,"",'5 yr'!AF244),"")</f>
        <v/>
      </c>
      <c r="F241" s="150" t="str">
        <f>IFERROR(IF('5 yr'!AH244=0,"",'5 yr'!AH244),"")</f>
        <v/>
      </c>
      <c r="G241" s="156" t="str">
        <f>IFERROR(IF('5 yr'!AI244=0,"",'5 yr'!AI244),"")</f>
        <v/>
      </c>
    </row>
    <row r="242" spans="1:7">
      <c r="A242" s="149" t="str">
        <f>IF('5 yr'!A245=0,"",'5 yr'!A245)</f>
        <v/>
      </c>
      <c r="B242" s="147" t="str">
        <f>IF('5 yr'!B245=0,"",'5 yr'!B245)</f>
        <v/>
      </c>
      <c r="C242" s="148" t="str">
        <f>IF('5 yr'!E245=0,"",'5 yr'!E245)</f>
        <v/>
      </c>
      <c r="D242" s="149" t="str">
        <f>IF('5 yr'!I245=0,"",'5 yr'!I245)</f>
        <v/>
      </c>
      <c r="E242" s="150" t="str">
        <f>IFERROR(IF('5 yr'!AF245=0,"",'5 yr'!AF245),"")</f>
        <v/>
      </c>
      <c r="F242" s="150" t="str">
        <f>IFERROR(IF('5 yr'!AH245=0,"",'5 yr'!AH245),"")</f>
        <v/>
      </c>
      <c r="G242" s="156" t="str">
        <f>IFERROR(IF('5 yr'!AI245=0,"",'5 yr'!AI245),"")</f>
        <v/>
      </c>
    </row>
    <row r="243" spans="1:7">
      <c r="A243" s="149" t="str">
        <f>IF('5 yr'!A246=0,"",'5 yr'!A246)</f>
        <v/>
      </c>
      <c r="B243" s="147" t="str">
        <f>IF('5 yr'!B246=0,"",'5 yr'!B246)</f>
        <v/>
      </c>
      <c r="C243" s="148" t="str">
        <f>IF('5 yr'!E246=0,"",'5 yr'!E246)</f>
        <v/>
      </c>
      <c r="D243" s="149" t="str">
        <f>IF('5 yr'!I246=0,"",'5 yr'!I246)</f>
        <v/>
      </c>
      <c r="E243" s="150" t="str">
        <f>IFERROR(IF('5 yr'!AF246=0,"",'5 yr'!AF246),"")</f>
        <v/>
      </c>
      <c r="F243" s="150" t="str">
        <f>IFERROR(IF('5 yr'!AH246=0,"",'5 yr'!AH246),"")</f>
        <v/>
      </c>
      <c r="G243" s="156" t="str">
        <f>IFERROR(IF('5 yr'!AI246=0,"",'5 yr'!AI246),"")</f>
        <v/>
      </c>
    </row>
    <row r="244" spans="1:7">
      <c r="A244" s="149" t="str">
        <f>IF('5 yr'!A247=0,"",'5 yr'!A247)</f>
        <v/>
      </c>
      <c r="B244" s="147" t="str">
        <f>IF('5 yr'!B247=0,"",'5 yr'!B247)</f>
        <v/>
      </c>
      <c r="C244" s="148" t="str">
        <f>IF('5 yr'!E247=0,"",'5 yr'!E247)</f>
        <v/>
      </c>
      <c r="D244" s="149" t="str">
        <f>IF('5 yr'!I247=0,"",'5 yr'!I247)</f>
        <v/>
      </c>
      <c r="E244" s="150" t="str">
        <f>IFERROR(IF('5 yr'!AF247=0,"",'5 yr'!AF247),"")</f>
        <v/>
      </c>
      <c r="F244" s="150" t="str">
        <f>IFERROR(IF('5 yr'!AH247=0,"",'5 yr'!AH247),"")</f>
        <v/>
      </c>
      <c r="G244" s="156" t="str">
        <f>IFERROR(IF('5 yr'!AI247=0,"",'5 yr'!AI247),"")</f>
        <v/>
      </c>
    </row>
    <row r="245" spans="1:7">
      <c r="A245" s="149" t="str">
        <f>IF('5 yr'!A248=0,"",'5 yr'!A248)</f>
        <v/>
      </c>
      <c r="B245" s="147" t="str">
        <f>IF('5 yr'!B248=0,"",'5 yr'!B248)</f>
        <v/>
      </c>
      <c r="C245" s="148" t="str">
        <f>IF('5 yr'!E248=0,"",'5 yr'!E248)</f>
        <v/>
      </c>
      <c r="D245" s="149" t="str">
        <f>IF('5 yr'!I248=0,"",'5 yr'!I248)</f>
        <v/>
      </c>
      <c r="E245" s="150" t="str">
        <f>IFERROR(IF('5 yr'!AF248=0,"",'5 yr'!AF248),"")</f>
        <v/>
      </c>
      <c r="F245" s="150" t="str">
        <f>IFERROR(IF('5 yr'!AH248=0,"",'5 yr'!AH248),"")</f>
        <v/>
      </c>
      <c r="G245" s="156" t="str">
        <f>IFERROR(IF('5 yr'!AI248=0,"",'5 yr'!AI248),"")</f>
        <v/>
      </c>
    </row>
    <row r="246" spans="1:7">
      <c r="A246" s="149" t="str">
        <f>IF('5 yr'!A249=0,"",'5 yr'!A249)</f>
        <v/>
      </c>
      <c r="B246" s="147" t="str">
        <f>IF('5 yr'!B249=0,"",'5 yr'!B249)</f>
        <v/>
      </c>
      <c r="C246" s="148" t="str">
        <f>IF('5 yr'!E249=0,"",'5 yr'!E249)</f>
        <v/>
      </c>
      <c r="D246" s="149" t="str">
        <f>IF('5 yr'!I249=0,"",'5 yr'!I249)</f>
        <v/>
      </c>
      <c r="E246" s="150" t="str">
        <f>IFERROR(IF('5 yr'!AF249=0,"",'5 yr'!AF249),"")</f>
        <v/>
      </c>
      <c r="F246" s="150" t="str">
        <f>IFERROR(IF('5 yr'!AH249=0,"",'5 yr'!AH249),"")</f>
        <v/>
      </c>
      <c r="G246" s="156" t="str">
        <f>IFERROR(IF('5 yr'!AI249=0,"",'5 yr'!AI249),"")</f>
        <v/>
      </c>
    </row>
    <row r="247" spans="1:7">
      <c r="A247" s="149" t="str">
        <f>IF('5 yr'!A250=0,"",'5 yr'!A250)</f>
        <v/>
      </c>
      <c r="B247" s="147" t="str">
        <f>IF('5 yr'!B250=0,"",'5 yr'!B250)</f>
        <v/>
      </c>
      <c r="C247" s="148" t="str">
        <f>IF('5 yr'!E250=0,"",'5 yr'!E250)</f>
        <v/>
      </c>
      <c r="D247" s="149" t="str">
        <f>IF('5 yr'!I250=0,"",'5 yr'!I250)</f>
        <v/>
      </c>
      <c r="E247" s="150" t="str">
        <f>IFERROR(IF('5 yr'!AF250=0,"",'5 yr'!AF250),"")</f>
        <v/>
      </c>
      <c r="F247" s="150" t="str">
        <f>IFERROR(IF('5 yr'!AH250=0,"",'5 yr'!AH250),"")</f>
        <v/>
      </c>
      <c r="G247" s="156" t="str">
        <f>IFERROR(IF('5 yr'!AI250=0,"",'5 yr'!AI250),"")</f>
        <v/>
      </c>
    </row>
    <row r="248" spans="1:7">
      <c r="A248" s="149" t="str">
        <f>IF('5 yr'!A251=0,"",'5 yr'!A251)</f>
        <v/>
      </c>
      <c r="B248" s="147" t="str">
        <f>IF('5 yr'!B251=0,"",'5 yr'!B251)</f>
        <v/>
      </c>
      <c r="C248" s="148" t="str">
        <f>IF('5 yr'!E251=0,"",'5 yr'!E251)</f>
        <v/>
      </c>
      <c r="D248" s="149" t="str">
        <f>IF('5 yr'!I251=0,"",'5 yr'!I251)</f>
        <v/>
      </c>
      <c r="E248" s="150" t="str">
        <f>IFERROR(IF('5 yr'!AF251=0,"",'5 yr'!AF251),"")</f>
        <v/>
      </c>
      <c r="F248" s="150" t="str">
        <f>IFERROR(IF('5 yr'!AH251=0,"",'5 yr'!AH251),"")</f>
        <v/>
      </c>
      <c r="G248" s="156" t="str">
        <f>IFERROR(IF('5 yr'!AI251=0,"",'5 yr'!AI251),"")</f>
        <v/>
      </c>
    </row>
    <row r="249" spans="1:7">
      <c r="A249" s="149" t="str">
        <f>IF('5 yr'!A252=0,"",'5 yr'!A252)</f>
        <v/>
      </c>
      <c r="B249" s="147" t="str">
        <f>IF('5 yr'!B252=0,"",'5 yr'!B252)</f>
        <v/>
      </c>
      <c r="C249" s="148" t="str">
        <f>IF('5 yr'!E252=0,"",'5 yr'!E252)</f>
        <v/>
      </c>
      <c r="D249" s="149" t="str">
        <f>IF('5 yr'!I252=0,"",'5 yr'!I252)</f>
        <v/>
      </c>
      <c r="E249" s="150" t="str">
        <f>IFERROR(IF('5 yr'!AF252=0,"",'5 yr'!AF252),"")</f>
        <v/>
      </c>
      <c r="F249" s="150" t="str">
        <f>IFERROR(IF('5 yr'!AH252=0,"",'5 yr'!AH252),"")</f>
        <v/>
      </c>
      <c r="G249" s="156" t="str">
        <f>IFERROR(IF('5 yr'!AI252=0,"",'5 yr'!AI252),"")</f>
        <v/>
      </c>
    </row>
    <row r="250" spans="1:7">
      <c r="A250" s="149" t="str">
        <f>IF('5 yr'!A253=0,"",'5 yr'!A253)</f>
        <v/>
      </c>
      <c r="B250" s="147" t="str">
        <f>IF('5 yr'!B253=0,"",'5 yr'!B253)</f>
        <v/>
      </c>
      <c r="C250" s="148" t="str">
        <f>IF('5 yr'!E253=0,"",'5 yr'!E253)</f>
        <v/>
      </c>
      <c r="D250" s="149" t="str">
        <f>IF('5 yr'!I253=0,"",'5 yr'!I253)</f>
        <v/>
      </c>
      <c r="E250" s="150" t="str">
        <f>IFERROR(IF('5 yr'!AF253=0,"",'5 yr'!AF253),"")</f>
        <v/>
      </c>
      <c r="F250" s="150" t="str">
        <f>IFERROR(IF('5 yr'!AH253=0,"",'5 yr'!AH253),"")</f>
        <v/>
      </c>
      <c r="G250" s="156" t="str">
        <f>IFERROR(IF('5 yr'!AI253=0,"",'5 yr'!AI253),"")</f>
        <v/>
      </c>
    </row>
    <row r="251" spans="1:7">
      <c r="A251" s="149" t="str">
        <f>IF('5 yr'!A254=0,"",'5 yr'!A254)</f>
        <v/>
      </c>
      <c r="B251" s="147" t="str">
        <f>IF('5 yr'!B254=0,"",'5 yr'!B254)</f>
        <v/>
      </c>
      <c r="C251" s="148" t="str">
        <f>IF('5 yr'!E254=0,"",'5 yr'!E254)</f>
        <v/>
      </c>
      <c r="D251" s="149" t="str">
        <f>IF('5 yr'!I254=0,"",'5 yr'!I254)</f>
        <v/>
      </c>
      <c r="E251" s="150" t="str">
        <f>IFERROR(IF('5 yr'!AF254=0,"",'5 yr'!AF254),"")</f>
        <v/>
      </c>
      <c r="F251" s="150" t="str">
        <f>IFERROR(IF('5 yr'!AH254=0,"",'5 yr'!AH254),"")</f>
        <v/>
      </c>
      <c r="G251" s="156" t="str">
        <f>IFERROR(IF('5 yr'!AI254=0,"",'5 yr'!AI254),"")</f>
        <v/>
      </c>
    </row>
    <row r="252" spans="1:7">
      <c r="A252" s="149" t="str">
        <f>IF('5 yr'!A255=0,"",'5 yr'!A255)</f>
        <v/>
      </c>
      <c r="B252" s="147" t="str">
        <f>IF('5 yr'!B255=0,"",'5 yr'!B255)</f>
        <v/>
      </c>
      <c r="C252" s="148" t="str">
        <f>IF('5 yr'!E255=0,"",'5 yr'!E255)</f>
        <v/>
      </c>
      <c r="D252" s="149" t="str">
        <f>IF('5 yr'!I255=0,"",'5 yr'!I255)</f>
        <v/>
      </c>
      <c r="E252" s="150" t="str">
        <f>IFERROR(IF('5 yr'!AF255=0,"",'5 yr'!AF255),"")</f>
        <v/>
      </c>
      <c r="F252" s="150" t="str">
        <f>IFERROR(IF('5 yr'!AH255=0,"",'5 yr'!AH255),"")</f>
        <v/>
      </c>
      <c r="G252" s="156" t="str">
        <f>IFERROR(IF('5 yr'!AI255=0,"",'5 yr'!AI255),"")</f>
        <v/>
      </c>
    </row>
    <row r="253" spans="1:7">
      <c r="A253" s="149" t="str">
        <f>IF('5 yr'!A256=0,"",'5 yr'!A256)</f>
        <v/>
      </c>
      <c r="B253" s="147" t="str">
        <f>IF('5 yr'!B256=0,"",'5 yr'!B256)</f>
        <v/>
      </c>
      <c r="C253" s="148" t="str">
        <f>IF('5 yr'!E256=0,"",'5 yr'!E256)</f>
        <v/>
      </c>
      <c r="D253" s="149" t="str">
        <f>IF('5 yr'!I256=0,"",'5 yr'!I256)</f>
        <v/>
      </c>
      <c r="E253" s="150" t="str">
        <f>IFERROR(IF('5 yr'!AF256=0,"",'5 yr'!AF256),"")</f>
        <v/>
      </c>
      <c r="F253" s="150" t="str">
        <f>IFERROR(IF('5 yr'!AH256=0,"",'5 yr'!AH256),"")</f>
        <v/>
      </c>
      <c r="G253" s="156" t="str">
        <f>IFERROR(IF('5 yr'!AI256=0,"",'5 yr'!AI256),"")</f>
        <v/>
      </c>
    </row>
    <row r="254" spans="1:7">
      <c r="A254" s="149" t="str">
        <f>IF('5 yr'!A257=0,"",'5 yr'!A257)</f>
        <v/>
      </c>
      <c r="B254" s="147" t="str">
        <f>IF('5 yr'!B257=0,"",'5 yr'!B257)</f>
        <v/>
      </c>
      <c r="C254" s="148" t="str">
        <f>IF('5 yr'!E257=0,"",'5 yr'!E257)</f>
        <v/>
      </c>
      <c r="D254" s="149" t="str">
        <f>IF('5 yr'!I257=0,"",'5 yr'!I257)</f>
        <v/>
      </c>
      <c r="E254" s="150" t="str">
        <f>IFERROR(IF('5 yr'!AF257=0,"",'5 yr'!AF257),"")</f>
        <v/>
      </c>
      <c r="F254" s="150" t="str">
        <f>IFERROR(IF('5 yr'!AH257=0,"",'5 yr'!AH257),"")</f>
        <v/>
      </c>
      <c r="G254" s="156" t="str">
        <f>IFERROR(IF('5 yr'!AI257=0,"",'5 yr'!AI257),"")</f>
        <v/>
      </c>
    </row>
    <row r="255" spans="1:7">
      <c r="A255" s="149" t="str">
        <f>IF('5 yr'!A258=0,"",'5 yr'!A258)</f>
        <v/>
      </c>
      <c r="B255" s="147" t="str">
        <f>IF('5 yr'!B258=0,"",'5 yr'!B258)</f>
        <v/>
      </c>
      <c r="C255" s="148" t="str">
        <f>IF('5 yr'!E258=0,"",'5 yr'!E258)</f>
        <v/>
      </c>
      <c r="D255" s="149" t="str">
        <f>IF('5 yr'!I258=0,"",'5 yr'!I258)</f>
        <v/>
      </c>
      <c r="E255" s="150" t="str">
        <f>IFERROR(IF('5 yr'!AF258=0,"",'5 yr'!AF258),"")</f>
        <v/>
      </c>
      <c r="F255" s="150" t="str">
        <f>IFERROR(IF('5 yr'!AH258=0,"",'5 yr'!AH258),"")</f>
        <v/>
      </c>
      <c r="G255" s="156" t="str">
        <f>IFERROR(IF('5 yr'!AI258=0,"",'5 yr'!AI258),"")</f>
        <v/>
      </c>
    </row>
    <row r="256" spans="1:7">
      <c r="A256" s="149" t="str">
        <f>IF('5 yr'!A259=0,"",'5 yr'!A259)</f>
        <v/>
      </c>
      <c r="B256" s="147" t="str">
        <f>IF('5 yr'!B259=0,"",'5 yr'!B259)</f>
        <v/>
      </c>
      <c r="C256" s="148" t="str">
        <f>IF('5 yr'!E259=0,"",'5 yr'!E259)</f>
        <v/>
      </c>
      <c r="D256" s="149" t="str">
        <f>IF('5 yr'!I259=0,"",'5 yr'!I259)</f>
        <v/>
      </c>
      <c r="E256" s="150" t="str">
        <f>IFERROR(IF('5 yr'!AF259=0,"",'5 yr'!AF259),"")</f>
        <v/>
      </c>
      <c r="F256" s="150" t="str">
        <f>IFERROR(IF('5 yr'!AH259=0,"",'5 yr'!AH259),"")</f>
        <v/>
      </c>
      <c r="G256" s="156" t="str">
        <f>IFERROR(IF('5 yr'!AI259=0,"",'5 yr'!AI259),"")</f>
        <v/>
      </c>
    </row>
    <row r="257" spans="1:7">
      <c r="A257" s="149" t="str">
        <f>IF('5 yr'!A260=0,"",'5 yr'!A260)</f>
        <v/>
      </c>
      <c r="B257" s="147" t="str">
        <f>IF('5 yr'!B260=0,"",'5 yr'!B260)</f>
        <v/>
      </c>
      <c r="C257" s="148" t="str">
        <f>IF('5 yr'!E260=0,"",'5 yr'!E260)</f>
        <v/>
      </c>
      <c r="D257" s="149" t="str">
        <f>IF('5 yr'!I260=0,"",'5 yr'!I260)</f>
        <v/>
      </c>
      <c r="E257" s="150" t="str">
        <f>IFERROR(IF('5 yr'!AF260=0,"",'5 yr'!AF260),"")</f>
        <v/>
      </c>
      <c r="F257" s="150" t="str">
        <f>IFERROR(IF('5 yr'!AH260=0,"",'5 yr'!AH260),"")</f>
        <v/>
      </c>
      <c r="G257" s="156" t="str">
        <f>IFERROR(IF('5 yr'!AI260=0,"",'5 yr'!AI260),"")</f>
        <v/>
      </c>
    </row>
    <row r="258" spans="1:7">
      <c r="A258" s="149" t="str">
        <f>IF('5 yr'!A261=0,"",'5 yr'!A261)</f>
        <v/>
      </c>
      <c r="B258" s="147" t="str">
        <f>IF('5 yr'!B261=0,"",'5 yr'!B261)</f>
        <v/>
      </c>
      <c r="C258" s="148" t="str">
        <f>IF('5 yr'!E261=0,"",'5 yr'!E261)</f>
        <v/>
      </c>
      <c r="D258" s="149" t="str">
        <f>IF('5 yr'!I261=0,"",'5 yr'!I261)</f>
        <v/>
      </c>
      <c r="E258" s="150" t="str">
        <f>IFERROR(IF('5 yr'!AF261=0,"",'5 yr'!AF261),"")</f>
        <v/>
      </c>
      <c r="F258" s="150" t="str">
        <f>IFERROR(IF('5 yr'!AH261=0,"",'5 yr'!AH261),"")</f>
        <v/>
      </c>
      <c r="G258" s="156" t="str">
        <f>IFERROR(IF('5 yr'!AI261=0,"",'5 yr'!AI261),"")</f>
        <v/>
      </c>
    </row>
    <row r="259" spans="1:7">
      <c r="A259" s="149" t="str">
        <f>IF('5 yr'!A262=0,"",'5 yr'!A262)</f>
        <v/>
      </c>
      <c r="B259" s="147" t="str">
        <f>IF('5 yr'!B262=0,"",'5 yr'!B262)</f>
        <v/>
      </c>
      <c r="C259" s="148" t="str">
        <f>IF('5 yr'!E262=0,"",'5 yr'!E262)</f>
        <v/>
      </c>
      <c r="D259" s="149" t="str">
        <f>IF('5 yr'!I262=0,"",'5 yr'!I262)</f>
        <v/>
      </c>
      <c r="E259" s="150" t="str">
        <f>IFERROR(IF('5 yr'!AF262=0,"",'5 yr'!AF262),"")</f>
        <v/>
      </c>
      <c r="F259" s="150" t="str">
        <f>IFERROR(IF('5 yr'!AH262=0,"",'5 yr'!AH262),"")</f>
        <v/>
      </c>
      <c r="G259" s="156" t="str">
        <f>IFERROR(IF('5 yr'!AI262=0,"",'5 yr'!AI262),"")</f>
        <v/>
      </c>
    </row>
    <row r="260" spans="1:7">
      <c r="A260" s="149" t="str">
        <f>IF('5 yr'!A263=0,"",'5 yr'!A263)</f>
        <v/>
      </c>
      <c r="B260" s="147" t="str">
        <f>IF('5 yr'!B263=0,"",'5 yr'!B263)</f>
        <v/>
      </c>
      <c r="C260" s="148" t="str">
        <f>IF('5 yr'!E263=0,"",'5 yr'!E263)</f>
        <v/>
      </c>
      <c r="D260" s="149" t="str">
        <f>IF('5 yr'!I263=0,"",'5 yr'!I263)</f>
        <v/>
      </c>
      <c r="E260" s="150" t="str">
        <f>IFERROR(IF('5 yr'!AF263=0,"",'5 yr'!AF263),"")</f>
        <v/>
      </c>
      <c r="F260" s="150" t="str">
        <f>IFERROR(IF('5 yr'!AH263=0,"",'5 yr'!AH263),"")</f>
        <v/>
      </c>
      <c r="G260" s="156" t="str">
        <f>IFERROR(IF('5 yr'!AI263=0,"",'5 yr'!AI263),"")</f>
        <v/>
      </c>
    </row>
    <row r="261" spans="1:7">
      <c r="A261" s="149" t="str">
        <f>IF('5 yr'!A264=0,"",'5 yr'!A264)</f>
        <v/>
      </c>
      <c r="B261" s="147" t="str">
        <f>IF('5 yr'!B264=0,"",'5 yr'!B264)</f>
        <v/>
      </c>
      <c r="C261" s="148" t="str">
        <f>IF('5 yr'!E264=0,"",'5 yr'!E264)</f>
        <v/>
      </c>
      <c r="D261" s="149" t="str">
        <f>IF('5 yr'!I264=0,"",'5 yr'!I264)</f>
        <v/>
      </c>
      <c r="E261" s="150" t="str">
        <f>IFERROR(IF('5 yr'!AF264=0,"",'5 yr'!AF264),"")</f>
        <v/>
      </c>
      <c r="F261" s="150" t="str">
        <f>IFERROR(IF('5 yr'!AH264=0,"",'5 yr'!AH264),"")</f>
        <v/>
      </c>
      <c r="G261" s="156" t="str">
        <f>IFERROR(IF('5 yr'!AI264=0,"",'5 yr'!AI264),"")</f>
        <v/>
      </c>
    </row>
    <row r="262" spans="1:7">
      <c r="A262" s="149" t="str">
        <f>IF('5 yr'!A265=0,"",'5 yr'!A265)</f>
        <v/>
      </c>
      <c r="B262" s="147" t="str">
        <f>IF('5 yr'!B265=0,"",'5 yr'!B265)</f>
        <v/>
      </c>
      <c r="C262" s="148" t="str">
        <f>IF('5 yr'!E265=0,"",'5 yr'!E265)</f>
        <v/>
      </c>
      <c r="D262" s="149" t="str">
        <f>IF('5 yr'!I265=0,"",'5 yr'!I265)</f>
        <v/>
      </c>
      <c r="E262" s="150" t="str">
        <f>IFERROR(IF('5 yr'!AF265=0,"",'5 yr'!AF265),"")</f>
        <v/>
      </c>
      <c r="F262" s="150" t="str">
        <f>IFERROR(IF('5 yr'!AH265=0,"",'5 yr'!AH265),"")</f>
        <v/>
      </c>
      <c r="G262" s="156" t="str">
        <f>IFERROR(IF('5 yr'!AI265=0,"",'5 yr'!AI265),"")</f>
        <v/>
      </c>
    </row>
    <row r="263" spans="1:7">
      <c r="A263" s="149" t="str">
        <f>IF('5 yr'!A266=0,"",'5 yr'!A266)</f>
        <v/>
      </c>
      <c r="B263" s="147" t="str">
        <f>IF('5 yr'!B266=0,"",'5 yr'!B266)</f>
        <v/>
      </c>
      <c r="C263" s="148" t="str">
        <f>IF('5 yr'!E266=0,"",'5 yr'!E266)</f>
        <v/>
      </c>
      <c r="D263" s="149" t="str">
        <f>IF('5 yr'!I266=0,"",'5 yr'!I266)</f>
        <v/>
      </c>
      <c r="E263" s="150" t="str">
        <f>IFERROR(IF('5 yr'!AF266=0,"",'5 yr'!AF266),"")</f>
        <v/>
      </c>
      <c r="F263" s="150" t="str">
        <f>IFERROR(IF('5 yr'!AH266=0,"",'5 yr'!AH266),"")</f>
        <v/>
      </c>
      <c r="G263" s="156" t="str">
        <f>IFERROR(IF('5 yr'!AI266=0,"",'5 yr'!AI266),"")</f>
        <v/>
      </c>
    </row>
    <row r="264" spans="1:7">
      <c r="A264" s="149" t="str">
        <f>IF('5 yr'!A267=0,"",'5 yr'!A267)</f>
        <v/>
      </c>
      <c r="B264" s="147" t="str">
        <f>IF('5 yr'!B267=0,"",'5 yr'!B267)</f>
        <v/>
      </c>
      <c r="C264" s="148" t="str">
        <f>IF('5 yr'!E267=0,"",'5 yr'!E267)</f>
        <v/>
      </c>
      <c r="D264" s="149" t="str">
        <f>IF('5 yr'!I267=0,"",'5 yr'!I267)</f>
        <v/>
      </c>
      <c r="E264" s="150" t="str">
        <f>IFERROR(IF('5 yr'!AF267=0,"",'5 yr'!AF267),"")</f>
        <v/>
      </c>
      <c r="F264" s="150" t="str">
        <f>IFERROR(IF('5 yr'!AH267=0,"",'5 yr'!AH267),"")</f>
        <v/>
      </c>
      <c r="G264" s="156" t="str">
        <f>IFERROR(IF('5 yr'!AI267=0,"",'5 yr'!AI267),"")</f>
        <v/>
      </c>
    </row>
    <row r="265" spans="1:7">
      <c r="A265" s="149" t="str">
        <f>IF('5 yr'!A268=0,"",'5 yr'!A268)</f>
        <v/>
      </c>
      <c r="B265" s="147" t="str">
        <f>IF('5 yr'!B268=0,"",'5 yr'!B268)</f>
        <v/>
      </c>
      <c r="C265" s="148" t="str">
        <f>IF('5 yr'!E268=0,"",'5 yr'!E268)</f>
        <v/>
      </c>
      <c r="D265" s="149" t="str">
        <f>IF('5 yr'!I268=0,"",'5 yr'!I268)</f>
        <v/>
      </c>
      <c r="E265" s="150" t="str">
        <f>IFERROR(IF('5 yr'!AF268=0,"",'5 yr'!AF268),"")</f>
        <v/>
      </c>
      <c r="F265" s="150" t="str">
        <f>IFERROR(IF('5 yr'!AH268=0,"",'5 yr'!AH268),"")</f>
        <v/>
      </c>
      <c r="G265" s="156" t="str">
        <f>IFERROR(IF('5 yr'!AI268=0,"",'5 yr'!AI268),"")</f>
        <v/>
      </c>
    </row>
    <row r="266" spans="1:7">
      <c r="A266" s="149" t="str">
        <f>IF('5 yr'!A269=0,"",'5 yr'!A269)</f>
        <v/>
      </c>
      <c r="B266" s="147" t="str">
        <f>IF('5 yr'!B269=0,"",'5 yr'!B269)</f>
        <v/>
      </c>
      <c r="C266" s="148" t="str">
        <f>IF('5 yr'!E269=0,"",'5 yr'!E269)</f>
        <v/>
      </c>
      <c r="D266" s="149" t="str">
        <f>IF('5 yr'!I269=0,"",'5 yr'!I269)</f>
        <v/>
      </c>
      <c r="E266" s="150" t="str">
        <f>IFERROR(IF('5 yr'!AF269=0,"",'5 yr'!AF269),"")</f>
        <v/>
      </c>
      <c r="F266" s="150" t="str">
        <f>IFERROR(IF('5 yr'!AH269=0,"",'5 yr'!AH269),"")</f>
        <v/>
      </c>
      <c r="G266" s="156" t="str">
        <f>IFERROR(IF('5 yr'!AI269=0,"",'5 yr'!AI269),"")</f>
        <v/>
      </c>
    </row>
    <row r="267" spans="1:7">
      <c r="A267" s="149" t="str">
        <f>IF('5 yr'!A270=0,"",'5 yr'!A270)</f>
        <v/>
      </c>
      <c r="B267" s="147" t="str">
        <f>IF('5 yr'!B270=0,"",'5 yr'!B270)</f>
        <v/>
      </c>
      <c r="C267" s="148" t="str">
        <f>IF('5 yr'!E270=0,"",'5 yr'!E270)</f>
        <v/>
      </c>
      <c r="D267" s="149" t="str">
        <f>IF('5 yr'!I270=0,"",'5 yr'!I270)</f>
        <v/>
      </c>
      <c r="E267" s="150" t="str">
        <f>IFERROR(IF('5 yr'!AF270=0,"",'5 yr'!AF270),"")</f>
        <v/>
      </c>
      <c r="F267" s="150" t="str">
        <f>IFERROR(IF('5 yr'!AH270=0,"",'5 yr'!AH270),"")</f>
        <v/>
      </c>
      <c r="G267" s="156" t="str">
        <f>IFERROR(IF('5 yr'!AI270=0,"",'5 yr'!AI270),"")</f>
        <v/>
      </c>
    </row>
    <row r="268" spans="1:7">
      <c r="A268" s="149" t="str">
        <f>IF('5 yr'!A271=0,"",'5 yr'!A271)</f>
        <v/>
      </c>
      <c r="B268" s="147" t="str">
        <f>IF('5 yr'!B271=0,"",'5 yr'!B271)</f>
        <v/>
      </c>
      <c r="C268" s="148" t="str">
        <f>IF('5 yr'!E271=0,"",'5 yr'!E271)</f>
        <v/>
      </c>
      <c r="D268" s="149" t="str">
        <f>IF('5 yr'!I271=0,"",'5 yr'!I271)</f>
        <v/>
      </c>
      <c r="E268" s="150" t="str">
        <f>IFERROR(IF('5 yr'!AF271=0,"",'5 yr'!AF271),"")</f>
        <v/>
      </c>
      <c r="F268" s="150" t="str">
        <f>IFERROR(IF('5 yr'!AH271=0,"",'5 yr'!AH271),"")</f>
        <v/>
      </c>
      <c r="G268" s="156" t="str">
        <f>IFERROR(IF('5 yr'!AI271=0,"",'5 yr'!AI271),"")</f>
        <v/>
      </c>
    </row>
    <row r="269" spans="1:7">
      <c r="A269" s="149" t="str">
        <f>IF('5 yr'!A272=0,"",'5 yr'!A272)</f>
        <v/>
      </c>
      <c r="B269" s="147" t="str">
        <f>IF('5 yr'!B272=0,"",'5 yr'!B272)</f>
        <v/>
      </c>
      <c r="C269" s="148" t="str">
        <f>IF('5 yr'!E272=0,"",'5 yr'!E272)</f>
        <v/>
      </c>
      <c r="D269" s="149" t="str">
        <f>IF('5 yr'!I272=0,"",'5 yr'!I272)</f>
        <v/>
      </c>
      <c r="E269" s="150" t="str">
        <f>IFERROR(IF('5 yr'!AF272=0,"",'5 yr'!AF272),"")</f>
        <v/>
      </c>
      <c r="F269" s="150" t="str">
        <f>IFERROR(IF('5 yr'!AH272=0,"",'5 yr'!AH272),"")</f>
        <v/>
      </c>
      <c r="G269" s="156" t="str">
        <f>IFERROR(IF('5 yr'!AI272=0,"",'5 yr'!AI272),"")</f>
        <v/>
      </c>
    </row>
    <row r="270" spans="1:7">
      <c r="A270" s="149" t="str">
        <f>IF('5 yr'!A273=0,"",'5 yr'!A273)</f>
        <v/>
      </c>
      <c r="B270" s="147" t="str">
        <f>IF('5 yr'!B273=0,"",'5 yr'!B273)</f>
        <v/>
      </c>
      <c r="C270" s="148" t="str">
        <f>IF('5 yr'!E273=0,"",'5 yr'!E273)</f>
        <v/>
      </c>
      <c r="D270" s="149" t="str">
        <f>IF('5 yr'!I273=0,"",'5 yr'!I273)</f>
        <v/>
      </c>
      <c r="E270" s="150" t="str">
        <f>IFERROR(IF('5 yr'!AF273=0,"",'5 yr'!AF273),"")</f>
        <v/>
      </c>
      <c r="F270" s="150" t="str">
        <f>IFERROR(IF('5 yr'!AH273=0,"",'5 yr'!AH273),"")</f>
        <v/>
      </c>
      <c r="G270" s="156" t="str">
        <f>IFERROR(IF('5 yr'!AI273=0,"",'5 yr'!AI273),"")</f>
        <v/>
      </c>
    </row>
    <row r="271" spans="1:7">
      <c r="A271" s="149" t="str">
        <f>IF('5 yr'!A274=0,"",'5 yr'!A274)</f>
        <v/>
      </c>
      <c r="B271" s="147" t="str">
        <f>IF('5 yr'!B274=0,"",'5 yr'!B274)</f>
        <v/>
      </c>
      <c r="C271" s="148" t="str">
        <f>IF('5 yr'!E274=0,"",'5 yr'!E274)</f>
        <v/>
      </c>
      <c r="D271" s="149" t="str">
        <f>IF('5 yr'!I274=0,"",'5 yr'!I274)</f>
        <v/>
      </c>
      <c r="E271" s="150" t="str">
        <f>IFERROR(IF('5 yr'!AF274=0,"",'5 yr'!AF274),"")</f>
        <v/>
      </c>
      <c r="F271" s="150" t="str">
        <f>IFERROR(IF('5 yr'!AH274=0,"",'5 yr'!AH274),"")</f>
        <v/>
      </c>
      <c r="G271" s="156" t="str">
        <f>IFERROR(IF('5 yr'!AI274=0,"",'5 yr'!AI274),"")</f>
        <v/>
      </c>
    </row>
    <row r="272" spans="1:7">
      <c r="A272" s="149" t="str">
        <f>IF('5 yr'!A275=0,"",'5 yr'!A275)</f>
        <v/>
      </c>
      <c r="B272" s="147" t="str">
        <f>IF('5 yr'!B275=0,"",'5 yr'!B275)</f>
        <v/>
      </c>
      <c r="C272" s="148" t="str">
        <f>IF('5 yr'!E275=0,"",'5 yr'!E275)</f>
        <v/>
      </c>
      <c r="D272" s="149" t="str">
        <f>IF('5 yr'!I275=0,"",'5 yr'!I275)</f>
        <v/>
      </c>
      <c r="E272" s="150" t="str">
        <f>IFERROR(IF('5 yr'!AF275=0,"",'5 yr'!AF275),"")</f>
        <v/>
      </c>
      <c r="F272" s="150" t="str">
        <f>IFERROR(IF('5 yr'!AH275=0,"",'5 yr'!AH275),"")</f>
        <v/>
      </c>
      <c r="G272" s="156" t="str">
        <f>IFERROR(IF('5 yr'!AI275=0,"",'5 yr'!AI275),"")</f>
        <v/>
      </c>
    </row>
    <row r="273" spans="1:7">
      <c r="A273" s="149" t="str">
        <f>IF('5 yr'!A276=0,"",'5 yr'!A276)</f>
        <v/>
      </c>
      <c r="B273" s="147" t="str">
        <f>IF('5 yr'!B276=0,"",'5 yr'!B276)</f>
        <v/>
      </c>
      <c r="C273" s="148" t="str">
        <f>IF('5 yr'!E276=0,"",'5 yr'!E276)</f>
        <v/>
      </c>
      <c r="D273" s="149" t="str">
        <f>IF('5 yr'!I276=0,"",'5 yr'!I276)</f>
        <v/>
      </c>
      <c r="E273" s="150" t="str">
        <f>IFERROR(IF('5 yr'!AF276=0,"",'5 yr'!AF276),"")</f>
        <v/>
      </c>
      <c r="F273" s="150" t="str">
        <f>IFERROR(IF('5 yr'!AH276=0,"",'5 yr'!AH276),"")</f>
        <v/>
      </c>
      <c r="G273" s="156" t="str">
        <f>IFERROR(IF('5 yr'!AI276=0,"",'5 yr'!AI276),"")</f>
        <v/>
      </c>
    </row>
    <row r="274" spans="1:7">
      <c r="A274" s="149" t="str">
        <f>IF('5 yr'!A277=0,"",'5 yr'!A277)</f>
        <v/>
      </c>
      <c r="B274" s="147" t="str">
        <f>IF('5 yr'!B277=0,"",'5 yr'!B277)</f>
        <v/>
      </c>
      <c r="C274" s="148" t="str">
        <f>IF('5 yr'!E277=0,"",'5 yr'!E277)</f>
        <v/>
      </c>
      <c r="D274" s="149" t="str">
        <f>IF('5 yr'!I277=0,"",'5 yr'!I277)</f>
        <v/>
      </c>
      <c r="E274" s="150" t="str">
        <f>IFERROR(IF('5 yr'!AF277=0,"",'5 yr'!AF277),"")</f>
        <v/>
      </c>
      <c r="F274" s="150" t="str">
        <f>IFERROR(IF('5 yr'!AH277=0,"",'5 yr'!AH277),"")</f>
        <v/>
      </c>
      <c r="G274" s="156" t="str">
        <f>IFERROR(IF('5 yr'!AI277=0,"",'5 yr'!AI277),"")</f>
        <v/>
      </c>
    </row>
    <row r="275" spans="1:7">
      <c r="A275" s="149" t="str">
        <f>IF('5 yr'!A278=0,"",'5 yr'!A278)</f>
        <v/>
      </c>
      <c r="B275" s="147" t="str">
        <f>IF('5 yr'!B278=0,"",'5 yr'!B278)</f>
        <v/>
      </c>
      <c r="C275" s="148" t="str">
        <f>IF('5 yr'!E278=0,"",'5 yr'!E278)</f>
        <v/>
      </c>
      <c r="D275" s="149" t="str">
        <f>IF('5 yr'!I278=0,"",'5 yr'!I278)</f>
        <v/>
      </c>
      <c r="E275" s="150" t="str">
        <f>IFERROR(IF('5 yr'!AF278=0,"",'5 yr'!AF278),"")</f>
        <v/>
      </c>
      <c r="F275" s="150" t="str">
        <f>IFERROR(IF('5 yr'!AH278=0,"",'5 yr'!AH278),"")</f>
        <v/>
      </c>
      <c r="G275" s="156" t="str">
        <f>IFERROR(IF('5 yr'!AI278=0,"",'5 yr'!AI278),"")</f>
        <v/>
      </c>
    </row>
    <row r="276" spans="1:7">
      <c r="A276" s="149" t="str">
        <f>IF('5 yr'!A279=0,"",'5 yr'!A279)</f>
        <v/>
      </c>
      <c r="B276" s="147" t="str">
        <f>IF('5 yr'!B279=0,"",'5 yr'!B279)</f>
        <v/>
      </c>
      <c r="C276" s="148" t="str">
        <f>IF('5 yr'!E279=0,"",'5 yr'!E279)</f>
        <v/>
      </c>
      <c r="D276" s="149" t="str">
        <f>IF('5 yr'!I279=0,"",'5 yr'!I279)</f>
        <v/>
      </c>
      <c r="E276" s="150" t="str">
        <f>IFERROR(IF('5 yr'!AF279=0,"",'5 yr'!AF279),"")</f>
        <v/>
      </c>
      <c r="F276" s="150" t="str">
        <f>IFERROR(IF('5 yr'!AH279=0,"",'5 yr'!AH279),"")</f>
        <v/>
      </c>
      <c r="G276" s="156" t="str">
        <f>IFERROR(IF('5 yr'!AI279=0,"",'5 yr'!AI279),"")</f>
        <v/>
      </c>
    </row>
    <row r="277" spans="1:7">
      <c r="A277" s="149" t="str">
        <f>IF('5 yr'!A280=0,"",'5 yr'!A280)</f>
        <v/>
      </c>
      <c r="B277" s="147" t="str">
        <f>IF('5 yr'!B280=0,"",'5 yr'!B280)</f>
        <v/>
      </c>
      <c r="C277" s="148" t="str">
        <f>IF('5 yr'!E280=0,"",'5 yr'!E280)</f>
        <v/>
      </c>
      <c r="D277" s="149" t="str">
        <f>IF('5 yr'!I280=0,"",'5 yr'!I280)</f>
        <v/>
      </c>
      <c r="E277" s="150" t="str">
        <f>IFERROR(IF('5 yr'!AF280=0,"",'5 yr'!AF280),"")</f>
        <v/>
      </c>
      <c r="F277" s="150" t="str">
        <f>IFERROR(IF('5 yr'!AH280=0,"",'5 yr'!AH280),"")</f>
        <v/>
      </c>
      <c r="G277" s="156" t="str">
        <f>IFERROR(IF('5 yr'!AI280=0,"",'5 yr'!AI280),"")</f>
        <v/>
      </c>
    </row>
    <row r="278" spans="1:7">
      <c r="A278" s="149" t="str">
        <f>IF('5 yr'!A281=0,"",'5 yr'!A281)</f>
        <v/>
      </c>
      <c r="B278" s="147" t="str">
        <f>IF('5 yr'!B281=0,"",'5 yr'!B281)</f>
        <v/>
      </c>
      <c r="C278" s="148" t="str">
        <f>IF('5 yr'!E281=0,"",'5 yr'!E281)</f>
        <v/>
      </c>
      <c r="D278" s="149" t="str">
        <f>IF('5 yr'!I281=0,"",'5 yr'!I281)</f>
        <v/>
      </c>
      <c r="E278" s="150" t="str">
        <f>IFERROR(IF('5 yr'!AF281=0,"",'5 yr'!AF281),"")</f>
        <v/>
      </c>
      <c r="F278" s="150" t="str">
        <f>IFERROR(IF('5 yr'!AH281=0,"",'5 yr'!AH281),"")</f>
        <v/>
      </c>
      <c r="G278" s="156" t="str">
        <f>IFERROR(IF('5 yr'!AI281=0,"",'5 yr'!AI281),"")</f>
        <v/>
      </c>
    </row>
    <row r="279" spans="1:7">
      <c r="A279" s="149" t="str">
        <f>IF('5 yr'!A282=0,"",'5 yr'!A282)</f>
        <v/>
      </c>
      <c r="B279" s="147" t="str">
        <f>IF('5 yr'!B282=0,"",'5 yr'!B282)</f>
        <v/>
      </c>
      <c r="C279" s="148" t="str">
        <f>IF('5 yr'!E282=0,"",'5 yr'!E282)</f>
        <v/>
      </c>
      <c r="D279" s="149" t="str">
        <f>IF('5 yr'!I282=0,"",'5 yr'!I282)</f>
        <v/>
      </c>
      <c r="E279" s="150" t="str">
        <f>IFERROR(IF('5 yr'!AF282=0,"",'5 yr'!AF282),"")</f>
        <v/>
      </c>
      <c r="F279" s="150" t="str">
        <f>IFERROR(IF('5 yr'!AH282=0,"",'5 yr'!AH282),"")</f>
        <v/>
      </c>
      <c r="G279" s="156" t="str">
        <f>IFERROR(IF('5 yr'!AI282=0,"",'5 yr'!AI282),"")</f>
        <v/>
      </c>
    </row>
    <row r="280" spans="1:7">
      <c r="A280" s="149" t="str">
        <f>IF('5 yr'!A283=0,"",'5 yr'!A283)</f>
        <v/>
      </c>
      <c r="B280" s="147" t="str">
        <f>IF('5 yr'!B283=0,"",'5 yr'!B283)</f>
        <v/>
      </c>
      <c r="C280" s="148" t="str">
        <f>IF('5 yr'!E283=0,"",'5 yr'!E283)</f>
        <v/>
      </c>
      <c r="D280" s="149" t="str">
        <f>IF('5 yr'!I283=0,"",'5 yr'!I283)</f>
        <v/>
      </c>
      <c r="E280" s="150" t="str">
        <f>IFERROR(IF('5 yr'!AF283=0,"",'5 yr'!AF283),"")</f>
        <v/>
      </c>
      <c r="F280" s="150" t="str">
        <f>IFERROR(IF('5 yr'!AH283=0,"",'5 yr'!AH283),"")</f>
        <v/>
      </c>
      <c r="G280" s="156" t="str">
        <f>IFERROR(IF('5 yr'!AI283=0,"",'5 yr'!AI283),"")</f>
        <v/>
      </c>
    </row>
    <row r="281" spans="1:7">
      <c r="A281" s="149" t="str">
        <f>IF('5 yr'!A284=0,"",'5 yr'!A284)</f>
        <v/>
      </c>
      <c r="B281" s="147" t="str">
        <f>IF('5 yr'!B284=0,"",'5 yr'!B284)</f>
        <v/>
      </c>
      <c r="C281" s="148" t="str">
        <f>IF('5 yr'!E284=0,"",'5 yr'!E284)</f>
        <v/>
      </c>
      <c r="D281" s="149" t="str">
        <f>IF('5 yr'!I284=0,"",'5 yr'!I284)</f>
        <v/>
      </c>
      <c r="E281" s="150" t="str">
        <f>IFERROR(IF('5 yr'!AF284=0,"",'5 yr'!AF284),"")</f>
        <v/>
      </c>
      <c r="F281" s="150" t="str">
        <f>IFERROR(IF('5 yr'!AH284=0,"",'5 yr'!AH284),"")</f>
        <v/>
      </c>
      <c r="G281" s="156" t="str">
        <f>IFERROR(IF('5 yr'!AI284=0,"",'5 yr'!AI284),"")</f>
        <v/>
      </c>
    </row>
    <row r="282" spans="1:7">
      <c r="A282" s="149" t="str">
        <f>IF('5 yr'!A285=0,"",'5 yr'!A285)</f>
        <v/>
      </c>
      <c r="B282" s="147" t="str">
        <f>IF('5 yr'!B285=0,"",'5 yr'!B285)</f>
        <v/>
      </c>
      <c r="C282" s="148" t="str">
        <f>IF('5 yr'!E285=0,"",'5 yr'!E285)</f>
        <v/>
      </c>
      <c r="D282" s="149" t="str">
        <f>IF('5 yr'!I285=0,"",'5 yr'!I285)</f>
        <v/>
      </c>
      <c r="E282" s="150" t="str">
        <f>IFERROR(IF('5 yr'!AF285=0,"",'5 yr'!AF285),"")</f>
        <v/>
      </c>
      <c r="F282" s="150" t="str">
        <f>IFERROR(IF('5 yr'!AH285=0,"",'5 yr'!AH285),"")</f>
        <v/>
      </c>
      <c r="G282" s="156" t="str">
        <f>IFERROR(IF('5 yr'!AI285=0,"",'5 yr'!AI285),"")</f>
        <v/>
      </c>
    </row>
    <row r="283" spans="1:7">
      <c r="A283" s="149" t="str">
        <f>IF('5 yr'!A286=0,"",'5 yr'!A286)</f>
        <v/>
      </c>
      <c r="B283" s="147" t="str">
        <f>IF('5 yr'!B286=0,"",'5 yr'!B286)</f>
        <v/>
      </c>
      <c r="C283" s="148" t="str">
        <f>IF('5 yr'!E286=0,"",'5 yr'!E286)</f>
        <v/>
      </c>
      <c r="D283" s="149" t="str">
        <f>IF('5 yr'!I286=0,"",'5 yr'!I286)</f>
        <v/>
      </c>
      <c r="E283" s="150" t="str">
        <f>IFERROR(IF('5 yr'!AF286=0,"",'5 yr'!AF286),"")</f>
        <v/>
      </c>
      <c r="F283" s="150" t="str">
        <f>IFERROR(IF('5 yr'!AH286=0,"",'5 yr'!AH286),"")</f>
        <v/>
      </c>
      <c r="G283" s="156" t="str">
        <f>IFERROR(IF('5 yr'!AI286=0,"",'5 yr'!AI286),"")</f>
        <v/>
      </c>
    </row>
    <row r="284" spans="1:7">
      <c r="A284" s="149" t="str">
        <f>IF('5 yr'!A287=0,"",'5 yr'!A287)</f>
        <v/>
      </c>
      <c r="B284" s="147" t="str">
        <f>IF('5 yr'!B287=0,"",'5 yr'!B287)</f>
        <v/>
      </c>
      <c r="C284" s="148" t="str">
        <f>IF('5 yr'!E287=0,"",'5 yr'!E287)</f>
        <v/>
      </c>
      <c r="D284" s="149" t="str">
        <f>IF('5 yr'!I287=0,"",'5 yr'!I287)</f>
        <v/>
      </c>
      <c r="E284" s="150" t="str">
        <f>IFERROR(IF('5 yr'!AF287=0,"",'5 yr'!AF287),"")</f>
        <v/>
      </c>
      <c r="F284" s="150" t="str">
        <f>IFERROR(IF('5 yr'!AH287=0,"",'5 yr'!AH287),"")</f>
        <v/>
      </c>
      <c r="G284" s="156" t="str">
        <f>IFERROR(IF('5 yr'!AI287=0,"",'5 yr'!AI287),"")</f>
        <v/>
      </c>
    </row>
    <row r="285" spans="1:7">
      <c r="A285" s="149" t="str">
        <f>IF('5 yr'!A288=0,"",'5 yr'!A288)</f>
        <v/>
      </c>
      <c r="B285" s="147" t="str">
        <f>IF('5 yr'!B288=0,"",'5 yr'!B288)</f>
        <v/>
      </c>
      <c r="C285" s="148" t="str">
        <f>IF('5 yr'!E288=0,"",'5 yr'!E288)</f>
        <v/>
      </c>
      <c r="D285" s="149" t="str">
        <f>IF('5 yr'!I288=0,"",'5 yr'!I288)</f>
        <v/>
      </c>
      <c r="E285" s="150" t="str">
        <f>IFERROR(IF('5 yr'!AF288=0,"",'5 yr'!AF288),"")</f>
        <v/>
      </c>
      <c r="F285" s="150" t="str">
        <f>IFERROR(IF('5 yr'!AH288=0,"",'5 yr'!AH288),"")</f>
        <v/>
      </c>
      <c r="G285" s="156" t="str">
        <f>IFERROR(IF('5 yr'!AI288=0,"",'5 yr'!AI288),"")</f>
        <v/>
      </c>
    </row>
    <row r="286" spans="1:7">
      <c r="A286" s="149" t="str">
        <f>IF('5 yr'!A289=0,"",'5 yr'!A289)</f>
        <v/>
      </c>
      <c r="B286" s="147" t="str">
        <f>IF('5 yr'!B289=0,"",'5 yr'!B289)</f>
        <v/>
      </c>
      <c r="C286" s="148" t="str">
        <f>IF('5 yr'!E289=0,"",'5 yr'!E289)</f>
        <v/>
      </c>
      <c r="D286" s="149" t="str">
        <f>IF('5 yr'!I289=0,"",'5 yr'!I289)</f>
        <v/>
      </c>
      <c r="E286" s="150" t="str">
        <f>IFERROR(IF('5 yr'!AF289=0,"",'5 yr'!AF289),"")</f>
        <v/>
      </c>
      <c r="F286" s="150" t="str">
        <f>IFERROR(IF('5 yr'!AH289=0,"",'5 yr'!AH289),"")</f>
        <v/>
      </c>
      <c r="G286" s="156" t="str">
        <f>IFERROR(IF('5 yr'!AI289=0,"",'5 yr'!AI289),"")</f>
        <v/>
      </c>
    </row>
    <row r="287" spans="1:7">
      <c r="A287" s="149" t="str">
        <f>IF('5 yr'!A290=0,"",'5 yr'!A290)</f>
        <v/>
      </c>
      <c r="B287" s="147" t="str">
        <f>IF('5 yr'!B290=0,"",'5 yr'!B290)</f>
        <v/>
      </c>
      <c r="C287" s="148" t="str">
        <f>IF('5 yr'!E290=0,"",'5 yr'!E290)</f>
        <v/>
      </c>
      <c r="D287" s="149" t="str">
        <f>IF('5 yr'!I290=0,"",'5 yr'!I290)</f>
        <v/>
      </c>
      <c r="E287" s="150" t="str">
        <f>IFERROR(IF('5 yr'!AF290=0,"",'5 yr'!AF290),"")</f>
        <v/>
      </c>
      <c r="F287" s="150" t="str">
        <f>IFERROR(IF('5 yr'!AH290=0,"",'5 yr'!AH290),"")</f>
        <v/>
      </c>
      <c r="G287" s="156" t="str">
        <f>IFERROR(IF('5 yr'!AI290=0,"",'5 yr'!AI290),"")</f>
        <v/>
      </c>
    </row>
    <row r="288" spans="1:7">
      <c r="A288" s="149" t="str">
        <f>IF('5 yr'!A291=0,"",'5 yr'!A291)</f>
        <v/>
      </c>
      <c r="B288" s="147" t="str">
        <f>IF('5 yr'!B291=0,"",'5 yr'!B291)</f>
        <v/>
      </c>
      <c r="C288" s="148" t="str">
        <f>IF('5 yr'!E291=0,"",'5 yr'!E291)</f>
        <v/>
      </c>
      <c r="D288" s="149" t="str">
        <f>IF('5 yr'!I291=0,"",'5 yr'!I291)</f>
        <v/>
      </c>
      <c r="E288" s="150" t="str">
        <f>IFERROR(IF('5 yr'!AF291=0,"",'5 yr'!AF291),"")</f>
        <v/>
      </c>
      <c r="F288" s="150" t="str">
        <f>IFERROR(IF('5 yr'!AH291=0,"",'5 yr'!AH291),"")</f>
        <v/>
      </c>
      <c r="G288" s="156" t="str">
        <f>IFERROR(IF('5 yr'!AI291=0,"",'5 yr'!AI291),"")</f>
        <v/>
      </c>
    </row>
    <row r="289" spans="1:7">
      <c r="A289" s="149" t="str">
        <f>IF('5 yr'!A292=0,"",'5 yr'!A292)</f>
        <v/>
      </c>
      <c r="B289" s="147" t="str">
        <f>IF('5 yr'!B292=0,"",'5 yr'!B292)</f>
        <v/>
      </c>
      <c r="C289" s="148" t="str">
        <f>IF('5 yr'!E292=0,"",'5 yr'!E292)</f>
        <v/>
      </c>
      <c r="D289" s="149" t="str">
        <f>IF('5 yr'!I292=0,"",'5 yr'!I292)</f>
        <v/>
      </c>
      <c r="E289" s="150" t="str">
        <f>IFERROR(IF('5 yr'!AF292=0,"",'5 yr'!AF292),"")</f>
        <v/>
      </c>
      <c r="F289" s="150" t="str">
        <f>IFERROR(IF('5 yr'!AH292=0,"",'5 yr'!AH292),"")</f>
        <v/>
      </c>
      <c r="G289" s="156" t="str">
        <f>IFERROR(IF('5 yr'!AI292=0,"",'5 yr'!AI292),"")</f>
        <v/>
      </c>
    </row>
    <row r="290" spans="1:7">
      <c r="A290" s="149" t="str">
        <f>IF('5 yr'!A293=0,"",'5 yr'!A293)</f>
        <v/>
      </c>
      <c r="B290" s="147" t="str">
        <f>IF('5 yr'!B293=0,"",'5 yr'!B293)</f>
        <v/>
      </c>
      <c r="C290" s="148" t="str">
        <f>IF('5 yr'!E293=0,"",'5 yr'!E293)</f>
        <v/>
      </c>
      <c r="D290" s="149" t="str">
        <f>IF('5 yr'!I293=0,"",'5 yr'!I293)</f>
        <v/>
      </c>
      <c r="E290" s="150" t="str">
        <f>IFERROR(IF('5 yr'!AF293=0,"",'5 yr'!AF293),"")</f>
        <v/>
      </c>
      <c r="F290" s="150" t="str">
        <f>IFERROR(IF('5 yr'!AH293=0,"",'5 yr'!AH293),"")</f>
        <v/>
      </c>
      <c r="G290" s="156" t="str">
        <f>IFERROR(IF('5 yr'!AI293=0,"",'5 yr'!AI293),"")</f>
        <v/>
      </c>
    </row>
    <row r="291" spans="1:7">
      <c r="A291" s="149" t="str">
        <f>IF('5 yr'!A294=0,"",'5 yr'!A294)</f>
        <v/>
      </c>
      <c r="B291" s="147" t="str">
        <f>IF('5 yr'!B294=0,"",'5 yr'!B294)</f>
        <v/>
      </c>
      <c r="C291" s="148" t="str">
        <f>IF('5 yr'!E294=0,"",'5 yr'!E294)</f>
        <v/>
      </c>
      <c r="D291" s="149" t="str">
        <f>IF('5 yr'!I294=0,"",'5 yr'!I294)</f>
        <v/>
      </c>
      <c r="E291" s="150" t="str">
        <f>IFERROR(IF('5 yr'!AF294=0,"",'5 yr'!AF294),"")</f>
        <v/>
      </c>
      <c r="F291" s="150" t="str">
        <f>IFERROR(IF('5 yr'!AH294=0,"",'5 yr'!AH294),"")</f>
        <v/>
      </c>
      <c r="G291" s="156" t="str">
        <f>IFERROR(IF('5 yr'!AI294=0,"",'5 yr'!AI294),"")</f>
        <v/>
      </c>
    </row>
    <row r="292" spans="1:7">
      <c r="A292" s="149" t="str">
        <f>IF('5 yr'!A295=0,"",'5 yr'!A295)</f>
        <v/>
      </c>
      <c r="B292" s="147" t="str">
        <f>IF('5 yr'!B295=0,"",'5 yr'!B295)</f>
        <v/>
      </c>
      <c r="C292" s="148" t="str">
        <f>IF('5 yr'!E295=0,"",'5 yr'!E295)</f>
        <v/>
      </c>
      <c r="D292" s="149" t="str">
        <f>IF('5 yr'!I295=0,"",'5 yr'!I295)</f>
        <v/>
      </c>
      <c r="E292" s="150" t="str">
        <f>IFERROR(IF('5 yr'!AF295=0,"",'5 yr'!AF295),"")</f>
        <v/>
      </c>
      <c r="F292" s="150" t="str">
        <f>IFERROR(IF('5 yr'!AH295=0,"",'5 yr'!AH295),"")</f>
        <v/>
      </c>
      <c r="G292" s="156" t="str">
        <f>IFERROR(IF('5 yr'!AI295=0,"",'5 yr'!AI295),"")</f>
        <v/>
      </c>
    </row>
    <row r="293" spans="1:7">
      <c r="A293" s="149" t="str">
        <f>IF('5 yr'!A296=0,"",'5 yr'!A296)</f>
        <v/>
      </c>
      <c r="B293" s="147" t="str">
        <f>IF('5 yr'!B296=0,"",'5 yr'!B296)</f>
        <v/>
      </c>
      <c r="C293" s="148" t="str">
        <f>IF('5 yr'!E296=0,"",'5 yr'!E296)</f>
        <v/>
      </c>
      <c r="D293" s="149" t="str">
        <f>IF('5 yr'!I296=0,"",'5 yr'!I296)</f>
        <v/>
      </c>
      <c r="E293" s="150" t="str">
        <f>IFERROR(IF('5 yr'!AF296=0,"",'5 yr'!AF296),"")</f>
        <v/>
      </c>
      <c r="F293" s="150" t="str">
        <f>IFERROR(IF('5 yr'!AH296=0,"",'5 yr'!AH296),"")</f>
        <v/>
      </c>
      <c r="G293" s="156" t="str">
        <f>IFERROR(IF('5 yr'!AI296=0,"",'5 yr'!AI296),"")</f>
        <v/>
      </c>
    </row>
    <row r="294" spans="1:7">
      <c r="A294" s="149" t="str">
        <f>IF('5 yr'!A297=0,"",'5 yr'!A297)</f>
        <v/>
      </c>
      <c r="B294" s="147" t="str">
        <f>IF('5 yr'!B297=0,"",'5 yr'!B297)</f>
        <v/>
      </c>
      <c r="C294" s="148" t="str">
        <f>IF('5 yr'!E297=0,"",'5 yr'!E297)</f>
        <v/>
      </c>
      <c r="D294" s="149" t="str">
        <f>IF('5 yr'!I297=0,"",'5 yr'!I297)</f>
        <v/>
      </c>
      <c r="E294" s="150" t="str">
        <f>IFERROR(IF('5 yr'!AF297=0,"",'5 yr'!AF297),"")</f>
        <v/>
      </c>
      <c r="F294" s="150" t="str">
        <f>IFERROR(IF('5 yr'!AH297=0,"",'5 yr'!AH297),"")</f>
        <v/>
      </c>
      <c r="G294" s="156" t="str">
        <f>IFERROR(IF('5 yr'!AI297=0,"",'5 yr'!AI297),"")</f>
        <v/>
      </c>
    </row>
    <row r="295" spans="1:7">
      <c r="A295" s="149" t="str">
        <f>IF('5 yr'!A298=0,"",'5 yr'!A298)</f>
        <v/>
      </c>
      <c r="B295" s="147" t="str">
        <f>IF('5 yr'!B298=0,"",'5 yr'!B298)</f>
        <v/>
      </c>
      <c r="C295" s="148" t="str">
        <f>IF('5 yr'!E298=0,"",'5 yr'!E298)</f>
        <v/>
      </c>
      <c r="D295" s="149" t="str">
        <f>IF('5 yr'!I298=0,"",'5 yr'!I298)</f>
        <v/>
      </c>
      <c r="E295" s="150" t="str">
        <f>IFERROR(IF('5 yr'!AF298=0,"",'5 yr'!AF298),"")</f>
        <v/>
      </c>
      <c r="F295" s="150" t="str">
        <f>IFERROR(IF('5 yr'!AH298=0,"",'5 yr'!AH298),"")</f>
        <v/>
      </c>
      <c r="G295" s="156" t="str">
        <f>IFERROR(IF('5 yr'!AI298=0,"",'5 yr'!AI298),"")</f>
        <v/>
      </c>
    </row>
    <row r="296" spans="1:7">
      <c r="A296" s="149" t="str">
        <f>IF('5 yr'!A299=0,"",'5 yr'!A299)</f>
        <v/>
      </c>
      <c r="B296" s="147" t="str">
        <f>IF('5 yr'!B299=0,"",'5 yr'!B299)</f>
        <v/>
      </c>
      <c r="C296" s="148" t="str">
        <f>IF('5 yr'!E299=0,"",'5 yr'!E299)</f>
        <v/>
      </c>
      <c r="D296" s="149" t="str">
        <f>IF('5 yr'!I299=0,"",'5 yr'!I299)</f>
        <v/>
      </c>
      <c r="E296" s="150" t="str">
        <f>IFERROR(IF('5 yr'!AF299=0,"",'5 yr'!AF299),"")</f>
        <v/>
      </c>
      <c r="F296" s="150" t="str">
        <f>IFERROR(IF('5 yr'!AH299=0,"",'5 yr'!AH299),"")</f>
        <v/>
      </c>
      <c r="G296" s="156" t="str">
        <f>IFERROR(IF('5 yr'!AI299=0,"",'5 yr'!AI299),"")</f>
        <v/>
      </c>
    </row>
    <row r="297" spans="1:7">
      <c r="A297" s="149" t="str">
        <f>IF('5 yr'!A300=0,"",'5 yr'!A300)</f>
        <v/>
      </c>
      <c r="B297" s="147" t="str">
        <f>IF('5 yr'!B300=0,"",'5 yr'!B300)</f>
        <v/>
      </c>
      <c r="C297" s="148" t="str">
        <f>IF('5 yr'!E300=0,"",'5 yr'!E300)</f>
        <v/>
      </c>
      <c r="D297" s="149" t="str">
        <f>IF('5 yr'!I300=0,"",'5 yr'!I300)</f>
        <v/>
      </c>
      <c r="E297" s="150" t="str">
        <f>IFERROR(IF('5 yr'!AF300=0,"",'5 yr'!AF300),"")</f>
        <v/>
      </c>
      <c r="F297" s="150" t="str">
        <f>IFERROR(IF('5 yr'!AH300=0,"",'5 yr'!AH300),"")</f>
        <v/>
      </c>
      <c r="G297" s="156" t="str">
        <f>IFERROR(IF('5 yr'!AI300=0,"",'5 yr'!AI300),"")</f>
        <v/>
      </c>
    </row>
    <row r="298" spans="1:7">
      <c r="A298" s="149" t="str">
        <f>IF('5 yr'!A301=0,"",'5 yr'!A301)</f>
        <v/>
      </c>
      <c r="B298" s="147" t="str">
        <f>IF('5 yr'!B301=0,"",'5 yr'!B301)</f>
        <v/>
      </c>
      <c r="C298" s="148" t="str">
        <f>IF('5 yr'!E301=0,"",'5 yr'!E301)</f>
        <v/>
      </c>
      <c r="D298" s="149" t="str">
        <f>IF('5 yr'!I301=0,"",'5 yr'!I301)</f>
        <v/>
      </c>
      <c r="E298" s="150" t="str">
        <f>IFERROR(IF('5 yr'!AF301=0,"",'5 yr'!AF301),"")</f>
        <v/>
      </c>
      <c r="F298" s="150" t="str">
        <f>IFERROR(IF('5 yr'!AH301=0,"",'5 yr'!AH301),"")</f>
        <v/>
      </c>
      <c r="G298" s="156" t="str">
        <f>IFERROR(IF('5 yr'!AI301=0,"",'5 yr'!AI301),"")</f>
        <v/>
      </c>
    </row>
    <row r="299" spans="1:7">
      <c r="A299" s="149" t="str">
        <f>IF('5 yr'!A302=0,"",'5 yr'!A302)</f>
        <v/>
      </c>
      <c r="B299" s="147" t="str">
        <f>IF('5 yr'!B302=0,"",'5 yr'!B302)</f>
        <v/>
      </c>
      <c r="C299" s="148" t="str">
        <f>IF('5 yr'!E302=0,"",'5 yr'!E302)</f>
        <v/>
      </c>
      <c r="D299" s="149" t="str">
        <f>IF('5 yr'!I302=0,"",'5 yr'!I302)</f>
        <v/>
      </c>
      <c r="E299" s="150" t="str">
        <f>IFERROR(IF('5 yr'!AF302=0,"",'5 yr'!AF302),"")</f>
        <v/>
      </c>
      <c r="F299" s="150" t="str">
        <f>IFERROR(IF('5 yr'!AH302=0,"",'5 yr'!AH302),"")</f>
        <v/>
      </c>
      <c r="G299" s="156" t="str">
        <f>IFERROR(IF('5 yr'!AI302=0,"",'5 yr'!AI302),"")</f>
        <v/>
      </c>
    </row>
    <row r="300" spans="1:7">
      <c r="A300" s="149" t="str">
        <f>IF('5 yr'!A303=0,"",'5 yr'!A303)</f>
        <v/>
      </c>
      <c r="B300" s="147" t="str">
        <f>IF('5 yr'!B303=0,"",'5 yr'!B303)</f>
        <v/>
      </c>
      <c r="C300" s="148" t="str">
        <f>IF('5 yr'!E303=0,"",'5 yr'!E303)</f>
        <v/>
      </c>
      <c r="D300" s="149" t="str">
        <f>IF('5 yr'!I303=0,"",'5 yr'!I303)</f>
        <v/>
      </c>
      <c r="E300" s="150" t="str">
        <f>IFERROR(IF('5 yr'!AF303=0,"",'5 yr'!AF303),"")</f>
        <v/>
      </c>
      <c r="F300" s="150" t="str">
        <f>IFERROR(IF('5 yr'!AH303=0,"",'5 yr'!AH303),"")</f>
        <v/>
      </c>
      <c r="G300" s="156" t="str">
        <f>IFERROR(IF('5 yr'!AI303=0,"",'5 yr'!AI303),"")</f>
        <v/>
      </c>
    </row>
    <row r="301" spans="1:7">
      <c r="A301" s="149" t="str">
        <f>IF('5 yr'!A304=0,"",'5 yr'!A304)</f>
        <v/>
      </c>
      <c r="B301" s="147" t="str">
        <f>IF('5 yr'!B304=0,"",'5 yr'!B304)</f>
        <v/>
      </c>
      <c r="C301" s="148" t="str">
        <f>IF('5 yr'!E304=0,"",'5 yr'!E304)</f>
        <v/>
      </c>
      <c r="D301" s="149" t="str">
        <f>IF('5 yr'!I304=0,"",'5 yr'!I304)</f>
        <v/>
      </c>
      <c r="E301" s="150" t="str">
        <f>IFERROR(IF('5 yr'!AF304=0,"",'5 yr'!AF304),"")</f>
        <v/>
      </c>
      <c r="F301" s="150" t="str">
        <f>IFERROR(IF('5 yr'!AH304=0,"",'5 yr'!AH304),"")</f>
        <v/>
      </c>
      <c r="G301" s="156" t="str">
        <f>IFERROR(IF('5 yr'!AI304=0,"",'5 yr'!AI304),"")</f>
        <v/>
      </c>
    </row>
    <row r="302" spans="1:7">
      <c r="A302" s="149" t="str">
        <f>IF('5 yr'!A305=0,"",'5 yr'!A305)</f>
        <v/>
      </c>
      <c r="B302" s="147" t="str">
        <f>IF('5 yr'!B305=0,"",'5 yr'!B305)</f>
        <v/>
      </c>
      <c r="C302" s="148" t="str">
        <f>IF('5 yr'!E305=0,"",'5 yr'!E305)</f>
        <v/>
      </c>
      <c r="D302" s="149" t="str">
        <f>IF('5 yr'!I305=0,"",'5 yr'!I305)</f>
        <v/>
      </c>
      <c r="E302" s="150" t="str">
        <f>IFERROR(IF('5 yr'!AF305=0,"",'5 yr'!AF305),"")</f>
        <v/>
      </c>
      <c r="F302" s="150" t="str">
        <f>IFERROR(IF('5 yr'!AH305=0,"",'5 yr'!AH305),"")</f>
        <v/>
      </c>
      <c r="G302" s="156" t="str">
        <f>IFERROR(IF('5 yr'!AI305=0,"",'5 yr'!AI305),"")</f>
        <v/>
      </c>
    </row>
    <row r="303" spans="1:7">
      <c r="A303" s="149" t="str">
        <f>IF('5 yr'!A306=0,"",'5 yr'!A306)</f>
        <v/>
      </c>
      <c r="B303" s="147" t="str">
        <f>IF('5 yr'!B306=0,"",'5 yr'!B306)</f>
        <v/>
      </c>
      <c r="C303" s="148" t="str">
        <f>IF('5 yr'!E306=0,"",'5 yr'!E306)</f>
        <v/>
      </c>
      <c r="D303" s="149" t="str">
        <f>IF('5 yr'!I306=0,"",'5 yr'!I306)</f>
        <v/>
      </c>
      <c r="E303" s="150" t="str">
        <f>IFERROR(IF('5 yr'!AF306=0,"",'5 yr'!AF306),"")</f>
        <v/>
      </c>
      <c r="F303" s="150" t="str">
        <f>IFERROR(IF('5 yr'!AH306=0,"",'5 yr'!AH306),"")</f>
        <v/>
      </c>
      <c r="G303" s="156" t="str">
        <f>IFERROR(IF('5 yr'!AI306=0,"",'5 yr'!AI306),"")</f>
        <v/>
      </c>
    </row>
    <row r="304" spans="1:7">
      <c r="A304" s="149" t="str">
        <f>IF('5 yr'!A307=0,"",'5 yr'!A307)</f>
        <v/>
      </c>
      <c r="B304" s="147" t="str">
        <f>IF('5 yr'!B307=0,"",'5 yr'!B307)</f>
        <v/>
      </c>
      <c r="C304" s="148" t="str">
        <f>IF('5 yr'!E307=0,"",'5 yr'!E307)</f>
        <v/>
      </c>
      <c r="D304" s="149" t="str">
        <f>IF('5 yr'!I307=0,"",'5 yr'!I307)</f>
        <v/>
      </c>
      <c r="E304" s="150" t="str">
        <f>IFERROR(IF('5 yr'!AF307=0,"",'5 yr'!AF307),"")</f>
        <v/>
      </c>
      <c r="F304" s="150" t="str">
        <f>IFERROR(IF('5 yr'!AH307=0,"",'5 yr'!AH307),"")</f>
        <v/>
      </c>
      <c r="G304" s="156" t="str">
        <f>IFERROR(IF('5 yr'!AI307=0,"",'5 yr'!AI307),"")</f>
        <v/>
      </c>
    </row>
    <row r="305" spans="1:7">
      <c r="A305" s="149" t="str">
        <f>IF('5 yr'!A308=0,"",'5 yr'!A308)</f>
        <v/>
      </c>
      <c r="B305" s="147" t="str">
        <f>IF('5 yr'!B308=0,"",'5 yr'!B308)</f>
        <v/>
      </c>
      <c r="C305" s="148" t="str">
        <f>IF('5 yr'!E308=0,"",'5 yr'!E308)</f>
        <v/>
      </c>
      <c r="D305" s="149" t="str">
        <f>IF('5 yr'!I308=0,"",'5 yr'!I308)</f>
        <v/>
      </c>
      <c r="E305" s="150" t="str">
        <f>IFERROR(IF('5 yr'!AF308=0,"",'5 yr'!AF308),"")</f>
        <v/>
      </c>
      <c r="F305" s="150" t="str">
        <f>IFERROR(IF('5 yr'!AH308=0,"",'5 yr'!AH308),"")</f>
        <v/>
      </c>
      <c r="G305" s="156" t="str">
        <f>IFERROR(IF('5 yr'!AI308=0,"",'5 yr'!AI308),"")</f>
        <v/>
      </c>
    </row>
    <row r="306" spans="1:7">
      <c r="A306" s="149" t="str">
        <f>IF('5 yr'!A309=0,"",'5 yr'!A309)</f>
        <v/>
      </c>
      <c r="B306" s="147" t="str">
        <f>IF('5 yr'!B309=0,"",'5 yr'!B309)</f>
        <v/>
      </c>
      <c r="C306" s="148" t="str">
        <f>IF('5 yr'!E309=0,"",'5 yr'!E309)</f>
        <v/>
      </c>
      <c r="D306" s="149" t="str">
        <f>IF('5 yr'!I309=0,"",'5 yr'!I309)</f>
        <v/>
      </c>
      <c r="E306" s="150" t="str">
        <f>IFERROR(IF('5 yr'!AF309=0,"",'5 yr'!AF309),"")</f>
        <v/>
      </c>
      <c r="F306" s="150" t="str">
        <f>IFERROR(IF('5 yr'!AH309=0,"",'5 yr'!AH309),"")</f>
        <v/>
      </c>
      <c r="G306" s="156" t="str">
        <f>IFERROR(IF('5 yr'!AI309=0,"",'5 yr'!AI309),"")</f>
        <v/>
      </c>
    </row>
    <row r="307" spans="1:7">
      <c r="A307" s="149" t="str">
        <f>IF('5 yr'!A310=0,"",'5 yr'!A310)</f>
        <v/>
      </c>
      <c r="B307" s="147" t="str">
        <f>IF('5 yr'!B310=0,"",'5 yr'!B310)</f>
        <v/>
      </c>
      <c r="C307" s="148" t="str">
        <f>IF('5 yr'!E310=0,"",'5 yr'!E310)</f>
        <v/>
      </c>
      <c r="D307" s="149" t="str">
        <f>IF('5 yr'!I310=0,"",'5 yr'!I310)</f>
        <v/>
      </c>
      <c r="E307" s="150" t="str">
        <f>IFERROR(IF('5 yr'!AF310=0,"",'5 yr'!AF310),"")</f>
        <v/>
      </c>
      <c r="F307" s="150" t="str">
        <f>IFERROR(IF('5 yr'!AH310=0,"",'5 yr'!AH310),"")</f>
        <v/>
      </c>
      <c r="G307" s="156" t="str">
        <f>IFERROR(IF('5 yr'!AI310=0,"",'5 yr'!AI310),"")</f>
        <v/>
      </c>
    </row>
    <row r="308" spans="1:7">
      <c r="A308" s="149" t="str">
        <f>IF('5 yr'!A311=0,"",'5 yr'!A311)</f>
        <v/>
      </c>
      <c r="B308" s="147" t="str">
        <f>IF('5 yr'!B311=0,"",'5 yr'!B311)</f>
        <v/>
      </c>
      <c r="C308" s="148" t="str">
        <f>IF('5 yr'!E311=0,"",'5 yr'!E311)</f>
        <v/>
      </c>
      <c r="D308" s="149" t="str">
        <f>IF('5 yr'!I311=0,"",'5 yr'!I311)</f>
        <v/>
      </c>
      <c r="E308" s="150" t="str">
        <f>IFERROR(IF('5 yr'!AF311=0,"",'5 yr'!AF311),"")</f>
        <v/>
      </c>
      <c r="F308" s="150" t="str">
        <f>IFERROR(IF('5 yr'!AH311=0,"",'5 yr'!AH311),"")</f>
        <v/>
      </c>
      <c r="G308" s="156" t="str">
        <f>IFERROR(IF('5 yr'!AI311=0,"",'5 yr'!AI311),"")</f>
        <v/>
      </c>
    </row>
    <row r="309" spans="1:7">
      <c r="A309" s="149" t="str">
        <f>IF('5 yr'!A312=0,"",'5 yr'!A312)</f>
        <v/>
      </c>
      <c r="B309" s="147" t="str">
        <f>IF('5 yr'!B312=0,"",'5 yr'!B312)</f>
        <v/>
      </c>
      <c r="C309" s="148" t="str">
        <f>IF('5 yr'!E312=0,"",'5 yr'!E312)</f>
        <v/>
      </c>
      <c r="D309" s="149" t="str">
        <f>IF('5 yr'!I312=0,"",'5 yr'!I312)</f>
        <v/>
      </c>
      <c r="E309" s="150" t="str">
        <f>IFERROR(IF('5 yr'!AF312=0,"",'5 yr'!AF312),"")</f>
        <v/>
      </c>
      <c r="F309" s="150" t="str">
        <f>IFERROR(IF('5 yr'!AH312=0,"",'5 yr'!AH312),"")</f>
        <v/>
      </c>
      <c r="G309" s="156" t="str">
        <f>IFERROR(IF('5 yr'!AI312=0,"",'5 yr'!AI312),"")</f>
        <v/>
      </c>
    </row>
    <row r="310" spans="1:7">
      <c r="A310" s="149" t="str">
        <f>IF('5 yr'!A313=0,"",'5 yr'!A313)</f>
        <v/>
      </c>
      <c r="B310" s="147" t="str">
        <f>IF('5 yr'!B313=0,"",'5 yr'!B313)</f>
        <v/>
      </c>
      <c r="C310" s="148" t="str">
        <f>IF('5 yr'!E313=0,"",'5 yr'!E313)</f>
        <v/>
      </c>
      <c r="D310" s="149" t="str">
        <f>IF('5 yr'!I313=0,"",'5 yr'!I313)</f>
        <v/>
      </c>
      <c r="E310" s="150" t="str">
        <f>IFERROR(IF('5 yr'!AF313=0,"",'5 yr'!AF313),"")</f>
        <v/>
      </c>
      <c r="F310" s="150" t="str">
        <f>IFERROR(IF('5 yr'!AH313=0,"",'5 yr'!AH313),"")</f>
        <v/>
      </c>
      <c r="G310" s="156" t="str">
        <f>IFERROR(IF('5 yr'!AI313=0,"",'5 yr'!AI313),"")</f>
        <v/>
      </c>
    </row>
    <row r="311" spans="1:7">
      <c r="A311" s="149" t="str">
        <f>IF('5 yr'!A314=0,"",'5 yr'!A314)</f>
        <v/>
      </c>
      <c r="B311" s="147" t="str">
        <f>IF('5 yr'!B314=0,"",'5 yr'!B314)</f>
        <v/>
      </c>
      <c r="C311" s="148" t="str">
        <f>IF('5 yr'!E314=0,"",'5 yr'!E314)</f>
        <v/>
      </c>
      <c r="D311" s="149" t="str">
        <f>IF('5 yr'!I314=0,"",'5 yr'!I314)</f>
        <v/>
      </c>
      <c r="E311" s="150" t="str">
        <f>IFERROR(IF('5 yr'!AF314=0,"",'5 yr'!AF314),"")</f>
        <v/>
      </c>
      <c r="F311" s="150" t="str">
        <f>IFERROR(IF('5 yr'!AH314=0,"",'5 yr'!AH314),"")</f>
        <v/>
      </c>
      <c r="G311" s="156" t="str">
        <f>IFERROR(IF('5 yr'!AI314=0,"",'5 yr'!AI314),"")</f>
        <v/>
      </c>
    </row>
    <row r="312" spans="1:7">
      <c r="A312" s="149" t="str">
        <f>IF('5 yr'!A315=0,"",'5 yr'!A315)</f>
        <v/>
      </c>
      <c r="B312" s="147" t="str">
        <f>IF('5 yr'!B315=0,"",'5 yr'!B315)</f>
        <v/>
      </c>
      <c r="C312" s="148" t="str">
        <f>IF('5 yr'!E315=0,"",'5 yr'!E315)</f>
        <v/>
      </c>
      <c r="D312" s="149" t="str">
        <f>IF('5 yr'!I315=0,"",'5 yr'!I315)</f>
        <v/>
      </c>
      <c r="E312" s="150" t="str">
        <f>IFERROR(IF('5 yr'!AF315=0,"",'5 yr'!AF315),"")</f>
        <v/>
      </c>
      <c r="F312" s="150" t="str">
        <f>IFERROR(IF('5 yr'!AH315=0,"",'5 yr'!AH315),"")</f>
        <v/>
      </c>
      <c r="G312" s="156" t="str">
        <f>IFERROR(IF('5 yr'!AI315=0,"",'5 yr'!AI315),"")</f>
        <v/>
      </c>
    </row>
    <row r="313" spans="1:7">
      <c r="A313" s="149" t="str">
        <f>IF('5 yr'!A316=0,"",'5 yr'!A316)</f>
        <v/>
      </c>
      <c r="B313" s="147" t="str">
        <f>IF('5 yr'!B316=0,"",'5 yr'!B316)</f>
        <v/>
      </c>
      <c r="C313" s="148" t="str">
        <f>IF('5 yr'!E316=0,"",'5 yr'!E316)</f>
        <v/>
      </c>
      <c r="D313" s="149" t="str">
        <f>IF('5 yr'!I316=0,"",'5 yr'!I316)</f>
        <v/>
      </c>
      <c r="E313" s="150" t="str">
        <f>IFERROR(IF('5 yr'!AF316=0,"",'5 yr'!AF316),"")</f>
        <v/>
      </c>
      <c r="F313" s="150" t="str">
        <f>IFERROR(IF('5 yr'!AH316=0,"",'5 yr'!AH316),"")</f>
        <v/>
      </c>
      <c r="G313" s="156" t="str">
        <f>IFERROR(IF('5 yr'!AI316=0,"",'5 yr'!AI316),"")</f>
        <v/>
      </c>
    </row>
    <row r="314" spans="1:7">
      <c r="A314" s="149" t="str">
        <f>IF('5 yr'!A317=0,"",'5 yr'!A317)</f>
        <v/>
      </c>
      <c r="B314" s="147" t="str">
        <f>IF('5 yr'!B317=0,"",'5 yr'!B317)</f>
        <v/>
      </c>
      <c r="C314" s="148" t="str">
        <f>IF('5 yr'!E317=0,"",'5 yr'!E317)</f>
        <v/>
      </c>
      <c r="D314" s="149" t="str">
        <f>IF('5 yr'!I317=0,"",'5 yr'!I317)</f>
        <v/>
      </c>
      <c r="E314" s="150" t="str">
        <f>IFERROR(IF('5 yr'!AF317=0,"",'5 yr'!AF317),"")</f>
        <v/>
      </c>
      <c r="F314" s="150" t="str">
        <f>IFERROR(IF('5 yr'!AH317=0,"",'5 yr'!AH317),"")</f>
        <v/>
      </c>
      <c r="G314" s="156" t="str">
        <f>IFERROR(IF('5 yr'!AI317=0,"",'5 yr'!AI317),"")</f>
        <v/>
      </c>
    </row>
    <row r="315" spans="1:7">
      <c r="A315" s="149" t="str">
        <f>IF('5 yr'!A318=0,"",'5 yr'!A318)</f>
        <v/>
      </c>
      <c r="B315" s="147" t="str">
        <f>IF('5 yr'!B318=0,"",'5 yr'!B318)</f>
        <v/>
      </c>
      <c r="C315" s="148" t="str">
        <f>IF('5 yr'!E318=0,"",'5 yr'!E318)</f>
        <v/>
      </c>
      <c r="D315" s="149" t="str">
        <f>IF('5 yr'!I318=0,"",'5 yr'!I318)</f>
        <v/>
      </c>
      <c r="E315" s="150" t="str">
        <f>IFERROR(IF('5 yr'!AF318=0,"",'5 yr'!AF318),"")</f>
        <v/>
      </c>
      <c r="F315" s="150" t="str">
        <f>IFERROR(IF('5 yr'!AH318=0,"",'5 yr'!AH318),"")</f>
        <v/>
      </c>
      <c r="G315" s="156" t="str">
        <f>IFERROR(IF('5 yr'!AI318=0,"",'5 yr'!AI318),"")</f>
        <v/>
      </c>
    </row>
    <row r="316" spans="1:7">
      <c r="A316" s="149" t="str">
        <f>IF('5 yr'!A319=0,"",'5 yr'!A319)</f>
        <v/>
      </c>
      <c r="B316" s="147" t="str">
        <f>IF('5 yr'!B319=0,"",'5 yr'!B319)</f>
        <v/>
      </c>
      <c r="C316" s="148" t="str">
        <f>IF('5 yr'!E319=0,"",'5 yr'!E319)</f>
        <v/>
      </c>
      <c r="D316" s="149" t="str">
        <f>IF('5 yr'!I319=0,"",'5 yr'!I319)</f>
        <v/>
      </c>
      <c r="E316" s="150" t="str">
        <f>IFERROR(IF('5 yr'!AF319=0,"",'5 yr'!AF319),"")</f>
        <v/>
      </c>
      <c r="F316" s="150" t="str">
        <f>IFERROR(IF('5 yr'!AH319=0,"",'5 yr'!AH319),"")</f>
        <v/>
      </c>
      <c r="G316" s="156" t="str">
        <f>IFERROR(IF('5 yr'!AI319=0,"",'5 yr'!AI319),"")</f>
        <v/>
      </c>
    </row>
    <row r="317" spans="1:7">
      <c r="A317" s="149" t="str">
        <f>IF('5 yr'!A320=0,"",'5 yr'!A320)</f>
        <v/>
      </c>
      <c r="B317" s="147" t="str">
        <f>IF('5 yr'!B320=0,"",'5 yr'!B320)</f>
        <v/>
      </c>
      <c r="C317" s="148" t="str">
        <f>IF('5 yr'!E320=0,"",'5 yr'!E320)</f>
        <v/>
      </c>
      <c r="D317" s="149" t="str">
        <f>IF('5 yr'!I320=0,"",'5 yr'!I320)</f>
        <v/>
      </c>
      <c r="E317" s="150" t="str">
        <f>IFERROR(IF('5 yr'!AF320=0,"",'5 yr'!AF320),"")</f>
        <v/>
      </c>
      <c r="F317" s="150" t="str">
        <f>IFERROR(IF('5 yr'!AH320=0,"",'5 yr'!AH320),"")</f>
        <v/>
      </c>
      <c r="G317" s="156" t="str">
        <f>IFERROR(IF('5 yr'!AI320=0,"",'5 yr'!AI320),"")</f>
        <v/>
      </c>
    </row>
    <row r="318" spans="1:7">
      <c r="A318" s="149" t="str">
        <f>IF('5 yr'!A321=0,"",'5 yr'!A321)</f>
        <v/>
      </c>
      <c r="B318" s="147" t="str">
        <f>IF('5 yr'!B321=0,"",'5 yr'!B321)</f>
        <v/>
      </c>
      <c r="C318" s="148" t="str">
        <f>IF('5 yr'!E321=0,"",'5 yr'!E321)</f>
        <v/>
      </c>
      <c r="D318" s="149" t="str">
        <f>IF('5 yr'!I321=0,"",'5 yr'!I321)</f>
        <v/>
      </c>
      <c r="E318" s="150" t="str">
        <f>IFERROR(IF('5 yr'!AF321=0,"",'5 yr'!AF321),"")</f>
        <v/>
      </c>
      <c r="F318" s="150" t="str">
        <f>IFERROR(IF('5 yr'!AH321=0,"",'5 yr'!AH321),"")</f>
        <v/>
      </c>
      <c r="G318" s="156" t="str">
        <f>IFERROR(IF('5 yr'!AI321=0,"",'5 yr'!AI321),"")</f>
        <v/>
      </c>
    </row>
    <row r="319" spans="1:7">
      <c r="A319" s="149" t="str">
        <f>IF('5 yr'!A322=0,"",'5 yr'!A322)</f>
        <v/>
      </c>
      <c r="B319" s="147" t="str">
        <f>IF('5 yr'!B322=0,"",'5 yr'!B322)</f>
        <v/>
      </c>
      <c r="C319" s="148" t="str">
        <f>IF('5 yr'!E322=0,"",'5 yr'!E322)</f>
        <v/>
      </c>
      <c r="D319" s="149" t="str">
        <f>IF('5 yr'!I322=0,"",'5 yr'!I322)</f>
        <v/>
      </c>
      <c r="E319" s="150" t="str">
        <f>IFERROR(IF('5 yr'!AF322=0,"",'5 yr'!AF322),"")</f>
        <v/>
      </c>
      <c r="F319" s="150" t="str">
        <f>IFERROR(IF('5 yr'!AH322=0,"",'5 yr'!AH322),"")</f>
        <v/>
      </c>
      <c r="G319" s="156" t="str">
        <f>IFERROR(IF('5 yr'!AI322=0,"",'5 yr'!AI322),"")</f>
        <v/>
      </c>
    </row>
    <row r="320" spans="1:7">
      <c r="A320" s="149" t="str">
        <f>IF('5 yr'!A323=0,"",'5 yr'!A323)</f>
        <v/>
      </c>
      <c r="B320" s="147" t="str">
        <f>IF('5 yr'!B323=0,"",'5 yr'!B323)</f>
        <v/>
      </c>
      <c r="C320" s="148" t="str">
        <f>IF('5 yr'!E323=0,"",'5 yr'!E323)</f>
        <v/>
      </c>
      <c r="D320" s="149" t="str">
        <f>IF('5 yr'!I323=0,"",'5 yr'!I323)</f>
        <v/>
      </c>
      <c r="E320" s="150" t="str">
        <f>IFERROR(IF('5 yr'!AF323=0,"",'5 yr'!AF323),"")</f>
        <v/>
      </c>
      <c r="F320" s="150" t="str">
        <f>IFERROR(IF('5 yr'!AH323=0,"",'5 yr'!AH323),"")</f>
        <v/>
      </c>
      <c r="G320" s="156" t="str">
        <f>IFERROR(IF('5 yr'!AI323=0,"",'5 yr'!AI323),"")</f>
        <v/>
      </c>
    </row>
    <row r="321" spans="1:7">
      <c r="A321" s="149" t="str">
        <f>IF('5 yr'!A324=0,"",'5 yr'!A324)</f>
        <v/>
      </c>
      <c r="B321" s="147" t="str">
        <f>IF('5 yr'!B324=0,"",'5 yr'!B324)</f>
        <v/>
      </c>
      <c r="C321" s="148" t="str">
        <f>IF('5 yr'!E324=0,"",'5 yr'!E324)</f>
        <v/>
      </c>
      <c r="D321" s="149" t="str">
        <f>IF('5 yr'!I324=0,"",'5 yr'!I324)</f>
        <v/>
      </c>
      <c r="E321" s="150" t="str">
        <f>IFERROR(IF('5 yr'!AF324=0,"",'5 yr'!AF324),"")</f>
        <v/>
      </c>
      <c r="F321" s="150" t="str">
        <f>IFERROR(IF('5 yr'!AH324=0,"",'5 yr'!AH324),"")</f>
        <v/>
      </c>
      <c r="G321" s="156" t="str">
        <f>IFERROR(IF('5 yr'!AI324=0,"",'5 yr'!AI324),"")</f>
        <v/>
      </c>
    </row>
    <row r="322" spans="1:7">
      <c r="A322" s="149" t="str">
        <f>IF('5 yr'!A325=0,"",'5 yr'!A325)</f>
        <v/>
      </c>
      <c r="B322" s="147" t="str">
        <f>IF('5 yr'!B325=0,"",'5 yr'!B325)</f>
        <v/>
      </c>
      <c r="C322" s="148" t="str">
        <f>IF('5 yr'!E325=0,"",'5 yr'!E325)</f>
        <v/>
      </c>
      <c r="D322" s="149" t="str">
        <f>IF('5 yr'!I325=0,"",'5 yr'!I325)</f>
        <v/>
      </c>
      <c r="E322" s="150" t="str">
        <f>IFERROR(IF('5 yr'!AF325=0,"",'5 yr'!AF325),"")</f>
        <v/>
      </c>
      <c r="F322" s="150" t="str">
        <f>IFERROR(IF('5 yr'!AH325=0,"",'5 yr'!AH325),"")</f>
        <v/>
      </c>
      <c r="G322" s="156" t="str">
        <f>IFERROR(IF('5 yr'!AI325=0,"",'5 yr'!AI325),"")</f>
        <v/>
      </c>
    </row>
    <row r="323" spans="1:7">
      <c r="A323" s="149" t="str">
        <f>IF('5 yr'!A326=0,"",'5 yr'!A326)</f>
        <v/>
      </c>
      <c r="B323" s="147" t="str">
        <f>IF('5 yr'!B326=0,"",'5 yr'!B326)</f>
        <v/>
      </c>
      <c r="C323" s="148" t="str">
        <f>IF('5 yr'!E326=0,"",'5 yr'!E326)</f>
        <v/>
      </c>
      <c r="D323" s="149" t="str">
        <f>IF('5 yr'!I326=0,"",'5 yr'!I326)</f>
        <v/>
      </c>
      <c r="E323" s="150" t="str">
        <f>IFERROR(IF('5 yr'!AF326=0,"",'5 yr'!AF326),"")</f>
        <v/>
      </c>
      <c r="F323" s="150" t="str">
        <f>IFERROR(IF('5 yr'!AH326=0,"",'5 yr'!AH326),"")</f>
        <v/>
      </c>
      <c r="G323" s="156" t="str">
        <f>IFERROR(IF('5 yr'!AI326=0,"",'5 yr'!AI326),"")</f>
        <v/>
      </c>
    </row>
    <row r="324" spans="1:7">
      <c r="A324" s="149" t="str">
        <f>IF('5 yr'!A327=0,"",'5 yr'!A327)</f>
        <v/>
      </c>
      <c r="B324" s="147" t="str">
        <f>IF('5 yr'!B327=0,"",'5 yr'!B327)</f>
        <v/>
      </c>
      <c r="C324" s="148" t="str">
        <f>IF('5 yr'!E327=0,"",'5 yr'!E327)</f>
        <v/>
      </c>
      <c r="D324" s="149" t="str">
        <f>IF('5 yr'!I327=0,"",'5 yr'!I327)</f>
        <v/>
      </c>
      <c r="E324" s="150" t="str">
        <f>IFERROR(IF('5 yr'!AF327=0,"",'5 yr'!AF327),"")</f>
        <v/>
      </c>
      <c r="F324" s="150" t="str">
        <f>IFERROR(IF('5 yr'!AH327=0,"",'5 yr'!AH327),"")</f>
        <v/>
      </c>
      <c r="G324" s="156" t="str">
        <f>IFERROR(IF('5 yr'!AI327=0,"",'5 yr'!AI327),"")</f>
        <v/>
      </c>
    </row>
    <row r="325" spans="1:7">
      <c r="A325" s="149" t="str">
        <f>IF('5 yr'!A328=0,"",'5 yr'!A328)</f>
        <v/>
      </c>
      <c r="B325" s="147" t="str">
        <f>IF('5 yr'!B328=0,"",'5 yr'!B328)</f>
        <v/>
      </c>
      <c r="C325" s="148" t="str">
        <f>IF('5 yr'!E328=0,"",'5 yr'!E328)</f>
        <v/>
      </c>
      <c r="D325" s="149" t="str">
        <f>IF('5 yr'!I328=0,"",'5 yr'!I328)</f>
        <v/>
      </c>
      <c r="E325" s="150" t="str">
        <f>IFERROR(IF('5 yr'!AF328=0,"",'5 yr'!AF328),"")</f>
        <v/>
      </c>
      <c r="F325" s="150" t="str">
        <f>IFERROR(IF('5 yr'!AH328=0,"",'5 yr'!AH328),"")</f>
        <v/>
      </c>
      <c r="G325" s="156" t="str">
        <f>IFERROR(IF('5 yr'!AI328=0,"",'5 yr'!AI328),"")</f>
        <v/>
      </c>
    </row>
    <row r="326" spans="1:7">
      <c r="A326" s="149" t="str">
        <f>IF('5 yr'!A329=0,"",'5 yr'!A329)</f>
        <v/>
      </c>
      <c r="B326" s="147" t="str">
        <f>IF('5 yr'!B329=0,"",'5 yr'!B329)</f>
        <v/>
      </c>
      <c r="C326" s="148" t="str">
        <f>IF('5 yr'!E329=0,"",'5 yr'!E329)</f>
        <v/>
      </c>
      <c r="D326" s="149" t="str">
        <f>IF('5 yr'!I329=0,"",'5 yr'!I329)</f>
        <v/>
      </c>
      <c r="E326" s="150" t="str">
        <f>IFERROR(IF('5 yr'!AF329=0,"",'5 yr'!AF329),"")</f>
        <v/>
      </c>
      <c r="F326" s="150" t="str">
        <f>IFERROR(IF('5 yr'!AH329=0,"",'5 yr'!AH329),"")</f>
        <v/>
      </c>
      <c r="G326" s="156" t="str">
        <f>IFERROR(IF('5 yr'!AI329=0,"",'5 yr'!AI329),"")</f>
        <v/>
      </c>
    </row>
    <row r="327" spans="1:7">
      <c r="A327" s="149" t="str">
        <f>IF('5 yr'!A330=0,"",'5 yr'!A330)</f>
        <v/>
      </c>
      <c r="B327" s="147" t="str">
        <f>IF('5 yr'!B330=0,"",'5 yr'!B330)</f>
        <v/>
      </c>
      <c r="C327" s="148" t="str">
        <f>IF('5 yr'!E330=0,"",'5 yr'!E330)</f>
        <v/>
      </c>
      <c r="D327" s="149" t="str">
        <f>IF('5 yr'!I330=0,"",'5 yr'!I330)</f>
        <v/>
      </c>
      <c r="E327" s="150" t="str">
        <f>IFERROR(IF('5 yr'!AF330=0,"",'5 yr'!AF330),"")</f>
        <v/>
      </c>
      <c r="F327" s="150" t="str">
        <f>IFERROR(IF('5 yr'!AH330=0,"",'5 yr'!AH330),"")</f>
        <v/>
      </c>
      <c r="G327" s="156" t="str">
        <f>IFERROR(IF('5 yr'!AI330=0,"",'5 yr'!AI330),"")</f>
        <v/>
      </c>
    </row>
    <row r="328" spans="1:7">
      <c r="A328" s="149" t="str">
        <f>IF('5 yr'!A331=0,"",'5 yr'!A331)</f>
        <v/>
      </c>
      <c r="B328" s="147" t="str">
        <f>IF('5 yr'!B331=0,"",'5 yr'!B331)</f>
        <v/>
      </c>
      <c r="C328" s="148" t="str">
        <f>IF('5 yr'!E331=0,"",'5 yr'!E331)</f>
        <v/>
      </c>
      <c r="D328" s="149" t="str">
        <f>IF('5 yr'!I331=0,"",'5 yr'!I331)</f>
        <v/>
      </c>
      <c r="E328" s="150" t="str">
        <f>IFERROR(IF('5 yr'!AF331=0,"",'5 yr'!AF331),"")</f>
        <v/>
      </c>
      <c r="F328" s="150" t="str">
        <f>IFERROR(IF('5 yr'!AH331=0,"",'5 yr'!AH331),"")</f>
        <v/>
      </c>
      <c r="G328" s="156" t="str">
        <f>IFERROR(IF('5 yr'!AI331=0,"",'5 yr'!AI331),"")</f>
        <v/>
      </c>
    </row>
    <row r="329" spans="1:7">
      <c r="A329" s="149" t="str">
        <f>IF('5 yr'!A332=0,"",'5 yr'!A332)</f>
        <v/>
      </c>
      <c r="B329" s="147" t="str">
        <f>IF('5 yr'!B332=0,"",'5 yr'!B332)</f>
        <v/>
      </c>
      <c r="C329" s="148" t="str">
        <f>IF('5 yr'!E332=0,"",'5 yr'!E332)</f>
        <v/>
      </c>
      <c r="D329" s="149" t="str">
        <f>IF('5 yr'!I332=0,"",'5 yr'!I332)</f>
        <v/>
      </c>
      <c r="E329" s="150" t="str">
        <f>IFERROR(IF('5 yr'!AF332=0,"",'5 yr'!AF332),"")</f>
        <v/>
      </c>
      <c r="F329" s="150" t="str">
        <f>IFERROR(IF('5 yr'!AH332=0,"",'5 yr'!AH332),"")</f>
        <v/>
      </c>
      <c r="G329" s="156" t="str">
        <f>IFERROR(IF('5 yr'!AI332=0,"",'5 yr'!AI332),"")</f>
        <v/>
      </c>
    </row>
    <row r="330" spans="1:7">
      <c r="A330" s="149" t="str">
        <f>IF('5 yr'!A333=0,"",'5 yr'!A333)</f>
        <v/>
      </c>
      <c r="B330" s="147" t="str">
        <f>IF('5 yr'!B333=0,"",'5 yr'!B333)</f>
        <v/>
      </c>
      <c r="C330" s="148" t="str">
        <f>IF('5 yr'!E333=0,"",'5 yr'!E333)</f>
        <v/>
      </c>
      <c r="D330" s="149" t="str">
        <f>IF('5 yr'!I333=0,"",'5 yr'!I333)</f>
        <v/>
      </c>
      <c r="E330" s="150" t="str">
        <f>IFERROR(IF('5 yr'!AF333=0,"",'5 yr'!AF333),"")</f>
        <v/>
      </c>
      <c r="F330" s="150" t="str">
        <f>IFERROR(IF('5 yr'!AH333=0,"",'5 yr'!AH333),"")</f>
        <v/>
      </c>
      <c r="G330" s="156" t="str">
        <f>IFERROR(IF('5 yr'!AI333=0,"",'5 yr'!AI333),"")</f>
        <v/>
      </c>
    </row>
    <row r="331" spans="1:7">
      <c r="A331" s="149" t="str">
        <f>IF('5 yr'!A334=0,"",'5 yr'!A334)</f>
        <v/>
      </c>
      <c r="B331" s="147" t="str">
        <f>IF('5 yr'!B334=0,"",'5 yr'!B334)</f>
        <v/>
      </c>
      <c r="C331" s="148" t="str">
        <f>IF('5 yr'!E334=0,"",'5 yr'!E334)</f>
        <v/>
      </c>
      <c r="D331" s="149" t="str">
        <f>IF('5 yr'!I334=0,"",'5 yr'!I334)</f>
        <v/>
      </c>
      <c r="E331" s="150" t="str">
        <f>IFERROR(IF('5 yr'!AF334=0,"",'5 yr'!AF334),"")</f>
        <v/>
      </c>
      <c r="F331" s="150" t="str">
        <f>IFERROR(IF('5 yr'!AH334=0,"",'5 yr'!AH334),"")</f>
        <v/>
      </c>
      <c r="G331" s="156" t="str">
        <f>IFERROR(IF('5 yr'!AI334=0,"",'5 yr'!AI334),"")</f>
        <v/>
      </c>
    </row>
    <row r="332" spans="1:7">
      <c r="A332" s="149" t="str">
        <f>IF('5 yr'!A335=0,"",'5 yr'!A335)</f>
        <v/>
      </c>
      <c r="B332" s="147" t="str">
        <f>IF('5 yr'!B335=0,"",'5 yr'!B335)</f>
        <v/>
      </c>
      <c r="C332" s="148" t="str">
        <f>IF('5 yr'!E335=0,"",'5 yr'!E335)</f>
        <v/>
      </c>
      <c r="D332" s="149" t="str">
        <f>IF('5 yr'!I335=0,"",'5 yr'!I335)</f>
        <v/>
      </c>
      <c r="E332" s="150" t="str">
        <f>IFERROR(IF('5 yr'!AF335=0,"",'5 yr'!AF335),"")</f>
        <v/>
      </c>
      <c r="F332" s="150" t="str">
        <f>IFERROR(IF('5 yr'!AH335=0,"",'5 yr'!AH335),"")</f>
        <v/>
      </c>
      <c r="G332" s="156" t="str">
        <f>IFERROR(IF('5 yr'!AI335=0,"",'5 yr'!AI335),"")</f>
        <v/>
      </c>
    </row>
    <row r="333" spans="1:7">
      <c r="A333" s="149" t="str">
        <f>IF('5 yr'!A336=0,"",'5 yr'!A336)</f>
        <v/>
      </c>
      <c r="B333" s="147" t="str">
        <f>IF('5 yr'!B336=0,"",'5 yr'!B336)</f>
        <v/>
      </c>
      <c r="C333" s="148" t="str">
        <f>IF('5 yr'!E336=0,"",'5 yr'!E336)</f>
        <v/>
      </c>
      <c r="D333" s="149" t="str">
        <f>IF('5 yr'!I336=0,"",'5 yr'!I336)</f>
        <v/>
      </c>
      <c r="E333" s="150" t="str">
        <f>IFERROR(IF('5 yr'!AF336=0,"",'5 yr'!AF336),"")</f>
        <v/>
      </c>
      <c r="F333" s="150" t="str">
        <f>IFERROR(IF('5 yr'!AH336=0,"",'5 yr'!AH336),"")</f>
        <v/>
      </c>
      <c r="G333" s="156" t="str">
        <f>IFERROR(IF('5 yr'!AI336=0,"",'5 yr'!AI336),"")</f>
        <v/>
      </c>
    </row>
    <row r="334" spans="1:7">
      <c r="A334" s="149" t="str">
        <f>IF('5 yr'!A337=0,"",'5 yr'!A337)</f>
        <v/>
      </c>
      <c r="B334" s="147" t="str">
        <f>IF('5 yr'!B337=0,"",'5 yr'!B337)</f>
        <v/>
      </c>
      <c r="C334" s="148" t="str">
        <f>IF('5 yr'!E337=0,"",'5 yr'!E337)</f>
        <v/>
      </c>
      <c r="D334" s="149" t="str">
        <f>IF('5 yr'!I337=0,"",'5 yr'!I337)</f>
        <v/>
      </c>
      <c r="E334" s="150" t="str">
        <f>IFERROR(IF('5 yr'!AF337=0,"",'5 yr'!AF337),"")</f>
        <v/>
      </c>
      <c r="F334" s="150" t="str">
        <f>IFERROR(IF('5 yr'!AH337=0,"",'5 yr'!AH337),"")</f>
        <v/>
      </c>
      <c r="G334" s="156" t="str">
        <f>IFERROR(IF('5 yr'!AI337=0,"",'5 yr'!AI337),"")</f>
        <v/>
      </c>
    </row>
    <row r="335" spans="1:7">
      <c r="A335" s="149" t="str">
        <f>IF('5 yr'!A338=0,"",'5 yr'!A338)</f>
        <v/>
      </c>
      <c r="B335" s="147" t="str">
        <f>IF('5 yr'!B338=0,"",'5 yr'!B338)</f>
        <v/>
      </c>
      <c r="C335" s="148" t="str">
        <f>IF('5 yr'!E338=0,"",'5 yr'!E338)</f>
        <v/>
      </c>
      <c r="D335" s="149" t="str">
        <f>IF('5 yr'!I338=0,"",'5 yr'!I338)</f>
        <v/>
      </c>
      <c r="E335" s="150" t="str">
        <f>IFERROR(IF('5 yr'!AF338=0,"",'5 yr'!AF338),"")</f>
        <v/>
      </c>
      <c r="F335" s="150" t="str">
        <f>IFERROR(IF('5 yr'!AH338=0,"",'5 yr'!AH338),"")</f>
        <v/>
      </c>
      <c r="G335" s="156" t="str">
        <f>IFERROR(IF('5 yr'!AI338=0,"",'5 yr'!AI338),"")</f>
        <v/>
      </c>
    </row>
    <row r="336" spans="1:7">
      <c r="A336" s="149" t="str">
        <f>IF('5 yr'!A339=0,"",'5 yr'!A339)</f>
        <v/>
      </c>
      <c r="B336" s="147" t="str">
        <f>IF('5 yr'!B339=0,"",'5 yr'!B339)</f>
        <v/>
      </c>
      <c r="C336" s="148" t="str">
        <f>IF('5 yr'!E339=0,"",'5 yr'!E339)</f>
        <v/>
      </c>
      <c r="D336" s="149" t="str">
        <f>IF('5 yr'!I339=0,"",'5 yr'!I339)</f>
        <v/>
      </c>
      <c r="E336" s="150" t="str">
        <f>IFERROR(IF('5 yr'!AF339=0,"",'5 yr'!AF339),"")</f>
        <v/>
      </c>
      <c r="F336" s="150" t="str">
        <f>IFERROR(IF('5 yr'!AH339=0,"",'5 yr'!AH339),"")</f>
        <v/>
      </c>
      <c r="G336" s="156" t="str">
        <f>IFERROR(IF('5 yr'!AI339=0,"",'5 yr'!AI339),"")</f>
        <v/>
      </c>
    </row>
    <row r="337" spans="1:7">
      <c r="A337" s="149" t="str">
        <f>IF('5 yr'!A340=0,"",'5 yr'!A340)</f>
        <v/>
      </c>
      <c r="B337" s="147" t="str">
        <f>IF('5 yr'!B340=0,"",'5 yr'!B340)</f>
        <v/>
      </c>
      <c r="C337" s="148" t="str">
        <f>IF('5 yr'!E340=0,"",'5 yr'!E340)</f>
        <v/>
      </c>
      <c r="D337" s="149" t="str">
        <f>IF('5 yr'!I340=0,"",'5 yr'!I340)</f>
        <v/>
      </c>
      <c r="E337" s="150" t="str">
        <f>IFERROR(IF('5 yr'!AF340=0,"",'5 yr'!AF340),"")</f>
        <v/>
      </c>
      <c r="F337" s="150" t="str">
        <f>IFERROR(IF('5 yr'!AH340=0,"",'5 yr'!AH340),"")</f>
        <v/>
      </c>
      <c r="G337" s="156" t="str">
        <f>IFERROR(IF('5 yr'!AI340=0,"",'5 yr'!AI340),"")</f>
        <v/>
      </c>
    </row>
    <row r="338" spans="1:7">
      <c r="A338" s="149" t="str">
        <f>IF('5 yr'!A341=0,"",'5 yr'!A341)</f>
        <v/>
      </c>
      <c r="B338" s="147" t="str">
        <f>IF('5 yr'!B341=0,"",'5 yr'!B341)</f>
        <v/>
      </c>
      <c r="C338" s="148" t="str">
        <f>IF('5 yr'!E341=0,"",'5 yr'!E341)</f>
        <v/>
      </c>
      <c r="D338" s="149" t="str">
        <f>IF('5 yr'!I341=0,"",'5 yr'!I341)</f>
        <v/>
      </c>
      <c r="E338" s="150" t="str">
        <f>IFERROR(IF('5 yr'!AF341=0,"",'5 yr'!AF341),"")</f>
        <v/>
      </c>
      <c r="F338" s="150" t="str">
        <f>IFERROR(IF('5 yr'!AH341=0,"",'5 yr'!AH341),"")</f>
        <v/>
      </c>
      <c r="G338" s="156" t="str">
        <f>IFERROR(IF('5 yr'!AI341=0,"",'5 yr'!AI341),"")</f>
        <v/>
      </c>
    </row>
    <row r="339" spans="1:7">
      <c r="A339" s="149" t="str">
        <f>IF('5 yr'!A342=0,"",'5 yr'!A342)</f>
        <v/>
      </c>
      <c r="B339" s="147" t="str">
        <f>IF('5 yr'!B342=0,"",'5 yr'!B342)</f>
        <v/>
      </c>
      <c r="C339" s="148" t="str">
        <f>IF('5 yr'!E342=0,"",'5 yr'!E342)</f>
        <v/>
      </c>
      <c r="D339" s="149" t="str">
        <f>IF('5 yr'!I342=0,"",'5 yr'!I342)</f>
        <v/>
      </c>
      <c r="E339" s="150" t="str">
        <f>IFERROR(IF('5 yr'!AF342=0,"",'5 yr'!AF342),"")</f>
        <v/>
      </c>
      <c r="F339" s="150" t="str">
        <f>IFERROR(IF('5 yr'!AH342=0,"",'5 yr'!AH342),"")</f>
        <v/>
      </c>
      <c r="G339" s="156" t="str">
        <f>IFERROR(IF('5 yr'!AI342=0,"",'5 yr'!AI342),"")</f>
        <v/>
      </c>
    </row>
    <row r="340" spans="1:7">
      <c r="A340" s="149" t="str">
        <f>IF('5 yr'!A343=0,"",'5 yr'!A343)</f>
        <v/>
      </c>
      <c r="B340" s="147" t="str">
        <f>IF('5 yr'!B343=0,"",'5 yr'!B343)</f>
        <v/>
      </c>
      <c r="C340" s="148" t="str">
        <f>IF('5 yr'!E343=0,"",'5 yr'!E343)</f>
        <v/>
      </c>
      <c r="D340" s="149" t="str">
        <f>IF('5 yr'!I343=0,"",'5 yr'!I343)</f>
        <v/>
      </c>
      <c r="E340" s="150" t="str">
        <f>IFERROR(IF('5 yr'!AF343=0,"",'5 yr'!AF343),"")</f>
        <v/>
      </c>
      <c r="F340" s="150" t="str">
        <f>IFERROR(IF('5 yr'!AH343=0,"",'5 yr'!AH343),"")</f>
        <v/>
      </c>
      <c r="G340" s="156" t="str">
        <f>IFERROR(IF('5 yr'!AI343=0,"",'5 yr'!AI343),"")</f>
        <v/>
      </c>
    </row>
    <row r="341" spans="1:7">
      <c r="A341" s="149" t="str">
        <f>IF('5 yr'!A344=0,"",'5 yr'!A344)</f>
        <v/>
      </c>
      <c r="B341" s="147" t="str">
        <f>IF('5 yr'!B344=0,"",'5 yr'!B344)</f>
        <v/>
      </c>
      <c r="C341" s="148" t="str">
        <f>IF('5 yr'!E344=0,"",'5 yr'!E344)</f>
        <v/>
      </c>
      <c r="D341" s="149" t="str">
        <f>IF('5 yr'!I344=0,"",'5 yr'!I344)</f>
        <v/>
      </c>
      <c r="E341" s="150" t="str">
        <f>IFERROR(IF('5 yr'!AF344=0,"",'5 yr'!AF344),"")</f>
        <v/>
      </c>
      <c r="F341" s="150" t="str">
        <f>IFERROR(IF('5 yr'!AH344=0,"",'5 yr'!AH344),"")</f>
        <v/>
      </c>
      <c r="G341" s="156" t="str">
        <f>IFERROR(IF('5 yr'!AI344=0,"",'5 yr'!AI344),"")</f>
        <v/>
      </c>
    </row>
    <row r="342" spans="1:7">
      <c r="A342" s="149" t="str">
        <f>IF('5 yr'!A345=0,"",'5 yr'!A345)</f>
        <v/>
      </c>
      <c r="B342" s="147" t="str">
        <f>IF('5 yr'!B345=0,"",'5 yr'!B345)</f>
        <v/>
      </c>
      <c r="C342" s="148" t="str">
        <f>IF('5 yr'!E345=0,"",'5 yr'!E345)</f>
        <v/>
      </c>
      <c r="D342" s="149" t="str">
        <f>IF('5 yr'!I345=0,"",'5 yr'!I345)</f>
        <v/>
      </c>
      <c r="E342" s="150" t="str">
        <f>IFERROR(IF('5 yr'!AF345=0,"",'5 yr'!AF345),"")</f>
        <v/>
      </c>
      <c r="F342" s="150" t="str">
        <f>IFERROR(IF('5 yr'!AH345=0,"",'5 yr'!AH345),"")</f>
        <v/>
      </c>
      <c r="G342" s="156" t="str">
        <f>IFERROR(IF('5 yr'!AI345=0,"",'5 yr'!AI345),"")</f>
        <v/>
      </c>
    </row>
    <row r="343" spans="1:7">
      <c r="A343" s="149" t="str">
        <f>IF('5 yr'!A346=0,"",'5 yr'!A346)</f>
        <v/>
      </c>
      <c r="B343" s="147" t="str">
        <f>IF('5 yr'!B346=0,"",'5 yr'!B346)</f>
        <v/>
      </c>
      <c r="C343" s="148" t="str">
        <f>IF('5 yr'!E346=0,"",'5 yr'!E346)</f>
        <v/>
      </c>
      <c r="D343" s="149" t="str">
        <f>IF('5 yr'!I346=0,"",'5 yr'!I346)</f>
        <v/>
      </c>
      <c r="E343" s="150" t="str">
        <f>IFERROR(IF('5 yr'!AF346=0,"",'5 yr'!AF346),"")</f>
        <v/>
      </c>
      <c r="F343" s="150" t="str">
        <f>IFERROR(IF('5 yr'!AH346=0,"",'5 yr'!AH346),"")</f>
        <v/>
      </c>
      <c r="G343" s="156" t="str">
        <f>IFERROR(IF('5 yr'!AI346=0,"",'5 yr'!AI346),"")</f>
        <v/>
      </c>
    </row>
    <row r="344" spans="1:7">
      <c r="A344" s="149" t="str">
        <f>IF('5 yr'!A347=0,"",'5 yr'!A347)</f>
        <v/>
      </c>
      <c r="B344" s="147" t="str">
        <f>IF('5 yr'!B347=0,"",'5 yr'!B347)</f>
        <v/>
      </c>
      <c r="C344" s="148" t="str">
        <f>IF('5 yr'!E347=0,"",'5 yr'!E347)</f>
        <v/>
      </c>
      <c r="D344" s="149" t="str">
        <f>IF('5 yr'!I347=0,"",'5 yr'!I347)</f>
        <v/>
      </c>
      <c r="E344" s="150" t="str">
        <f>IFERROR(IF('5 yr'!AF347=0,"",'5 yr'!AF347),"")</f>
        <v/>
      </c>
      <c r="F344" s="150" t="str">
        <f>IFERROR(IF('5 yr'!AH347=0,"",'5 yr'!AH347),"")</f>
        <v/>
      </c>
      <c r="G344" s="156" t="str">
        <f>IFERROR(IF('5 yr'!AI347=0,"",'5 yr'!AI347),"")</f>
        <v/>
      </c>
    </row>
    <row r="345" spans="1:7">
      <c r="A345" s="149" t="str">
        <f>IF('5 yr'!A348=0,"",'5 yr'!A348)</f>
        <v/>
      </c>
      <c r="B345" s="147" t="str">
        <f>IF('5 yr'!B348=0,"",'5 yr'!B348)</f>
        <v/>
      </c>
      <c r="C345" s="148" t="str">
        <f>IF('5 yr'!E348=0,"",'5 yr'!E348)</f>
        <v/>
      </c>
      <c r="D345" s="149" t="str">
        <f>IF('5 yr'!I348=0,"",'5 yr'!I348)</f>
        <v/>
      </c>
      <c r="E345" s="150" t="str">
        <f>IFERROR(IF('5 yr'!AF348=0,"",'5 yr'!AF348),"")</f>
        <v/>
      </c>
      <c r="F345" s="150" t="str">
        <f>IFERROR(IF('5 yr'!AH348=0,"",'5 yr'!AH348),"")</f>
        <v/>
      </c>
      <c r="G345" s="156" t="str">
        <f>IFERROR(IF('5 yr'!AI348=0,"",'5 yr'!AI348),"")</f>
        <v/>
      </c>
    </row>
    <row r="346" spans="1:7">
      <c r="A346" s="149" t="str">
        <f>IF('5 yr'!A349=0,"",'5 yr'!A349)</f>
        <v/>
      </c>
      <c r="B346" s="147" t="str">
        <f>IF('5 yr'!B349=0,"",'5 yr'!B349)</f>
        <v/>
      </c>
      <c r="C346" s="148" t="str">
        <f>IF('5 yr'!E349=0,"",'5 yr'!E349)</f>
        <v/>
      </c>
      <c r="D346" s="149" t="str">
        <f>IF('5 yr'!I349=0,"",'5 yr'!I349)</f>
        <v/>
      </c>
      <c r="E346" s="150" t="str">
        <f>IFERROR(IF('5 yr'!AF349=0,"",'5 yr'!AF349),"")</f>
        <v/>
      </c>
      <c r="F346" s="150" t="str">
        <f>IFERROR(IF('5 yr'!AH349=0,"",'5 yr'!AH349),"")</f>
        <v/>
      </c>
      <c r="G346" s="156" t="str">
        <f>IFERROR(IF('5 yr'!AI349=0,"",'5 yr'!AI349),"")</f>
        <v/>
      </c>
    </row>
    <row r="347" spans="1:7">
      <c r="A347" s="149" t="str">
        <f>IF('5 yr'!A350=0,"",'5 yr'!A350)</f>
        <v/>
      </c>
      <c r="B347" s="147" t="str">
        <f>IF('5 yr'!B350=0,"",'5 yr'!B350)</f>
        <v/>
      </c>
      <c r="C347" s="148" t="str">
        <f>IF('5 yr'!E350=0,"",'5 yr'!E350)</f>
        <v/>
      </c>
      <c r="D347" s="149" t="str">
        <f>IF('5 yr'!I350=0,"",'5 yr'!I350)</f>
        <v/>
      </c>
      <c r="E347" s="150" t="str">
        <f>IFERROR(IF('5 yr'!AF350=0,"",'5 yr'!AF350),"")</f>
        <v/>
      </c>
      <c r="F347" s="150" t="str">
        <f>IFERROR(IF('5 yr'!AH350=0,"",'5 yr'!AH350),"")</f>
        <v/>
      </c>
      <c r="G347" s="156" t="str">
        <f>IFERROR(IF('5 yr'!AI350=0,"",'5 yr'!AI350),"")</f>
        <v/>
      </c>
    </row>
    <row r="348" spans="1:7">
      <c r="A348" s="149" t="str">
        <f>IF('5 yr'!A351=0,"",'5 yr'!A351)</f>
        <v/>
      </c>
      <c r="B348" s="147" t="str">
        <f>IF('5 yr'!B351=0,"",'5 yr'!B351)</f>
        <v/>
      </c>
      <c r="C348" s="148" t="str">
        <f>IF('5 yr'!E351=0,"",'5 yr'!E351)</f>
        <v/>
      </c>
      <c r="D348" s="149" t="str">
        <f>IF('5 yr'!I351=0,"",'5 yr'!I351)</f>
        <v/>
      </c>
      <c r="E348" s="150" t="str">
        <f>IFERROR(IF('5 yr'!AF351=0,"",'5 yr'!AF351),"")</f>
        <v/>
      </c>
      <c r="F348" s="150" t="str">
        <f>IFERROR(IF('5 yr'!AH351=0,"",'5 yr'!AH351),"")</f>
        <v/>
      </c>
      <c r="G348" s="156" t="str">
        <f>IFERROR(IF('5 yr'!AI351=0,"",'5 yr'!AI351),"")</f>
        <v/>
      </c>
    </row>
    <row r="349" spans="1:7">
      <c r="A349" s="149" t="str">
        <f>IF('5 yr'!A352=0,"",'5 yr'!A352)</f>
        <v/>
      </c>
      <c r="B349" s="147" t="str">
        <f>IF('5 yr'!B352=0,"",'5 yr'!B352)</f>
        <v/>
      </c>
      <c r="C349" s="148" t="str">
        <f>IF('5 yr'!E352=0,"",'5 yr'!E352)</f>
        <v/>
      </c>
      <c r="D349" s="149" t="str">
        <f>IF('5 yr'!I352=0,"",'5 yr'!I352)</f>
        <v/>
      </c>
      <c r="E349" s="150" t="str">
        <f>IFERROR(IF('5 yr'!AF352=0,"",'5 yr'!AF352),"")</f>
        <v/>
      </c>
      <c r="F349" s="150" t="str">
        <f>IFERROR(IF('5 yr'!AH352=0,"",'5 yr'!AH352),"")</f>
        <v/>
      </c>
      <c r="G349" s="156" t="str">
        <f>IFERROR(IF('5 yr'!AI352=0,"",'5 yr'!AI352),"")</f>
        <v/>
      </c>
    </row>
    <row r="350" spans="1:7">
      <c r="A350" s="149" t="str">
        <f>IF('5 yr'!A353=0,"",'5 yr'!A353)</f>
        <v/>
      </c>
      <c r="B350" s="147" t="str">
        <f>IF('5 yr'!B353=0,"",'5 yr'!B353)</f>
        <v/>
      </c>
      <c r="C350" s="148" t="str">
        <f>IF('5 yr'!E353=0,"",'5 yr'!E353)</f>
        <v/>
      </c>
      <c r="D350" s="149" t="str">
        <f>IF('5 yr'!I353=0,"",'5 yr'!I353)</f>
        <v/>
      </c>
      <c r="E350" s="150" t="str">
        <f>IFERROR(IF('5 yr'!AF353=0,"",'5 yr'!AF353),"")</f>
        <v/>
      </c>
      <c r="F350" s="150" t="str">
        <f>IFERROR(IF('5 yr'!AH353=0,"",'5 yr'!AH353),"")</f>
        <v/>
      </c>
      <c r="G350" s="156" t="str">
        <f>IFERROR(IF('5 yr'!AI353=0,"",'5 yr'!AI353),"")</f>
        <v/>
      </c>
    </row>
    <row r="351" spans="1:7">
      <c r="A351" s="149" t="str">
        <f>IF('5 yr'!A354=0,"",'5 yr'!A354)</f>
        <v/>
      </c>
      <c r="B351" s="147" t="str">
        <f>IF('5 yr'!B354=0,"",'5 yr'!B354)</f>
        <v/>
      </c>
      <c r="C351" s="148" t="str">
        <f>IF('5 yr'!E354=0,"",'5 yr'!E354)</f>
        <v/>
      </c>
      <c r="D351" s="149" t="str">
        <f>IF('5 yr'!I354=0,"",'5 yr'!I354)</f>
        <v/>
      </c>
      <c r="E351" s="150" t="str">
        <f>IFERROR(IF('5 yr'!AF354=0,"",'5 yr'!AF354),"")</f>
        <v/>
      </c>
      <c r="F351" s="150" t="str">
        <f>IFERROR(IF('5 yr'!AH354=0,"",'5 yr'!AH354),"")</f>
        <v/>
      </c>
      <c r="G351" s="156" t="str">
        <f>IFERROR(IF('5 yr'!AI354=0,"",'5 yr'!AI354),"")</f>
        <v/>
      </c>
    </row>
    <row r="352" spans="1:7">
      <c r="A352" s="149" t="str">
        <f>IF('5 yr'!A355=0,"",'5 yr'!A355)</f>
        <v/>
      </c>
      <c r="B352" s="147" t="str">
        <f>IF('5 yr'!B355=0,"",'5 yr'!B355)</f>
        <v/>
      </c>
      <c r="C352" s="148" t="str">
        <f>IF('5 yr'!E355=0,"",'5 yr'!E355)</f>
        <v/>
      </c>
      <c r="D352" s="149" t="str">
        <f>IF('5 yr'!I355=0,"",'5 yr'!I355)</f>
        <v/>
      </c>
      <c r="E352" s="150" t="str">
        <f>IFERROR(IF('5 yr'!AF355=0,"",'5 yr'!AF355),"")</f>
        <v/>
      </c>
      <c r="F352" s="150" t="str">
        <f>IFERROR(IF('5 yr'!AH355=0,"",'5 yr'!AH355),"")</f>
        <v/>
      </c>
      <c r="G352" s="156" t="str">
        <f>IFERROR(IF('5 yr'!AI355=0,"",'5 yr'!AI355),"")</f>
        <v/>
      </c>
    </row>
    <row r="353" spans="1:7">
      <c r="A353" s="149" t="str">
        <f>IF('5 yr'!A356=0,"",'5 yr'!A356)</f>
        <v/>
      </c>
      <c r="B353" s="147" t="str">
        <f>IF('5 yr'!B356=0,"",'5 yr'!B356)</f>
        <v/>
      </c>
      <c r="C353" s="148" t="str">
        <f>IF('5 yr'!E356=0,"",'5 yr'!E356)</f>
        <v/>
      </c>
      <c r="D353" s="149" t="str">
        <f>IF('5 yr'!I356=0,"",'5 yr'!I356)</f>
        <v/>
      </c>
      <c r="E353" s="150" t="str">
        <f>IFERROR(IF('5 yr'!AF356=0,"",'5 yr'!AF356),"")</f>
        <v/>
      </c>
      <c r="F353" s="150" t="str">
        <f>IFERROR(IF('5 yr'!AH356=0,"",'5 yr'!AH356),"")</f>
        <v/>
      </c>
      <c r="G353" s="156" t="str">
        <f>IFERROR(IF('5 yr'!AI356=0,"",'5 yr'!AI356),"")</f>
        <v/>
      </c>
    </row>
    <row r="354" spans="1:7">
      <c r="A354" s="149" t="str">
        <f>IF('5 yr'!A357=0,"",'5 yr'!A357)</f>
        <v/>
      </c>
      <c r="B354" s="147" t="str">
        <f>IF('5 yr'!B357=0,"",'5 yr'!B357)</f>
        <v/>
      </c>
      <c r="C354" s="148" t="str">
        <f>IF('5 yr'!E357=0,"",'5 yr'!E357)</f>
        <v/>
      </c>
      <c r="D354" s="149" t="str">
        <f>IF('5 yr'!I357=0,"",'5 yr'!I357)</f>
        <v/>
      </c>
      <c r="E354" s="150" t="str">
        <f>IFERROR(IF('5 yr'!AF357=0,"",'5 yr'!AF357),"")</f>
        <v/>
      </c>
      <c r="F354" s="150" t="str">
        <f>IFERROR(IF('5 yr'!AH357=0,"",'5 yr'!AH357),"")</f>
        <v/>
      </c>
      <c r="G354" s="156" t="str">
        <f>IFERROR(IF('5 yr'!AI357=0,"",'5 yr'!AI357),"")</f>
        <v/>
      </c>
    </row>
    <row r="355" spans="1:7">
      <c r="A355" s="149" t="str">
        <f>IF('5 yr'!A358=0,"",'5 yr'!A358)</f>
        <v/>
      </c>
      <c r="B355" s="147" t="str">
        <f>IF('5 yr'!B358=0,"",'5 yr'!B358)</f>
        <v/>
      </c>
      <c r="C355" s="148" t="str">
        <f>IF('5 yr'!E358=0,"",'5 yr'!E358)</f>
        <v/>
      </c>
      <c r="D355" s="149" t="str">
        <f>IF('5 yr'!I358=0,"",'5 yr'!I358)</f>
        <v/>
      </c>
      <c r="E355" s="150" t="str">
        <f>IFERROR(IF('5 yr'!AF358=0,"",'5 yr'!AF358),"")</f>
        <v/>
      </c>
      <c r="F355" s="150" t="str">
        <f>IFERROR(IF('5 yr'!AH358=0,"",'5 yr'!AH358),"")</f>
        <v/>
      </c>
      <c r="G355" s="156" t="str">
        <f>IFERROR(IF('5 yr'!AI358=0,"",'5 yr'!AI358),"")</f>
        <v/>
      </c>
    </row>
    <row r="356" spans="1:7">
      <c r="A356" s="149" t="str">
        <f>IF('5 yr'!A359=0,"",'5 yr'!A359)</f>
        <v/>
      </c>
      <c r="B356" s="147" t="str">
        <f>IF('5 yr'!B359=0,"",'5 yr'!B359)</f>
        <v/>
      </c>
      <c r="C356" s="148" t="str">
        <f>IF('5 yr'!E359=0,"",'5 yr'!E359)</f>
        <v/>
      </c>
      <c r="D356" s="149" t="str">
        <f>IF('5 yr'!I359=0,"",'5 yr'!I359)</f>
        <v/>
      </c>
      <c r="E356" s="150" t="str">
        <f>IFERROR(IF('5 yr'!AF359=0,"",'5 yr'!AF359),"")</f>
        <v/>
      </c>
      <c r="F356" s="150" t="str">
        <f>IFERROR(IF('5 yr'!AH359=0,"",'5 yr'!AH359),"")</f>
        <v/>
      </c>
      <c r="G356" s="156" t="str">
        <f>IFERROR(IF('5 yr'!AI359=0,"",'5 yr'!AI359),"")</f>
        <v/>
      </c>
    </row>
    <row r="357" spans="1:7">
      <c r="A357" s="149" t="str">
        <f>IF('5 yr'!A360=0,"",'5 yr'!A360)</f>
        <v/>
      </c>
      <c r="B357" s="147" t="str">
        <f>IF('5 yr'!B360=0,"",'5 yr'!B360)</f>
        <v/>
      </c>
      <c r="C357" s="148" t="str">
        <f>IF('5 yr'!E360=0,"",'5 yr'!E360)</f>
        <v/>
      </c>
      <c r="D357" s="149" t="str">
        <f>IF('5 yr'!I360=0,"",'5 yr'!I360)</f>
        <v/>
      </c>
      <c r="E357" s="150" t="str">
        <f>IFERROR(IF('5 yr'!AF360=0,"",'5 yr'!AF360),"")</f>
        <v/>
      </c>
      <c r="F357" s="150" t="str">
        <f>IFERROR(IF('5 yr'!AH360=0,"",'5 yr'!AH360),"")</f>
        <v/>
      </c>
      <c r="G357" s="156" t="str">
        <f>IFERROR(IF('5 yr'!AI360=0,"",'5 yr'!AI360),"")</f>
        <v/>
      </c>
    </row>
    <row r="358" spans="1:7">
      <c r="A358" s="149" t="str">
        <f>IF('5 yr'!A361=0,"",'5 yr'!A361)</f>
        <v/>
      </c>
      <c r="B358" s="147" t="str">
        <f>IF('5 yr'!B361=0,"",'5 yr'!B361)</f>
        <v/>
      </c>
      <c r="C358" s="148" t="str">
        <f>IF('5 yr'!E361=0,"",'5 yr'!E361)</f>
        <v/>
      </c>
      <c r="D358" s="149" t="str">
        <f>IF('5 yr'!I361=0,"",'5 yr'!I361)</f>
        <v/>
      </c>
      <c r="E358" s="150" t="str">
        <f>IFERROR(IF('5 yr'!AF361=0,"",'5 yr'!AF361),"")</f>
        <v/>
      </c>
      <c r="F358" s="150" t="str">
        <f>IFERROR(IF('5 yr'!AH361=0,"",'5 yr'!AH361),"")</f>
        <v/>
      </c>
      <c r="G358" s="156" t="str">
        <f>IFERROR(IF('5 yr'!AI361=0,"",'5 yr'!AI361),"")</f>
        <v/>
      </c>
    </row>
    <row r="359" spans="1:7">
      <c r="A359" s="149" t="str">
        <f>IF('5 yr'!A362=0,"",'5 yr'!A362)</f>
        <v/>
      </c>
      <c r="B359" s="147" t="str">
        <f>IF('5 yr'!B362=0,"",'5 yr'!B362)</f>
        <v/>
      </c>
      <c r="C359" s="148" t="str">
        <f>IF('5 yr'!E362=0,"",'5 yr'!E362)</f>
        <v/>
      </c>
      <c r="D359" s="149" t="str">
        <f>IF('5 yr'!I362=0,"",'5 yr'!I362)</f>
        <v/>
      </c>
      <c r="E359" s="150" t="str">
        <f>IFERROR(IF('5 yr'!AF362=0,"",'5 yr'!AF362),"")</f>
        <v/>
      </c>
      <c r="F359" s="150" t="str">
        <f>IFERROR(IF('5 yr'!AH362=0,"",'5 yr'!AH362),"")</f>
        <v/>
      </c>
      <c r="G359" s="156" t="str">
        <f>IFERROR(IF('5 yr'!AI362=0,"",'5 yr'!AI362),"")</f>
        <v/>
      </c>
    </row>
    <row r="360" spans="1:7">
      <c r="A360" s="149" t="str">
        <f>IF('5 yr'!A363=0,"",'5 yr'!A363)</f>
        <v/>
      </c>
      <c r="B360" s="147" t="str">
        <f>IF('5 yr'!B363=0,"",'5 yr'!B363)</f>
        <v/>
      </c>
      <c r="C360" s="148" t="str">
        <f>IF('5 yr'!E363=0,"",'5 yr'!E363)</f>
        <v/>
      </c>
      <c r="D360" s="149" t="str">
        <f>IF('5 yr'!I363=0,"",'5 yr'!I363)</f>
        <v/>
      </c>
      <c r="E360" s="150" t="str">
        <f>IFERROR(IF('5 yr'!AF363=0,"",'5 yr'!AF363),"")</f>
        <v/>
      </c>
      <c r="F360" s="150" t="str">
        <f>IFERROR(IF('5 yr'!AH363=0,"",'5 yr'!AH363),"")</f>
        <v/>
      </c>
      <c r="G360" s="156" t="str">
        <f>IFERROR(IF('5 yr'!AI363=0,"",'5 yr'!AI363),"")</f>
        <v/>
      </c>
    </row>
    <row r="361" spans="1:7">
      <c r="A361" s="149" t="str">
        <f>IF('5 yr'!A364=0,"",'5 yr'!A364)</f>
        <v/>
      </c>
      <c r="B361" s="147" t="str">
        <f>IF('5 yr'!B364=0,"",'5 yr'!B364)</f>
        <v/>
      </c>
      <c r="C361" s="148" t="str">
        <f>IF('5 yr'!E364=0,"",'5 yr'!E364)</f>
        <v/>
      </c>
      <c r="D361" s="149" t="str">
        <f>IF('5 yr'!I364=0,"",'5 yr'!I364)</f>
        <v/>
      </c>
      <c r="E361" s="150" t="str">
        <f>IFERROR(IF('5 yr'!AF364=0,"",'5 yr'!AF364),"")</f>
        <v/>
      </c>
      <c r="F361" s="150" t="str">
        <f>IFERROR(IF('5 yr'!AH364=0,"",'5 yr'!AH364),"")</f>
        <v/>
      </c>
      <c r="G361" s="156" t="str">
        <f>IFERROR(IF('5 yr'!AI364=0,"",'5 yr'!AI364),"")</f>
        <v/>
      </c>
    </row>
    <row r="362" spans="1:7">
      <c r="A362" s="149" t="str">
        <f>IF('5 yr'!A365=0,"",'5 yr'!A365)</f>
        <v/>
      </c>
      <c r="B362" s="147" t="str">
        <f>IF('5 yr'!B365=0,"",'5 yr'!B365)</f>
        <v/>
      </c>
      <c r="C362" s="148" t="str">
        <f>IF('5 yr'!E365=0,"",'5 yr'!E365)</f>
        <v/>
      </c>
      <c r="D362" s="149" t="str">
        <f>IF('5 yr'!I365=0,"",'5 yr'!I365)</f>
        <v/>
      </c>
      <c r="E362" s="150" t="str">
        <f>IFERROR(IF('5 yr'!AF365=0,"",'5 yr'!AF365),"")</f>
        <v/>
      </c>
      <c r="F362" s="150" t="str">
        <f>IFERROR(IF('5 yr'!AH365=0,"",'5 yr'!AH365),"")</f>
        <v/>
      </c>
      <c r="G362" s="156" t="str">
        <f>IFERROR(IF('5 yr'!AI365=0,"",'5 yr'!AI365),"")</f>
        <v/>
      </c>
    </row>
    <row r="363" spans="1:7">
      <c r="A363" s="149" t="str">
        <f>IF('5 yr'!A366=0,"",'5 yr'!A366)</f>
        <v/>
      </c>
      <c r="B363" s="147" t="str">
        <f>IF('5 yr'!B366=0,"",'5 yr'!B366)</f>
        <v/>
      </c>
      <c r="C363" s="148" t="str">
        <f>IF('5 yr'!E366=0,"",'5 yr'!E366)</f>
        <v/>
      </c>
      <c r="D363" s="149" t="str">
        <f>IF('5 yr'!I366=0,"",'5 yr'!I366)</f>
        <v/>
      </c>
      <c r="E363" s="150" t="str">
        <f>IFERROR(IF('5 yr'!AF366=0,"",'5 yr'!AF366),"")</f>
        <v/>
      </c>
      <c r="F363" s="150" t="str">
        <f>IFERROR(IF('5 yr'!AH366=0,"",'5 yr'!AH366),"")</f>
        <v/>
      </c>
      <c r="G363" s="156" t="str">
        <f>IFERROR(IF('5 yr'!AI366=0,"",'5 yr'!AI366),"")</f>
        <v/>
      </c>
    </row>
    <row r="364" spans="1:7">
      <c r="A364" s="149" t="str">
        <f>IF('5 yr'!A367=0,"",'5 yr'!A367)</f>
        <v/>
      </c>
      <c r="B364" s="147" t="str">
        <f>IF('5 yr'!B367=0,"",'5 yr'!B367)</f>
        <v/>
      </c>
      <c r="C364" s="148" t="str">
        <f>IF('5 yr'!E367=0,"",'5 yr'!E367)</f>
        <v/>
      </c>
      <c r="D364" s="149" t="str">
        <f>IF('5 yr'!I367=0,"",'5 yr'!I367)</f>
        <v/>
      </c>
      <c r="E364" s="150" t="str">
        <f>IFERROR(IF('5 yr'!AF367=0,"",'5 yr'!AF367),"")</f>
        <v/>
      </c>
      <c r="F364" s="150" t="str">
        <f>IFERROR(IF('5 yr'!AH367=0,"",'5 yr'!AH367),"")</f>
        <v/>
      </c>
      <c r="G364" s="156" t="str">
        <f>IFERROR(IF('5 yr'!AI367=0,"",'5 yr'!AI367),"")</f>
        <v/>
      </c>
    </row>
    <row r="365" spans="1:7">
      <c r="A365" s="149" t="str">
        <f>IF('5 yr'!A368=0,"",'5 yr'!A368)</f>
        <v/>
      </c>
      <c r="B365" s="147" t="str">
        <f>IF('5 yr'!B368=0,"",'5 yr'!B368)</f>
        <v/>
      </c>
      <c r="C365" s="148" t="str">
        <f>IF('5 yr'!E368=0,"",'5 yr'!E368)</f>
        <v/>
      </c>
      <c r="D365" s="149" t="str">
        <f>IF('5 yr'!I368=0,"",'5 yr'!I368)</f>
        <v/>
      </c>
      <c r="E365" s="150" t="str">
        <f>IFERROR(IF('5 yr'!AF368=0,"",'5 yr'!AF368),"")</f>
        <v/>
      </c>
      <c r="F365" s="150" t="str">
        <f>IFERROR(IF('5 yr'!AH368=0,"",'5 yr'!AH368),"")</f>
        <v/>
      </c>
      <c r="G365" s="156" t="str">
        <f>IFERROR(IF('5 yr'!AI368=0,"",'5 yr'!AI368),"")</f>
        <v/>
      </c>
    </row>
    <row r="366" spans="1:7">
      <c r="A366" s="149" t="str">
        <f>IF('5 yr'!A369=0,"",'5 yr'!A369)</f>
        <v/>
      </c>
      <c r="B366" s="147" t="str">
        <f>IF('5 yr'!B369=0,"",'5 yr'!B369)</f>
        <v/>
      </c>
      <c r="C366" s="148" t="str">
        <f>IF('5 yr'!E369=0,"",'5 yr'!E369)</f>
        <v/>
      </c>
      <c r="D366" s="149" t="str">
        <f>IF('5 yr'!I369=0,"",'5 yr'!I369)</f>
        <v/>
      </c>
      <c r="E366" s="150" t="str">
        <f>IFERROR(IF('5 yr'!AF369=0,"",'5 yr'!AF369),"")</f>
        <v/>
      </c>
      <c r="F366" s="150" t="str">
        <f>IFERROR(IF('5 yr'!AH369=0,"",'5 yr'!AH369),"")</f>
        <v/>
      </c>
      <c r="G366" s="156" t="str">
        <f>IFERROR(IF('5 yr'!AI369=0,"",'5 yr'!AI369),"")</f>
        <v/>
      </c>
    </row>
    <row r="367" spans="1:7">
      <c r="A367" s="149" t="str">
        <f>IF('5 yr'!A370=0,"",'5 yr'!A370)</f>
        <v/>
      </c>
      <c r="B367" s="147" t="str">
        <f>IF('5 yr'!B370=0,"",'5 yr'!B370)</f>
        <v/>
      </c>
      <c r="C367" s="148" t="str">
        <f>IF('5 yr'!E370=0,"",'5 yr'!E370)</f>
        <v/>
      </c>
      <c r="D367" s="149" t="str">
        <f>IF('5 yr'!I370=0,"",'5 yr'!I370)</f>
        <v/>
      </c>
      <c r="E367" s="150" t="str">
        <f>IFERROR(IF('5 yr'!AF370=0,"",'5 yr'!AF370),"")</f>
        <v/>
      </c>
      <c r="F367" s="150" t="str">
        <f>IFERROR(IF('5 yr'!AH370=0,"",'5 yr'!AH370),"")</f>
        <v/>
      </c>
      <c r="G367" s="156" t="str">
        <f>IFERROR(IF('5 yr'!AI370=0,"",'5 yr'!AI370),"")</f>
        <v/>
      </c>
    </row>
    <row r="368" spans="1:7">
      <c r="A368" s="149" t="str">
        <f>IF('5 yr'!A371=0,"",'5 yr'!A371)</f>
        <v/>
      </c>
      <c r="B368" s="147" t="str">
        <f>IF('5 yr'!B371=0,"",'5 yr'!B371)</f>
        <v/>
      </c>
      <c r="C368" s="148" t="str">
        <f>IF('5 yr'!E371=0,"",'5 yr'!E371)</f>
        <v/>
      </c>
      <c r="D368" s="149" t="str">
        <f>IF('5 yr'!I371=0,"",'5 yr'!I371)</f>
        <v/>
      </c>
      <c r="E368" s="150" t="str">
        <f>IFERROR(IF('5 yr'!AF371=0,"",'5 yr'!AF371),"")</f>
        <v/>
      </c>
      <c r="F368" s="150" t="str">
        <f>IFERROR(IF('5 yr'!AH371=0,"",'5 yr'!AH371),"")</f>
        <v/>
      </c>
      <c r="G368" s="156" t="str">
        <f>IFERROR(IF('5 yr'!AI371=0,"",'5 yr'!AI371),"")</f>
        <v/>
      </c>
    </row>
    <row r="369" spans="1:7">
      <c r="A369" s="149" t="str">
        <f>IF('5 yr'!A372=0,"",'5 yr'!A372)</f>
        <v/>
      </c>
      <c r="B369" s="147" t="str">
        <f>IF('5 yr'!B372=0,"",'5 yr'!B372)</f>
        <v/>
      </c>
      <c r="C369" s="148" t="str">
        <f>IF('5 yr'!E372=0,"",'5 yr'!E372)</f>
        <v/>
      </c>
      <c r="D369" s="149" t="str">
        <f>IF('5 yr'!I372=0,"",'5 yr'!I372)</f>
        <v/>
      </c>
      <c r="E369" s="150" t="str">
        <f>IFERROR(IF('5 yr'!AF372=0,"",'5 yr'!AF372),"")</f>
        <v/>
      </c>
      <c r="F369" s="150" t="str">
        <f>IFERROR(IF('5 yr'!AH372=0,"",'5 yr'!AH372),"")</f>
        <v/>
      </c>
      <c r="G369" s="156" t="str">
        <f>IFERROR(IF('5 yr'!AI372=0,"",'5 yr'!AI372),"")</f>
        <v/>
      </c>
    </row>
    <row r="370" spans="1:7">
      <c r="A370" s="149" t="str">
        <f>IF('5 yr'!A373=0,"",'5 yr'!A373)</f>
        <v/>
      </c>
      <c r="B370" s="147" t="str">
        <f>IF('5 yr'!B373=0,"",'5 yr'!B373)</f>
        <v/>
      </c>
      <c r="C370" s="148" t="str">
        <f>IF('5 yr'!E373=0,"",'5 yr'!E373)</f>
        <v/>
      </c>
      <c r="D370" s="149" t="str">
        <f>IF('5 yr'!I373=0,"",'5 yr'!I373)</f>
        <v/>
      </c>
      <c r="E370" s="150" t="str">
        <f>IFERROR(IF('5 yr'!AF373=0,"",'5 yr'!AF373),"")</f>
        <v/>
      </c>
      <c r="F370" s="150" t="str">
        <f>IFERROR(IF('5 yr'!AH373=0,"",'5 yr'!AH373),"")</f>
        <v/>
      </c>
      <c r="G370" s="156" t="str">
        <f>IFERROR(IF('5 yr'!AI373=0,"",'5 yr'!AI373),"")</f>
        <v/>
      </c>
    </row>
    <row r="371" spans="1:7">
      <c r="A371" s="149" t="str">
        <f>IF('5 yr'!A374=0,"",'5 yr'!A374)</f>
        <v/>
      </c>
      <c r="B371" s="147" t="str">
        <f>IF('5 yr'!B374=0,"",'5 yr'!B374)</f>
        <v/>
      </c>
      <c r="C371" s="148" t="str">
        <f>IF('5 yr'!E374=0,"",'5 yr'!E374)</f>
        <v/>
      </c>
      <c r="D371" s="149" t="str">
        <f>IF('5 yr'!I374=0,"",'5 yr'!I374)</f>
        <v/>
      </c>
      <c r="E371" s="150" t="str">
        <f>IFERROR(IF('5 yr'!AF374=0,"",'5 yr'!AF374),"")</f>
        <v/>
      </c>
      <c r="F371" s="150" t="str">
        <f>IFERROR(IF('5 yr'!AH374=0,"",'5 yr'!AH374),"")</f>
        <v/>
      </c>
      <c r="G371" s="156" t="str">
        <f>IFERROR(IF('5 yr'!AI374=0,"",'5 yr'!AI374),"")</f>
        <v/>
      </c>
    </row>
    <row r="372" spans="1:7">
      <c r="A372" s="149" t="str">
        <f>IF('5 yr'!A375=0,"",'5 yr'!A375)</f>
        <v/>
      </c>
      <c r="B372" s="147" t="str">
        <f>IF('5 yr'!B375=0,"",'5 yr'!B375)</f>
        <v/>
      </c>
      <c r="C372" s="148" t="str">
        <f>IF('5 yr'!E375=0,"",'5 yr'!E375)</f>
        <v/>
      </c>
      <c r="D372" s="149" t="str">
        <f>IF('5 yr'!I375=0,"",'5 yr'!I375)</f>
        <v/>
      </c>
      <c r="E372" s="150" t="str">
        <f>IFERROR(IF('5 yr'!AF375=0,"",'5 yr'!AF375),"")</f>
        <v/>
      </c>
      <c r="F372" s="150" t="str">
        <f>IFERROR(IF('5 yr'!AH375=0,"",'5 yr'!AH375),"")</f>
        <v/>
      </c>
      <c r="G372" s="156" t="str">
        <f>IFERROR(IF('5 yr'!AI375=0,"",'5 yr'!AI375),"")</f>
        <v/>
      </c>
    </row>
    <row r="373" spans="1:7">
      <c r="A373" s="149" t="str">
        <f>IF('5 yr'!A376=0,"",'5 yr'!A376)</f>
        <v/>
      </c>
      <c r="B373" s="147" t="str">
        <f>IF('5 yr'!B376=0,"",'5 yr'!B376)</f>
        <v/>
      </c>
      <c r="C373" s="148" t="str">
        <f>IF('5 yr'!E376=0,"",'5 yr'!E376)</f>
        <v/>
      </c>
      <c r="D373" s="149" t="str">
        <f>IF('5 yr'!I376=0,"",'5 yr'!I376)</f>
        <v/>
      </c>
      <c r="E373" s="150" t="str">
        <f>IFERROR(IF('5 yr'!AF376=0,"",'5 yr'!AF376),"")</f>
        <v/>
      </c>
      <c r="F373" s="150" t="str">
        <f>IFERROR(IF('5 yr'!AH376=0,"",'5 yr'!AH376),"")</f>
        <v/>
      </c>
      <c r="G373" s="156" t="str">
        <f>IFERROR(IF('5 yr'!AI376=0,"",'5 yr'!AI376),"")</f>
        <v/>
      </c>
    </row>
    <row r="374" spans="1:7">
      <c r="A374" s="149" t="str">
        <f>IF('5 yr'!A377=0,"",'5 yr'!A377)</f>
        <v/>
      </c>
      <c r="B374" s="147" t="str">
        <f>IF('5 yr'!B377=0,"",'5 yr'!B377)</f>
        <v/>
      </c>
      <c r="C374" s="148" t="str">
        <f>IF('5 yr'!E377=0,"",'5 yr'!E377)</f>
        <v/>
      </c>
      <c r="D374" s="149" t="str">
        <f>IF('5 yr'!I377=0,"",'5 yr'!I377)</f>
        <v/>
      </c>
      <c r="E374" s="150" t="str">
        <f>IFERROR(IF('5 yr'!AF377=0,"",'5 yr'!AF377),"")</f>
        <v/>
      </c>
      <c r="F374" s="150" t="str">
        <f>IFERROR(IF('5 yr'!AH377=0,"",'5 yr'!AH377),"")</f>
        <v/>
      </c>
      <c r="G374" s="156" t="str">
        <f>IFERROR(IF('5 yr'!AI377=0,"",'5 yr'!AI377),"")</f>
        <v/>
      </c>
    </row>
    <row r="375" spans="1:7">
      <c r="A375" s="149" t="str">
        <f>IF('5 yr'!A378=0,"",'5 yr'!A378)</f>
        <v/>
      </c>
      <c r="B375" s="147" t="str">
        <f>IF('5 yr'!B378=0,"",'5 yr'!B378)</f>
        <v/>
      </c>
      <c r="C375" s="148" t="str">
        <f>IF('5 yr'!E378=0,"",'5 yr'!E378)</f>
        <v/>
      </c>
      <c r="D375" s="149" t="str">
        <f>IF('5 yr'!I378=0,"",'5 yr'!I378)</f>
        <v/>
      </c>
      <c r="E375" s="150" t="str">
        <f>IFERROR(IF('5 yr'!AF378=0,"",'5 yr'!AF378),"")</f>
        <v/>
      </c>
      <c r="F375" s="150" t="str">
        <f>IFERROR(IF('5 yr'!AH378=0,"",'5 yr'!AH378),"")</f>
        <v/>
      </c>
      <c r="G375" s="156" t="str">
        <f>IFERROR(IF('5 yr'!AI378=0,"",'5 yr'!AI378),"")</f>
        <v/>
      </c>
    </row>
    <row r="376" spans="1:7">
      <c r="A376" s="149" t="str">
        <f>IF('5 yr'!A379=0,"",'5 yr'!A379)</f>
        <v/>
      </c>
      <c r="B376" s="147" t="str">
        <f>IF('5 yr'!B379=0,"",'5 yr'!B379)</f>
        <v/>
      </c>
      <c r="C376" s="148" t="str">
        <f>IF('5 yr'!E379=0,"",'5 yr'!E379)</f>
        <v/>
      </c>
      <c r="D376" s="149" t="str">
        <f>IF('5 yr'!I379=0,"",'5 yr'!I379)</f>
        <v/>
      </c>
      <c r="E376" s="150" t="str">
        <f>IFERROR(IF('5 yr'!AF379=0,"",'5 yr'!AF379),"")</f>
        <v/>
      </c>
      <c r="F376" s="150" t="str">
        <f>IFERROR(IF('5 yr'!AH379=0,"",'5 yr'!AH379),"")</f>
        <v/>
      </c>
      <c r="G376" s="156" t="str">
        <f>IFERROR(IF('5 yr'!AI379=0,"",'5 yr'!AI379),"")</f>
        <v/>
      </c>
    </row>
    <row r="377" spans="1:7">
      <c r="A377" s="149" t="str">
        <f>IF('5 yr'!A380=0,"",'5 yr'!A380)</f>
        <v/>
      </c>
      <c r="B377" s="147" t="str">
        <f>IF('5 yr'!B380=0,"",'5 yr'!B380)</f>
        <v/>
      </c>
      <c r="C377" s="148" t="str">
        <f>IF('5 yr'!E380=0,"",'5 yr'!E380)</f>
        <v/>
      </c>
      <c r="D377" s="149" t="str">
        <f>IF('5 yr'!I380=0,"",'5 yr'!I380)</f>
        <v/>
      </c>
      <c r="E377" s="150" t="str">
        <f>IFERROR(IF('5 yr'!AF380=0,"",'5 yr'!AF380),"")</f>
        <v/>
      </c>
      <c r="F377" s="150" t="str">
        <f>IFERROR(IF('5 yr'!AH380=0,"",'5 yr'!AH380),"")</f>
        <v/>
      </c>
      <c r="G377" s="156" t="str">
        <f>IFERROR(IF('5 yr'!AI380=0,"",'5 yr'!AI380),"")</f>
        <v/>
      </c>
    </row>
    <row r="378" spans="1:7">
      <c r="A378" s="149" t="str">
        <f>IF('5 yr'!A381=0,"",'5 yr'!A381)</f>
        <v/>
      </c>
      <c r="B378" s="147" t="str">
        <f>IF('5 yr'!B381=0,"",'5 yr'!B381)</f>
        <v/>
      </c>
      <c r="C378" s="148" t="str">
        <f>IF('5 yr'!E381=0,"",'5 yr'!E381)</f>
        <v/>
      </c>
      <c r="D378" s="149" t="str">
        <f>IF('5 yr'!I381=0,"",'5 yr'!I381)</f>
        <v/>
      </c>
      <c r="E378" s="150" t="str">
        <f>IFERROR(IF('5 yr'!AF381=0,"",'5 yr'!AF381),"")</f>
        <v/>
      </c>
      <c r="F378" s="150" t="str">
        <f>IFERROR(IF('5 yr'!AH381=0,"",'5 yr'!AH381),"")</f>
        <v/>
      </c>
      <c r="G378" s="156" t="str">
        <f>IFERROR(IF('5 yr'!AI381=0,"",'5 yr'!AI381),"")</f>
        <v/>
      </c>
    </row>
    <row r="379" spans="1:7">
      <c r="A379" s="149" t="str">
        <f>IF('5 yr'!A382=0,"",'5 yr'!A382)</f>
        <v/>
      </c>
      <c r="B379" s="147" t="str">
        <f>IF('5 yr'!B382=0,"",'5 yr'!B382)</f>
        <v/>
      </c>
      <c r="C379" s="148" t="str">
        <f>IF('5 yr'!E382=0,"",'5 yr'!E382)</f>
        <v/>
      </c>
      <c r="D379" s="149" t="str">
        <f>IF('5 yr'!I382=0,"",'5 yr'!I382)</f>
        <v/>
      </c>
      <c r="E379" s="150" t="str">
        <f>IFERROR(IF('5 yr'!AF382=0,"",'5 yr'!AF382),"")</f>
        <v/>
      </c>
      <c r="F379" s="150" t="str">
        <f>IFERROR(IF('5 yr'!AH382=0,"",'5 yr'!AH382),"")</f>
        <v/>
      </c>
      <c r="G379" s="156" t="str">
        <f>IFERROR(IF('5 yr'!AI382=0,"",'5 yr'!AI382),"")</f>
        <v/>
      </c>
    </row>
    <row r="380" spans="1:7">
      <c r="A380" s="149" t="str">
        <f>IF('5 yr'!A383=0,"",'5 yr'!A383)</f>
        <v/>
      </c>
      <c r="B380" s="147" t="str">
        <f>IF('5 yr'!B383=0,"",'5 yr'!B383)</f>
        <v/>
      </c>
      <c r="C380" s="148" t="str">
        <f>IF('5 yr'!E383=0,"",'5 yr'!E383)</f>
        <v/>
      </c>
      <c r="D380" s="149" t="str">
        <f>IF('5 yr'!I383=0,"",'5 yr'!I383)</f>
        <v/>
      </c>
      <c r="E380" s="150" t="str">
        <f>IFERROR(IF('5 yr'!AF383=0,"",'5 yr'!AF383),"")</f>
        <v/>
      </c>
      <c r="F380" s="150" t="str">
        <f>IFERROR(IF('5 yr'!AH383=0,"",'5 yr'!AH383),"")</f>
        <v/>
      </c>
      <c r="G380" s="156" t="str">
        <f>IFERROR(IF('5 yr'!AI383=0,"",'5 yr'!AI383),"")</f>
        <v/>
      </c>
    </row>
    <row r="381" spans="1:7">
      <c r="A381" s="149" t="str">
        <f>IF('5 yr'!A384=0,"",'5 yr'!A384)</f>
        <v/>
      </c>
      <c r="B381" s="147" t="str">
        <f>IF('5 yr'!B384=0,"",'5 yr'!B384)</f>
        <v/>
      </c>
      <c r="C381" s="148" t="str">
        <f>IF('5 yr'!E384=0,"",'5 yr'!E384)</f>
        <v/>
      </c>
      <c r="D381" s="149" t="str">
        <f>IF('5 yr'!I384=0,"",'5 yr'!I384)</f>
        <v/>
      </c>
      <c r="E381" s="150" t="str">
        <f>IFERROR(IF('5 yr'!AF384=0,"",'5 yr'!AF384),"")</f>
        <v/>
      </c>
      <c r="F381" s="150" t="str">
        <f>IFERROR(IF('5 yr'!AH384=0,"",'5 yr'!AH384),"")</f>
        <v/>
      </c>
      <c r="G381" s="156" t="str">
        <f>IFERROR(IF('5 yr'!AI384=0,"",'5 yr'!AI384),"")</f>
        <v/>
      </c>
    </row>
    <row r="382" spans="1:7">
      <c r="A382" s="149" t="str">
        <f>IF('5 yr'!A385=0,"",'5 yr'!A385)</f>
        <v/>
      </c>
      <c r="B382" s="147" t="str">
        <f>IF('5 yr'!B385=0,"",'5 yr'!B385)</f>
        <v/>
      </c>
      <c r="C382" s="148" t="str">
        <f>IF('5 yr'!E385=0,"",'5 yr'!E385)</f>
        <v/>
      </c>
      <c r="D382" s="149" t="str">
        <f>IF('5 yr'!I385=0,"",'5 yr'!I385)</f>
        <v/>
      </c>
      <c r="E382" s="150" t="str">
        <f>IFERROR(IF('5 yr'!AF385=0,"",'5 yr'!AF385),"")</f>
        <v/>
      </c>
      <c r="F382" s="150" t="str">
        <f>IFERROR(IF('5 yr'!AH385=0,"",'5 yr'!AH385),"")</f>
        <v/>
      </c>
      <c r="G382" s="156" t="str">
        <f>IFERROR(IF('5 yr'!AI385=0,"",'5 yr'!AI385),"")</f>
        <v/>
      </c>
    </row>
    <row r="383" spans="1:7">
      <c r="A383" s="149" t="str">
        <f>IF('5 yr'!A386=0,"",'5 yr'!A386)</f>
        <v/>
      </c>
      <c r="B383" s="147" t="str">
        <f>IF('5 yr'!B386=0,"",'5 yr'!B386)</f>
        <v/>
      </c>
      <c r="C383" s="148" t="str">
        <f>IF('5 yr'!E386=0,"",'5 yr'!E386)</f>
        <v/>
      </c>
      <c r="D383" s="149" t="str">
        <f>IF('5 yr'!I386=0,"",'5 yr'!I386)</f>
        <v/>
      </c>
      <c r="E383" s="150" t="str">
        <f>IFERROR(IF('5 yr'!AF386=0,"",'5 yr'!AF386),"")</f>
        <v/>
      </c>
      <c r="F383" s="150" t="str">
        <f>IFERROR(IF('5 yr'!AH386=0,"",'5 yr'!AH386),"")</f>
        <v/>
      </c>
      <c r="G383" s="156" t="str">
        <f>IFERROR(IF('5 yr'!AI386=0,"",'5 yr'!AI386),"")</f>
        <v/>
      </c>
    </row>
    <row r="384" spans="1:7">
      <c r="A384" s="149" t="str">
        <f>IF('5 yr'!A387=0,"",'5 yr'!A387)</f>
        <v/>
      </c>
      <c r="B384" s="147" t="str">
        <f>IF('5 yr'!B387=0,"",'5 yr'!B387)</f>
        <v/>
      </c>
      <c r="C384" s="148" t="str">
        <f>IF('5 yr'!E387=0,"",'5 yr'!E387)</f>
        <v/>
      </c>
      <c r="D384" s="149" t="str">
        <f>IF('5 yr'!I387=0,"",'5 yr'!I387)</f>
        <v/>
      </c>
      <c r="E384" s="150" t="str">
        <f>IFERROR(IF('5 yr'!AF387=0,"",'5 yr'!AF387),"")</f>
        <v/>
      </c>
      <c r="F384" s="150" t="str">
        <f>IFERROR(IF('5 yr'!AH387=0,"",'5 yr'!AH387),"")</f>
        <v/>
      </c>
      <c r="G384" s="156" t="str">
        <f>IFERROR(IF('5 yr'!AI387=0,"",'5 yr'!AI387),"")</f>
        <v/>
      </c>
    </row>
    <row r="385" spans="1:7">
      <c r="A385" s="149" t="str">
        <f>IF('5 yr'!A388=0,"",'5 yr'!A388)</f>
        <v/>
      </c>
      <c r="B385" s="147" t="str">
        <f>IF('5 yr'!B388=0,"",'5 yr'!B388)</f>
        <v/>
      </c>
      <c r="C385" s="148" t="str">
        <f>IF('5 yr'!E388=0,"",'5 yr'!E388)</f>
        <v/>
      </c>
      <c r="D385" s="149" t="str">
        <f>IF('5 yr'!I388=0,"",'5 yr'!I388)</f>
        <v/>
      </c>
      <c r="E385" s="150" t="str">
        <f>IFERROR(IF('5 yr'!AF388=0,"",'5 yr'!AF388),"")</f>
        <v/>
      </c>
      <c r="F385" s="150" t="str">
        <f>IFERROR(IF('5 yr'!AH388=0,"",'5 yr'!AH388),"")</f>
        <v/>
      </c>
      <c r="G385" s="156" t="str">
        <f>IFERROR(IF('5 yr'!AI388=0,"",'5 yr'!AI388),"")</f>
        <v/>
      </c>
    </row>
    <row r="386" spans="1:7">
      <c r="A386" s="149" t="str">
        <f>IF('5 yr'!A389=0,"",'5 yr'!A389)</f>
        <v/>
      </c>
      <c r="B386" s="147" t="str">
        <f>IF('5 yr'!B389=0,"",'5 yr'!B389)</f>
        <v/>
      </c>
      <c r="C386" s="148" t="str">
        <f>IF('5 yr'!E389=0,"",'5 yr'!E389)</f>
        <v/>
      </c>
      <c r="D386" s="149" t="str">
        <f>IF('5 yr'!I389=0,"",'5 yr'!I389)</f>
        <v/>
      </c>
      <c r="E386" s="150" t="str">
        <f>IFERROR(IF('5 yr'!AF389=0,"",'5 yr'!AF389),"")</f>
        <v/>
      </c>
      <c r="F386" s="150" t="str">
        <f>IFERROR(IF('5 yr'!AH389=0,"",'5 yr'!AH389),"")</f>
        <v/>
      </c>
      <c r="G386" s="156" t="str">
        <f>IFERROR(IF('5 yr'!AI389=0,"",'5 yr'!AI389),"")</f>
        <v/>
      </c>
    </row>
    <row r="387" spans="1:7">
      <c r="A387" s="149" t="str">
        <f>IF('5 yr'!A390=0,"",'5 yr'!A390)</f>
        <v/>
      </c>
      <c r="B387" s="147" t="str">
        <f>IF('5 yr'!B390=0,"",'5 yr'!B390)</f>
        <v/>
      </c>
      <c r="C387" s="148" t="str">
        <f>IF('5 yr'!E390=0,"",'5 yr'!E390)</f>
        <v/>
      </c>
      <c r="D387" s="149" t="str">
        <f>IF('5 yr'!I390=0,"",'5 yr'!I390)</f>
        <v/>
      </c>
      <c r="E387" s="150" t="str">
        <f>IFERROR(IF('5 yr'!AF390=0,"",'5 yr'!AF390),"")</f>
        <v/>
      </c>
      <c r="F387" s="150" t="str">
        <f>IFERROR(IF('5 yr'!AH390=0,"",'5 yr'!AH390),"")</f>
        <v/>
      </c>
      <c r="G387" s="156" t="str">
        <f>IFERROR(IF('5 yr'!AI390=0,"",'5 yr'!AI390),"")</f>
        <v/>
      </c>
    </row>
    <row r="388" spans="1:7">
      <c r="A388" s="149" t="str">
        <f>IF('5 yr'!A391=0,"",'5 yr'!A391)</f>
        <v/>
      </c>
      <c r="B388" s="147" t="str">
        <f>IF('5 yr'!B391=0,"",'5 yr'!B391)</f>
        <v/>
      </c>
      <c r="C388" s="148" t="str">
        <f>IF('5 yr'!E391=0,"",'5 yr'!E391)</f>
        <v/>
      </c>
      <c r="D388" s="149" t="str">
        <f>IF('5 yr'!I391=0,"",'5 yr'!I391)</f>
        <v/>
      </c>
      <c r="E388" s="150" t="str">
        <f>IFERROR(IF('5 yr'!AF391=0,"",'5 yr'!AF391),"")</f>
        <v/>
      </c>
      <c r="F388" s="150" t="str">
        <f>IFERROR(IF('5 yr'!AH391=0,"",'5 yr'!AH391),"")</f>
        <v/>
      </c>
      <c r="G388" s="156" t="str">
        <f>IFERROR(IF('5 yr'!AI391=0,"",'5 yr'!AI391),"")</f>
        <v/>
      </c>
    </row>
    <row r="389" spans="1:7">
      <c r="A389" s="149" t="str">
        <f>IF('5 yr'!A392=0,"",'5 yr'!A392)</f>
        <v/>
      </c>
      <c r="B389" s="147" t="str">
        <f>IF('5 yr'!B392=0,"",'5 yr'!B392)</f>
        <v/>
      </c>
      <c r="C389" s="148" t="str">
        <f>IF('5 yr'!E392=0,"",'5 yr'!E392)</f>
        <v/>
      </c>
      <c r="D389" s="149" t="str">
        <f>IF('5 yr'!I392=0,"",'5 yr'!I392)</f>
        <v/>
      </c>
      <c r="E389" s="150" t="str">
        <f>IFERROR(IF('5 yr'!AF392=0,"",'5 yr'!AF392),"")</f>
        <v/>
      </c>
      <c r="F389" s="150" t="str">
        <f>IFERROR(IF('5 yr'!AH392=0,"",'5 yr'!AH392),"")</f>
        <v/>
      </c>
      <c r="G389" s="156" t="str">
        <f>IFERROR(IF('5 yr'!AI392=0,"",'5 yr'!AI392),"")</f>
        <v/>
      </c>
    </row>
    <row r="390" spans="1:7">
      <c r="A390" s="149" t="str">
        <f>IF('5 yr'!A393=0,"",'5 yr'!A393)</f>
        <v/>
      </c>
      <c r="B390" s="147" t="str">
        <f>IF('5 yr'!B393=0,"",'5 yr'!B393)</f>
        <v/>
      </c>
      <c r="C390" s="148" t="str">
        <f>IF('5 yr'!E393=0,"",'5 yr'!E393)</f>
        <v/>
      </c>
      <c r="D390" s="149" t="str">
        <f>IF('5 yr'!I393=0,"",'5 yr'!I393)</f>
        <v/>
      </c>
      <c r="E390" s="150" t="str">
        <f>IFERROR(IF('5 yr'!AF393=0,"",'5 yr'!AF393),"")</f>
        <v/>
      </c>
      <c r="F390" s="150" t="str">
        <f>IFERROR(IF('5 yr'!AH393=0,"",'5 yr'!AH393),"")</f>
        <v/>
      </c>
      <c r="G390" s="156" t="str">
        <f>IFERROR(IF('5 yr'!AI393=0,"",'5 yr'!AI393),"")</f>
        <v/>
      </c>
    </row>
    <row r="391" spans="1:7">
      <c r="A391" s="149" t="str">
        <f>IF('5 yr'!A394=0,"",'5 yr'!A394)</f>
        <v/>
      </c>
      <c r="B391" s="147" t="str">
        <f>IF('5 yr'!B394=0,"",'5 yr'!B394)</f>
        <v/>
      </c>
      <c r="C391" s="148" t="str">
        <f>IF('5 yr'!E394=0,"",'5 yr'!E394)</f>
        <v/>
      </c>
      <c r="D391" s="149" t="str">
        <f>IF('5 yr'!I394=0,"",'5 yr'!I394)</f>
        <v/>
      </c>
      <c r="E391" s="150" t="str">
        <f>IFERROR(IF('5 yr'!AF394=0,"",'5 yr'!AF394),"")</f>
        <v/>
      </c>
      <c r="F391" s="150" t="str">
        <f>IFERROR(IF('5 yr'!AH394=0,"",'5 yr'!AH394),"")</f>
        <v/>
      </c>
      <c r="G391" s="156" t="str">
        <f>IFERROR(IF('5 yr'!AI394=0,"",'5 yr'!AI394),"")</f>
        <v/>
      </c>
    </row>
    <row r="392" spans="1:7">
      <c r="A392" s="149" t="str">
        <f>IF('5 yr'!A395=0,"",'5 yr'!A395)</f>
        <v/>
      </c>
      <c r="B392" s="147" t="str">
        <f>IF('5 yr'!B395=0,"",'5 yr'!B395)</f>
        <v/>
      </c>
      <c r="C392" s="148" t="str">
        <f>IF('5 yr'!E395=0,"",'5 yr'!E395)</f>
        <v/>
      </c>
      <c r="D392" s="149" t="str">
        <f>IF('5 yr'!I395=0,"",'5 yr'!I395)</f>
        <v/>
      </c>
      <c r="E392" s="150" t="str">
        <f>IFERROR(IF('5 yr'!AF395=0,"",'5 yr'!AF395),"")</f>
        <v/>
      </c>
      <c r="F392" s="150" t="str">
        <f>IFERROR(IF('5 yr'!AH395=0,"",'5 yr'!AH395),"")</f>
        <v/>
      </c>
      <c r="G392" s="156" t="str">
        <f>IFERROR(IF('5 yr'!AI395=0,"",'5 yr'!AI395),"")</f>
        <v/>
      </c>
    </row>
    <row r="393" spans="1:7">
      <c r="A393" s="149" t="str">
        <f>IF('5 yr'!A396=0,"",'5 yr'!A396)</f>
        <v/>
      </c>
      <c r="B393" s="147" t="str">
        <f>IF('5 yr'!B396=0,"",'5 yr'!B396)</f>
        <v/>
      </c>
      <c r="C393" s="148" t="str">
        <f>IF('5 yr'!E396=0,"",'5 yr'!E396)</f>
        <v/>
      </c>
      <c r="D393" s="149" t="str">
        <f>IF('5 yr'!I396=0,"",'5 yr'!I396)</f>
        <v/>
      </c>
      <c r="E393" s="150" t="str">
        <f>IFERROR(IF('5 yr'!AF396=0,"",'5 yr'!AF396),"")</f>
        <v/>
      </c>
      <c r="F393" s="150" t="str">
        <f>IFERROR(IF('5 yr'!AH396=0,"",'5 yr'!AH396),"")</f>
        <v/>
      </c>
      <c r="G393" s="156" t="str">
        <f>IFERROR(IF('5 yr'!AI396=0,"",'5 yr'!AI396),"")</f>
        <v/>
      </c>
    </row>
    <row r="394" spans="1:7">
      <c r="A394" s="149" t="str">
        <f>IF('5 yr'!A397=0,"",'5 yr'!A397)</f>
        <v/>
      </c>
      <c r="B394" s="147" t="str">
        <f>IF('5 yr'!B397=0,"",'5 yr'!B397)</f>
        <v/>
      </c>
      <c r="C394" s="148" t="str">
        <f>IF('5 yr'!E397=0,"",'5 yr'!E397)</f>
        <v/>
      </c>
      <c r="D394" s="149" t="str">
        <f>IF('5 yr'!I397=0,"",'5 yr'!I397)</f>
        <v/>
      </c>
      <c r="E394" s="150" t="str">
        <f>IFERROR(IF('5 yr'!AF397=0,"",'5 yr'!AF397),"")</f>
        <v/>
      </c>
      <c r="F394" s="150" t="str">
        <f>IFERROR(IF('5 yr'!AH397=0,"",'5 yr'!AH397),"")</f>
        <v/>
      </c>
      <c r="G394" s="156" t="str">
        <f>IFERROR(IF('5 yr'!AI397=0,"",'5 yr'!AI397),"")</f>
        <v/>
      </c>
    </row>
    <row r="395" spans="1:7">
      <c r="A395" s="149" t="str">
        <f>IF('5 yr'!A398=0,"",'5 yr'!A398)</f>
        <v/>
      </c>
      <c r="B395" s="147" t="str">
        <f>IF('5 yr'!B398=0,"",'5 yr'!B398)</f>
        <v/>
      </c>
      <c r="C395" s="148" t="str">
        <f>IF('5 yr'!E398=0,"",'5 yr'!E398)</f>
        <v/>
      </c>
      <c r="D395" s="149" t="str">
        <f>IF('5 yr'!I398=0,"",'5 yr'!I398)</f>
        <v/>
      </c>
      <c r="E395" s="150" t="str">
        <f>IFERROR(IF('5 yr'!AF398=0,"",'5 yr'!AF398),"")</f>
        <v/>
      </c>
      <c r="F395" s="150" t="str">
        <f>IFERROR(IF('5 yr'!AH398=0,"",'5 yr'!AH398),"")</f>
        <v/>
      </c>
      <c r="G395" s="156" t="str">
        <f>IFERROR(IF('5 yr'!AI398=0,"",'5 yr'!AI398),"")</f>
        <v/>
      </c>
    </row>
    <row r="396" spans="1:7">
      <c r="A396" s="149" t="str">
        <f>IF('5 yr'!A399=0,"",'5 yr'!A399)</f>
        <v/>
      </c>
      <c r="B396" s="147" t="str">
        <f>IF('5 yr'!B399=0,"",'5 yr'!B399)</f>
        <v/>
      </c>
      <c r="C396" s="148" t="str">
        <f>IF('5 yr'!E399=0,"",'5 yr'!E399)</f>
        <v/>
      </c>
      <c r="D396" s="149" t="str">
        <f>IF('5 yr'!I399=0,"",'5 yr'!I399)</f>
        <v/>
      </c>
      <c r="E396" s="150" t="str">
        <f>IFERROR(IF('5 yr'!AF399=0,"",'5 yr'!AF399),"")</f>
        <v/>
      </c>
      <c r="F396" s="150" t="str">
        <f>IFERROR(IF('5 yr'!AH399=0,"",'5 yr'!AH399),"")</f>
        <v/>
      </c>
      <c r="G396" s="156" t="str">
        <f>IFERROR(IF('5 yr'!AI399=0,"",'5 yr'!AI399),"")</f>
        <v/>
      </c>
    </row>
    <row r="397" spans="1:7">
      <c r="A397" s="149" t="str">
        <f>IF('5 yr'!A400=0,"",'5 yr'!A400)</f>
        <v/>
      </c>
      <c r="B397" s="147" t="str">
        <f>IF('5 yr'!B400=0,"",'5 yr'!B400)</f>
        <v/>
      </c>
      <c r="C397" s="148" t="str">
        <f>IF('5 yr'!E400=0,"",'5 yr'!E400)</f>
        <v/>
      </c>
      <c r="D397" s="149" t="str">
        <f>IF('5 yr'!I400=0,"",'5 yr'!I400)</f>
        <v/>
      </c>
      <c r="E397" s="150" t="str">
        <f>IFERROR(IF('5 yr'!AF400=0,"",'5 yr'!AF400),"")</f>
        <v/>
      </c>
      <c r="F397" s="150" t="str">
        <f>IFERROR(IF('5 yr'!AH400=0,"",'5 yr'!AH400),"")</f>
        <v/>
      </c>
      <c r="G397" s="156" t="str">
        <f>IFERROR(IF('5 yr'!AI400=0,"",'5 yr'!AI400),"")</f>
        <v/>
      </c>
    </row>
    <row r="398" spans="1:7">
      <c r="A398" s="149" t="str">
        <f>IF('5 yr'!A401=0,"",'5 yr'!A401)</f>
        <v/>
      </c>
      <c r="B398" s="147" t="str">
        <f>IF('5 yr'!B401=0,"",'5 yr'!B401)</f>
        <v/>
      </c>
      <c r="C398" s="148" t="str">
        <f>IF('5 yr'!E401=0,"",'5 yr'!E401)</f>
        <v/>
      </c>
      <c r="D398" s="149" t="str">
        <f>IF('5 yr'!I401=0,"",'5 yr'!I401)</f>
        <v/>
      </c>
      <c r="E398" s="150" t="str">
        <f>IFERROR(IF('5 yr'!AF401=0,"",'5 yr'!AF401),"")</f>
        <v/>
      </c>
      <c r="F398" s="150" t="str">
        <f>IFERROR(IF('5 yr'!AH401=0,"",'5 yr'!AH401),"")</f>
        <v/>
      </c>
      <c r="G398" s="156" t="str">
        <f>IFERROR(IF('5 yr'!AI401=0,"",'5 yr'!AI401),"")</f>
        <v/>
      </c>
    </row>
    <row r="399" spans="1:7">
      <c r="A399" s="149" t="str">
        <f>IF('5 yr'!A402=0,"",'5 yr'!A402)</f>
        <v/>
      </c>
      <c r="B399" s="147" t="str">
        <f>IF('5 yr'!B402=0,"",'5 yr'!B402)</f>
        <v/>
      </c>
      <c r="C399" s="148" t="str">
        <f>IF('5 yr'!E402=0,"",'5 yr'!E402)</f>
        <v/>
      </c>
      <c r="D399" s="149" t="str">
        <f>IF('5 yr'!I402=0,"",'5 yr'!I402)</f>
        <v/>
      </c>
      <c r="E399" s="150" t="str">
        <f>IFERROR(IF('5 yr'!AF402=0,"",'5 yr'!AF402),"")</f>
        <v/>
      </c>
      <c r="F399" s="150" t="str">
        <f>IFERROR(IF('5 yr'!AH402=0,"",'5 yr'!AH402),"")</f>
        <v/>
      </c>
      <c r="G399" s="156" t="str">
        <f>IFERROR(IF('5 yr'!AI402=0,"",'5 yr'!AI402),"")</f>
        <v/>
      </c>
    </row>
    <row r="400" spans="1:7">
      <c r="A400" s="149" t="str">
        <f>IF('5 yr'!A403=0,"",'5 yr'!A403)</f>
        <v/>
      </c>
      <c r="B400" s="147" t="str">
        <f>IF('5 yr'!B403=0,"",'5 yr'!B403)</f>
        <v/>
      </c>
      <c r="C400" s="148" t="str">
        <f>IF('5 yr'!E403=0,"",'5 yr'!E403)</f>
        <v/>
      </c>
      <c r="D400" s="149" t="str">
        <f>IF('5 yr'!I403=0,"",'5 yr'!I403)</f>
        <v/>
      </c>
      <c r="E400" s="150" t="str">
        <f>IFERROR(IF('5 yr'!AF403=0,"",'5 yr'!AF403),"")</f>
        <v/>
      </c>
      <c r="F400" s="150" t="str">
        <f>IFERROR(IF('5 yr'!AH403=0,"",'5 yr'!AH403),"")</f>
        <v/>
      </c>
      <c r="G400" s="156" t="str">
        <f>IFERROR(IF('5 yr'!AI403=0,"",'5 yr'!AI403),"")</f>
        <v/>
      </c>
    </row>
    <row r="401" spans="1:7">
      <c r="A401" s="149" t="str">
        <f>IF('5 yr'!A404=0,"",'5 yr'!A404)</f>
        <v/>
      </c>
      <c r="B401" s="147" t="str">
        <f>IF('5 yr'!B404=0,"",'5 yr'!B404)</f>
        <v/>
      </c>
      <c r="C401" s="148" t="str">
        <f>IF('5 yr'!E404=0,"",'5 yr'!E404)</f>
        <v/>
      </c>
      <c r="D401" s="149" t="str">
        <f>IF('5 yr'!I404=0,"",'5 yr'!I404)</f>
        <v/>
      </c>
      <c r="E401" s="150" t="str">
        <f>IFERROR(IF('5 yr'!AF404=0,"",'5 yr'!AF404),"")</f>
        <v/>
      </c>
      <c r="F401" s="150" t="str">
        <f>IFERROR(IF('5 yr'!AH404=0,"",'5 yr'!AH404),"")</f>
        <v/>
      </c>
      <c r="G401" s="156" t="str">
        <f>IFERROR(IF('5 yr'!AI404=0,"",'5 yr'!AI404),"")</f>
        <v/>
      </c>
    </row>
    <row r="402" spans="1:7">
      <c r="A402" s="149" t="str">
        <f>IF('5 yr'!A405=0,"",'5 yr'!A405)</f>
        <v/>
      </c>
      <c r="B402" s="147" t="str">
        <f>IF('5 yr'!B405=0,"",'5 yr'!B405)</f>
        <v/>
      </c>
      <c r="C402" s="148" t="str">
        <f>IF('5 yr'!E405=0,"",'5 yr'!E405)</f>
        <v/>
      </c>
      <c r="D402" s="149" t="str">
        <f>IF('5 yr'!I405=0,"",'5 yr'!I405)</f>
        <v/>
      </c>
      <c r="E402" s="150" t="str">
        <f>IFERROR(IF('5 yr'!AF405=0,"",'5 yr'!AF405),"")</f>
        <v/>
      </c>
      <c r="F402" s="150" t="str">
        <f>IFERROR(IF('5 yr'!AH405=0,"",'5 yr'!AH405),"")</f>
        <v/>
      </c>
      <c r="G402" s="156" t="str">
        <f>IFERROR(IF('5 yr'!AI405=0,"",'5 yr'!AI405),"")</f>
        <v/>
      </c>
    </row>
    <row r="403" spans="1:7">
      <c r="A403" s="149" t="str">
        <f>IF('5 yr'!A406=0,"",'5 yr'!A406)</f>
        <v/>
      </c>
      <c r="B403" s="147" t="str">
        <f>IF('5 yr'!B406=0,"",'5 yr'!B406)</f>
        <v/>
      </c>
      <c r="C403" s="148" t="str">
        <f>IF('5 yr'!E406=0,"",'5 yr'!E406)</f>
        <v/>
      </c>
      <c r="D403" s="149" t="str">
        <f>IF('5 yr'!I406=0,"",'5 yr'!I406)</f>
        <v/>
      </c>
      <c r="E403" s="150" t="str">
        <f>IFERROR(IF('5 yr'!AF406=0,"",'5 yr'!AF406),"")</f>
        <v/>
      </c>
      <c r="F403" s="150" t="str">
        <f>IFERROR(IF('5 yr'!AH406=0,"",'5 yr'!AH406),"")</f>
        <v/>
      </c>
      <c r="G403" s="156" t="str">
        <f>IFERROR(IF('5 yr'!AI406=0,"",'5 yr'!AI406),"")</f>
        <v/>
      </c>
    </row>
    <row r="404" spans="1:7">
      <c r="A404" s="149" t="str">
        <f>IF('5 yr'!A407=0,"",'5 yr'!A407)</f>
        <v/>
      </c>
      <c r="B404" s="147" t="str">
        <f>IF('5 yr'!B407=0,"",'5 yr'!B407)</f>
        <v/>
      </c>
      <c r="C404" s="148" t="str">
        <f>IF('5 yr'!E407=0,"",'5 yr'!E407)</f>
        <v/>
      </c>
      <c r="D404" s="149" t="str">
        <f>IF('5 yr'!I407=0,"",'5 yr'!I407)</f>
        <v/>
      </c>
      <c r="E404" s="150" t="str">
        <f>IFERROR(IF('5 yr'!AF407=0,"",'5 yr'!AF407),"")</f>
        <v/>
      </c>
      <c r="F404" s="150" t="str">
        <f>IFERROR(IF('5 yr'!AH407=0,"",'5 yr'!AH407),"")</f>
        <v/>
      </c>
      <c r="G404" s="156" t="str">
        <f>IFERROR(IF('5 yr'!AI407=0,"",'5 yr'!AI407),"")</f>
        <v/>
      </c>
    </row>
    <row r="405" spans="1:7">
      <c r="A405" s="149" t="str">
        <f>IF('5 yr'!A408=0,"",'5 yr'!A408)</f>
        <v/>
      </c>
      <c r="B405" s="147" t="str">
        <f>IF('5 yr'!B408=0,"",'5 yr'!B408)</f>
        <v/>
      </c>
      <c r="C405" s="148" t="str">
        <f>IF('5 yr'!E408=0,"",'5 yr'!E408)</f>
        <v/>
      </c>
      <c r="D405" s="149" t="str">
        <f>IF('5 yr'!I408=0,"",'5 yr'!I408)</f>
        <v/>
      </c>
      <c r="E405" s="150" t="str">
        <f>IFERROR(IF('5 yr'!AF408=0,"",'5 yr'!AF408),"")</f>
        <v/>
      </c>
      <c r="F405" s="150" t="str">
        <f>IFERROR(IF('5 yr'!AH408=0,"",'5 yr'!AH408),"")</f>
        <v/>
      </c>
      <c r="G405" s="156" t="str">
        <f>IFERROR(IF('5 yr'!AI408=0,"",'5 yr'!AI408),"")</f>
        <v/>
      </c>
    </row>
    <row r="406" spans="1:7">
      <c r="A406" s="149" t="str">
        <f>IF('5 yr'!A409=0,"",'5 yr'!A409)</f>
        <v/>
      </c>
      <c r="B406" s="147" t="str">
        <f>IF('5 yr'!B409=0,"",'5 yr'!B409)</f>
        <v/>
      </c>
      <c r="C406" s="148" t="str">
        <f>IF('5 yr'!E409=0,"",'5 yr'!E409)</f>
        <v/>
      </c>
      <c r="D406" s="149" t="str">
        <f>IF('5 yr'!I409=0,"",'5 yr'!I409)</f>
        <v/>
      </c>
      <c r="E406" s="150" t="str">
        <f>IFERROR(IF('5 yr'!AF409=0,"",'5 yr'!AF409),"")</f>
        <v/>
      </c>
      <c r="F406" s="150" t="str">
        <f>IFERROR(IF('5 yr'!AH409=0,"",'5 yr'!AH409),"")</f>
        <v/>
      </c>
      <c r="G406" s="156" t="str">
        <f>IFERROR(IF('5 yr'!AI409=0,"",'5 yr'!AI409),"")</f>
        <v/>
      </c>
    </row>
    <row r="407" spans="1:7">
      <c r="A407" s="149" t="str">
        <f>IF('5 yr'!A410=0,"",'5 yr'!A410)</f>
        <v/>
      </c>
      <c r="B407" s="147" t="str">
        <f>IF('5 yr'!B410=0,"",'5 yr'!B410)</f>
        <v/>
      </c>
      <c r="C407" s="148" t="str">
        <f>IF('5 yr'!E410=0,"",'5 yr'!E410)</f>
        <v/>
      </c>
      <c r="D407" s="149" t="str">
        <f>IF('5 yr'!I410=0,"",'5 yr'!I410)</f>
        <v/>
      </c>
      <c r="E407" s="150" t="str">
        <f>IFERROR(IF('5 yr'!AF410=0,"",'5 yr'!AF410),"")</f>
        <v/>
      </c>
      <c r="F407" s="150" t="str">
        <f>IFERROR(IF('5 yr'!AH410=0,"",'5 yr'!AH410),"")</f>
        <v/>
      </c>
      <c r="G407" s="156" t="str">
        <f>IFERROR(IF('5 yr'!AI410=0,"",'5 yr'!AI410),"")</f>
        <v/>
      </c>
    </row>
    <row r="408" spans="1:7">
      <c r="A408" s="149" t="str">
        <f>IF('5 yr'!A411=0,"",'5 yr'!A411)</f>
        <v/>
      </c>
      <c r="B408" s="147" t="str">
        <f>IF('5 yr'!B411=0,"",'5 yr'!B411)</f>
        <v/>
      </c>
      <c r="C408" s="148" t="str">
        <f>IF('5 yr'!E411=0,"",'5 yr'!E411)</f>
        <v/>
      </c>
      <c r="D408" s="149" t="str">
        <f>IF('5 yr'!I411=0,"",'5 yr'!I411)</f>
        <v/>
      </c>
      <c r="E408" s="150" t="str">
        <f>IFERROR(IF('5 yr'!AF411=0,"",'5 yr'!AF411),"")</f>
        <v/>
      </c>
      <c r="F408" s="150" t="str">
        <f>IFERROR(IF('5 yr'!AH411=0,"",'5 yr'!AH411),"")</f>
        <v/>
      </c>
      <c r="G408" s="156" t="str">
        <f>IFERROR(IF('5 yr'!AI411=0,"",'5 yr'!AI411),"")</f>
        <v/>
      </c>
    </row>
    <row r="409" spans="1:7">
      <c r="A409" s="149" t="str">
        <f>IF('5 yr'!A412=0,"",'5 yr'!A412)</f>
        <v/>
      </c>
      <c r="B409" s="147" t="str">
        <f>IF('5 yr'!B412=0,"",'5 yr'!B412)</f>
        <v/>
      </c>
      <c r="C409" s="148" t="str">
        <f>IF('5 yr'!E412=0,"",'5 yr'!E412)</f>
        <v/>
      </c>
      <c r="D409" s="149" t="str">
        <f>IF('5 yr'!I412=0,"",'5 yr'!I412)</f>
        <v/>
      </c>
      <c r="E409" s="150" t="str">
        <f>IFERROR(IF('5 yr'!AF412=0,"",'5 yr'!AF412),"")</f>
        <v/>
      </c>
      <c r="F409" s="150" t="str">
        <f>IFERROR(IF('5 yr'!AH412=0,"",'5 yr'!AH412),"")</f>
        <v/>
      </c>
      <c r="G409" s="156" t="str">
        <f>IFERROR(IF('5 yr'!AI412=0,"",'5 yr'!AI412),"")</f>
        <v/>
      </c>
    </row>
    <row r="410" spans="1:7">
      <c r="A410" s="149" t="str">
        <f>IF('5 yr'!A413=0,"",'5 yr'!A413)</f>
        <v/>
      </c>
      <c r="B410" s="147" t="str">
        <f>IF('5 yr'!B413=0,"",'5 yr'!B413)</f>
        <v/>
      </c>
      <c r="C410" s="148" t="str">
        <f>IF('5 yr'!E413=0,"",'5 yr'!E413)</f>
        <v/>
      </c>
      <c r="D410" s="149" t="str">
        <f>IF('5 yr'!I413=0,"",'5 yr'!I413)</f>
        <v/>
      </c>
      <c r="E410" s="150" t="str">
        <f>IFERROR(IF('5 yr'!AF413=0,"",'5 yr'!AF413),"")</f>
        <v/>
      </c>
      <c r="F410" s="150" t="str">
        <f>IFERROR(IF('5 yr'!AH413=0,"",'5 yr'!AH413),"")</f>
        <v/>
      </c>
      <c r="G410" s="156" t="str">
        <f>IFERROR(IF('5 yr'!AI413=0,"",'5 yr'!AI413),"")</f>
        <v/>
      </c>
    </row>
    <row r="411" spans="1:7">
      <c r="A411" s="149" t="str">
        <f>IF('5 yr'!A414=0,"",'5 yr'!A414)</f>
        <v/>
      </c>
      <c r="B411" s="147" t="str">
        <f>IF('5 yr'!B414=0,"",'5 yr'!B414)</f>
        <v/>
      </c>
      <c r="C411" s="148" t="str">
        <f>IF('5 yr'!E414=0,"",'5 yr'!E414)</f>
        <v/>
      </c>
      <c r="D411" s="149" t="str">
        <f>IF('5 yr'!I414=0,"",'5 yr'!I414)</f>
        <v/>
      </c>
      <c r="E411" s="150" t="str">
        <f>IFERROR(IF('5 yr'!AF414=0,"",'5 yr'!AF414),"")</f>
        <v/>
      </c>
      <c r="F411" s="150" t="str">
        <f>IFERROR(IF('5 yr'!AH414=0,"",'5 yr'!AH414),"")</f>
        <v/>
      </c>
      <c r="G411" s="156" t="str">
        <f>IFERROR(IF('5 yr'!AI414=0,"",'5 yr'!AI414),"")</f>
        <v/>
      </c>
    </row>
    <row r="412" spans="1:7">
      <c r="A412" s="149" t="str">
        <f>IF('5 yr'!A415=0,"",'5 yr'!A415)</f>
        <v/>
      </c>
      <c r="B412" s="147" t="str">
        <f>IF('5 yr'!B415=0,"",'5 yr'!B415)</f>
        <v/>
      </c>
      <c r="C412" s="148" t="str">
        <f>IF('5 yr'!E415=0,"",'5 yr'!E415)</f>
        <v/>
      </c>
      <c r="D412" s="149" t="str">
        <f>IF('5 yr'!I415=0,"",'5 yr'!I415)</f>
        <v/>
      </c>
      <c r="E412" s="150" t="str">
        <f>IFERROR(IF('5 yr'!AF415=0,"",'5 yr'!AF415),"")</f>
        <v/>
      </c>
      <c r="F412" s="150" t="str">
        <f>IFERROR(IF('5 yr'!AH415=0,"",'5 yr'!AH415),"")</f>
        <v/>
      </c>
      <c r="G412" s="156" t="str">
        <f>IFERROR(IF('5 yr'!AI415=0,"",'5 yr'!AI415),"")</f>
        <v/>
      </c>
    </row>
    <row r="413" spans="1:7">
      <c r="A413" s="149" t="str">
        <f>IF('5 yr'!A416=0,"",'5 yr'!A416)</f>
        <v/>
      </c>
      <c r="B413" s="147" t="str">
        <f>IF('5 yr'!B416=0,"",'5 yr'!B416)</f>
        <v/>
      </c>
      <c r="C413" s="148" t="str">
        <f>IF('5 yr'!E416=0,"",'5 yr'!E416)</f>
        <v/>
      </c>
      <c r="D413" s="149" t="str">
        <f>IF('5 yr'!I416=0,"",'5 yr'!I416)</f>
        <v/>
      </c>
      <c r="E413" s="150" t="str">
        <f>IFERROR(IF('5 yr'!AF416=0,"",'5 yr'!AF416),"")</f>
        <v/>
      </c>
      <c r="F413" s="150" t="str">
        <f>IFERROR(IF('5 yr'!AH416=0,"",'5 yr'!AH416),"")</f>
        <v/>
      </c>
      <c r="G413" s="156" t="str">
        <f>IFERROR(IF('5 yr'!AI416=0,"",'5 yr'!AI416),"")</f>
        <v/>
      </c>
    </row>
    <row r="414" spans="1:7">
      <c r="A414" s="149" t="str">
        <f>IF('5 yr'!A417=0,"",'5 yr'!A417)</f>
        <v/>
      </c>
      <c r="B414" s="147" t="str">
        <f>IF('5 yr'!B417=0,"",'5 yr'!B417)</f>
        <v/>
      </c>
      <c r="C414" s="148" t="str">
        <f>IF('5 yr'!E417=0,"",'5 yr'!E417)</f>
        <v/>
      </c>
      <c r="D414" s="149" t="str">
        <f>IF('5 yr'!I417=0,"",'5 yr'!I417)</f>
        <v/>
      </c>
      <c r="E414" s="150" t="str">
        <f>IFERROR(IF('5 yr'!AF417=0,"",'5 yr'!AF417),"")</f>
        <v/>
      </c>
      <c r="F414" s="150" t="str">
        <f>IFERROR(IF('5 yr'!AH417=0,"",'5 yr'!AH417),"")</f>
        <v/>
      </c>
      <c r="G414" s="156" t="str">
        <f>IFERROR(IF('5 yr'!AI417=0,"",'5 yr'!AI417),"")</f>
        <v/>
      </c>
    </row>
    <row r="415" spans="1:7">
      <c r="A415" s="149" t="str">
        <f>IF('5 yr'!A418=0,"",'5 yr'!A418)</f>
        <v/>
      </c>
      <c r="B415" s="147" t="str">
        <f>IF('5 yr'!B418=0,"",'5 yr'!B418)</f>
        <v/>
      </c>
      <c r="C415" s="148" t="str">
        <f>IF('5 yr'!E418=0,"",'5 yr'!E418)</f>
        <v/>
      </c>
      <c r="D415" s="149" t="str">
        <f>IF('5 yr'!I418=0,"",'5 yr'!I418)</f>
        <v/>
      </c>
      <c r="E415" s="150" t="str">
        <f>IFERROR(IF('5 yr'!AF418=0,"",'5 yr'!AF418),"")</f>
        <v/>
      </c>
      <c r="F415" s="150" t="str">
        <f>IFERROR(IF('5 yr'!AH418=0,"",'5 yr'!AH418),"")</f>
        <v/>
      </c>
      <c r="G415" s="156" t="str">
        <f>IFERROR(IF('5 yr'!AI418=0,"",'5 yr'!AI418),"")</f>
        <v/>
      </c>
    </row>
    <row r="416" spans="1:7">
      <c r="A416" s="149" t="str">
        <f>IF('5 yr'!A419=0,"",'5 yr'!A419)</f>
        <v/>
      </c>
      <c r="B416" s="147" t="str">
        <f>IF('5 yr'!B419=0,"",'5 yr'!B419)</f>
        <v/>
      </c>
      <c r="C416" s="148" t="str">
        <f>IF('5 yr'!E419=0,"",'5 yr'!E419)</f>
        <v/>
      </c>
      <c r="D416" s="149" t="str">
        <f>IF('5 yr'!I419=0,"",'5 yr'!I419)</f>
        <v/>
      </c>
      <c r="E416" s="150" t="str">
        <f>IFERROR(IF('5 yr'!AF419=0,"",'5 yr'!AF419),"")</f>
        <v/>
      </c>
      <c r="F416" s="150" t="str">
        <f>IFERROR(IF('5 yr'!AH419=0,"",'5 yr'!AH419),"")</f>
        <v/>
      </c>
      <c r="G416" s="156" t="str">
        <f>IFERROR(IF('5 yr'!AI419=0,"",'5 yr'!AI419),"")</f>
        <v/>
      </c>
    </row>
    <row r="417" spans="1:7">
      <c r="A417" s="149" t="str">
        <f>IF('5 yr'!A420=0,"",'5 yr'!A420)</f>
        <v/>
      </c>
      <c r="B417" s="147" t="str">
        <f>IF('5 yr'!B420=0,"",'5 yr'!B420)</f>
        <v/>
      </c>
      <c r="C417" s="148" t="str">
        <f>IF('5 yr'!E420=0,"",'5 yr'!E420)</f>
        <v/>
      </c>
      <c r="D417" s="149" t="str">
        <f>IF('5 yr'!I420=0,"",'5 yr'!I420)</f>
        <v/>
      </c>
      <c r="E417" s="150" t="str">
        <f>IFERROR(IF('5 yr'!AF420=0,"",'5 yr'!AF420),"")</f>
        <v/>
      </c>
      <c r="F417" s="150" t="str">
        <f>IFERROR(IF('5 yr'!AH420=0,"",'5 yr'!AH420),"")</f>
        <v/>
      </c>
      <c r="G417" s="156" t="str">
        <f>IFERROR(IF('5 yr'!AI420=0,"",'5 yr'!AI420),"")</f>
        <v/>
      </c>
    </row>
    <row r="418" spans="1:7">
      <c r="A418" s="149" t="str">
        <f>IF('5 yr'!A421=0,"",'5 yr'!A421)</f>
        <v/>
      </c>
      <c r="B418" s="147" t="str">
        <f>IF('5 yr'!B421=0,"",'5 yr'!B421)</f>
        <v/>
      </c>
      <c r="C418" s="148" t="str">
        <f>IF('5 yr'!E421=0,"",'5 yr'!E421)</f>
        <v/>
      </c>
      <c r="D418" s="149" t="str">
        <f>IF('5 yr'!I421=0,"",'5 yr'!I421)</f>
        <v/>
      </c>
      <c r="E418" s="150" t="str">
        <f>IFERROR(IF('5 yr'!AF421=0,"",'5 yr'!AF421),"")</f>
        <v/>
      </c>
      <c r="F418" s="150" t="str">
        <f>IFERROR(IF('5 yr'!AH421=0,"",'5 yr'!AH421),"")</f>
        <v/>
      </c>
      <c r="G418" s="156" t="str">
        <f>IFERROR(IF('5 yr'!AI421=0,"",'5 yr'!AI421),"")</f>
        <v/>
      </c>
    </row>
    <row r="419" spans="1:7">
      <c r="A419" s="149" t="str">
        <f>IF('5 yr'!A422=0,"",'5 yr'!A422)</f>
        <v/>
      </c>
      <c r="B419" s="147" t="str">
        <f>IF('5 yr'!B422=0,"",'5 yr'!B422)</f>
        <v/>
      </c>
      <c r="C419" s="148" t="str">
        <f>IF('5 yr'!E422=0,"",'5 yr'!E422)</f>
        <v/>
      </c>
      <c r="D419" s="149" t="str">
        <f>IF('5 yr'!I422=0,"",'5 yr'!I422)</f>
        <v/>
      </c>
      <c r="E419" s="150" t="str">
        <f>IFERROR(IF('5 yr'!AF422=0,"",'5 yr'!AF422),"")</f>
        <v/>
      </c>
      <c r="F419" s="150" t="str">
        <f>IFERROR(IF('5 yr'!AH422=0,"",'5 yr'!AH422),"")</f>
        <v/>
      </c>
      <c r="G419" s="156" t="str">
        <f>IFERROR(IF('5 yr'!AI422=0,"",'5 yr'!AI422),"")</f>
        <v/>
      </c>
    </row>
    <row r="420" spans="1:7">
      <c r="A420" s="149" t="str">
        <f>IF('5 yr'!A423=0,"",'5 yr'!A423)</f>
        <v/>
      </c>
      <c r="B420" s="147" t="str">
        <f>IF('5 yr'!B423=0,"",'5 yr'!B423)</f>
        <v/>
      </c>
      <c r="C420" s="148" t="str">
        <f>IF('5 yr'!E423=0,"",'5 yr'!E423)</f>
        <v/>
      </c>
      <c r="D420" s="149" t="str">
        <f>IF('5 yr'!I423=0,"",'5 yr'!I423)</f>
        <v/>
      </c>
      <c r="E420" s="150" t="str">
        <f>IFERROR(IF('5 yr'!AF423=0,"",'5 yr'!AF423),"")</f>
        <v/>
      </c>
      <c r="F420" s="150" t="str">
        <f>IFERROR(IF('5 yr'!AH423=0,"",'5 yr'!AH423),"")</f>
        <v/>
      </c>
      <c r="G420" s="156" t="str">
        <f>IFERROR(IF('5 yr'!AI423=0,"",'5 yr'!AI423),"")</f>
        <v/>
      </c>
    </row>
    <row r="421" spans="1:7">
      <c r="A421" s="149" t="str">
        <f>IF('5 yr'!A424=0,"",'5 yr'!A424)</f>
        <v/>
      </c>
      <c r="B421" s="147" t="str">
        <f>IF('5 yr'!B424=0,"",'5 yr'!B424)</f>
        <v/>
      </c>
      <c r="C421" s="148" t="str">
        <f>IF('5 yr'!E424=0,"",'5 yr'!E424)</f>
        <v/>
      </c>
      <c r="D421" s="149" t="str">
        <f>IF('5 yr'!I424=0,"",'5 yr'!I424)</f>
        <v/>
      </c>
      <c r="E421" s="150" t="str">
        <f>IFERROR(IF('5 yr'!AF424=0,"",'5 yr'!AF424),"")</f>
        <v/>
      </c>
      <c r="F421" s="150" t="str">
        <f>IFERROR(IF('5 yr'!AH424=0,"",'5 yr'!AH424),"")</f>
        <v/>
      </c>
      <c r="G421" s="156" t="str">
        <f>IFERROR(IF('5 yr'!AI424=0,"",'5 yr'!AI424),"")</f>
        <v/>
      </c>
    </row>
    <row r="422" spans="1:7">
      <c r="A422" s="149" t="str">
        <f>IF('5 yr'!A425=0,"",'5 yr'!A425)</f>
        <v/>
      </c>
      <c r="B422" s="147" t="str">
        <f>IF('5 yr'!B425=0,"",'5 yr'!B425)</f>
        <v/>
      </c>
      <c r="C422" s="148" t="str">
        <f>IF('5 yr'!E425=0,"",'5 yr'!E425)</f>
        <v/>
      </c>
      <c r="D422" s="149" t="str">
        <f>IF('5 yr'!I425=0,"",'5 yr'!I425)</f>
        <v/>
      </c>
      <c r="E422" s="150" t="str">
        <f>IFERROR(IF('5 yr'!AF425=0,"",'5 yr'!AF425),"")</f>
        <v/>
      </c>
      <c r="F422" s="150" t="str">
        <f>IFERROR(IF('5 yr'!AH425=0,"",'5 yr'!AH425),"")</f>
        <v/>
      </c>
      <c r="G422" s="156" t="str">
        <f>IFERROR(IF('5 yr'!AI425=0,"",'5 yr'!AI425),"")</f>
        <v/>
      </c>
    </row>
    <row r="423" spans="1:7">
      <c r="A423" s="149" t="str">
        <f>IF('5 yr'!A426=0,"",'5 yr'!A426)</f>
        <v/>
      </c>
      <c r="B423" s="147" t="str">
        <f>IF('5 yr'!B426=0,"",'5 yr'!B426)</f>
        <v/>
      </c>
      <c r="C423" s="148" t="str">
        <f>IF('5 yr'!E426=0,"",'5 yr'!E426)</f>
        <v/>
      </c>
      <c r="D423" s="149" t="str">
        <f>IF('5 yr'!I426=0,"",'5 yr'!I426)</f>
        <v/>
      </c>
      <c r="E423" s="150" t="str">
        <f>IFERROR(IF('5 yr'!AF426=0,"",'5 yr'!AF426),"")</f>
        <v/>
      </c>
      <c r="F423" s="150" t="str">
        <f>IFERROR(IF('5 yr'!AH426=0,"",'5 yr'!AH426),"")</f>
        <v/>
      </c>
      <c r="G423" s="156" t="str">
        <f>IFERROR(IF('5 yr'!AI426=0,"",'5 yr'!AI426),"")</f>
        <v/>
      </c>
    </row>
    <row r="424" spans="1:7">
      <c r="A424" s="149" t="str">
        <f>IF('5 yr'!A427=0,"",'5 yr'!A427)</f>
        <v/>
      </c>
      <c r="B424" s="147" t="str">
        <f>IF('5 yr'!B427=0,"",'5 yr'!B427)</f>
        <v/>
      </c>
      <c r="C424" s="148" t="str">
        <f>IF('5 yr'!E427=0,"",'5 yr'!E427)</f>
        <v/>
      </c>
      <c r="D424" s="149" t="str">
        <f>IF('5 yr'!I427=0,"",'5 yr'!I427)</f>
        <v/>
      </c>
      <c r="E424" s="150" t="str">
        <f>IFERROR(IF('5 yr'!AF427=0,"",'5 yr'!AF427),"")</f>
        <v/>
      </c>
      <c r="F424" s="150" t="str">
        <f>IFERROR(IF('5 yr'!AH427=0,"",'5 yr'!AH427),"")</f>
        <v/>
      </c>
      <c r="G424" s="156" t="str">
        <f>IFERROR(IF('5 yr'!AI427=0,"",'5 yr'!AI427),"")</f>
        <v/>
      </c>
    </row>
    <row r="425" spans="1:7">
      <c r="A425" s="149" t="str">
        <f>IF('5 yr'!A428=0,"",'5 yr'!A428)</f>
        <v/>
      </c>
      <c r="B425" s="147" t="str">
        <f>IF('5 yr'!B428=0,"",'5 yr'!B428)</f>
        <v/>
      </c>
      <c r="C425" s="148" t="str">
        <f>IF('5 yr'!E428=0,"",'5 yr'!E428)</f>
        <v/>
      </c>
      <c r="D425" s="149" t="str">
        <f>IF('5 yr'!I428=0,"",'5 yr'!I428)</f>
        <v/>
      </c>
      <c r="E425" s="150" t="str">
        <f>IFERROR(IF('5 yr'!AF428=0,"",'5 yr'!AF428),"")</f>
        <v/>
      </c>
      <c r="F425" s="150" t="str">
        <f>IFERROR(IF('5 yr'!AH428=0,"",'5 yr'!AH428),"")</f>
        <v/>
      </c>
      <c r="G425" s="156" t="str">
        <f>IFERROR(IF('5 yr'!AI428=0,"",'5 yr'!AI428),"")</f>
        <v/>
      </c>
    </row>
    <row r="426" spans="1:7">
      <c r="A426" s="149" t="str">
        <f>IF('5 yr'!A429=0,"",'5 yr'!A429)</f>
        <v/>
      </c>
      <c r="B426" s="147" t="str">
        <f>IF('5 yr'!B429=0,"",'5 yr'!B429)</f>
        <v/>
      </c>
      <c r="C426" s="148" t="str">
        <f>IF('5 yr'!E429=0,"",'5 yr'!E429)</f>
        <v/>
      </c>
      <c r="D426" s="149" t="str">
        <f>IF('5 yr'!I429=0,"",'5 yr'!I429)</f>
        <v/>
      </c>
      <c r="E426" s="150" t="str">
        <f>IFERROR(IF('5 yr'!AF429=0,"",'5 yr'!AF429),"")</f>
        <v/>
      </c>
      <c r="F426" s="150" t="str">
        <f>IFERROR(IF('5 yr'!AH429=0,"",'5 yr'!AH429),"")</f>
        <v/>
      </c>
      <c r="G426" s="156" t="str">
        <f>IFERROR(IF('5 yr'!AI429=0,"",'5 yr'!AI429),"")</f>
        <v/>
      </c>
    </row>
    <row r="427" spans="1:7">
      <c r="A427" s="149" t="str">
        <f>IF('5 yr'!A430=0,"",'5 yr'!A430)</f>
        <v/>
      </c>
      <c r="B427" s="147" t="str">
        <f>IF('5 yr'!B430=0,"",'5 yr'!B430)</f>
        <v/>
      </c>
      <c r="C427" s="148" t="str">
        <f>IF('5 yr'!E430=0,"",'5 yr'!E430)</f>
        <v/>
      </c>
      <c r="D427" s="149" t="str">
        <f>IF('5 yr'!I430=0,"",'5 yr'!I430)</f>
        <v/>
      </c>
      <c r="E427" s="150" t="str">
        <f>IFERROR(IF('5 yr'!AF430=0,"",'5 yr'!AF430),"")</f>
        <v/>
      </c>
      <c r="F427" s="150" t="str">
        <f>IFERROR(IF('5 yr'!AH430=0,"",'5 yr'!AH430),"")</f>
        <v/>
      </c>
      <c r="G427" s="156" t="str">
        <f>IFERROR(IF('5 yr'!AI430=0,"",'5 yr'!AI430),"")</f>
        <v/>
      </c>
    </row>
    <row r="428" spans="1:7">
      <c r="A428" s="149" t="str">
        <f>IF('5 yr'!A431=0,"",'5 yr'!A431)</f>
        <v/>
      </c>
      <c r="B428" s="147" t="str">
        <f>IF('5 yr'!B431=0,"",'5 yr'!B431)</f>
        <v/>
      </c>
      <c r="C428" s="148" t="str">
        <f>IF('5 yr'!E431=0,"",'5 yr'!E431)</f>
        <v/>
      </c>
      <c r="D428" s="149" t="str">
        <f>IF('5 yr'!I431=0,"",'5 yr'!I431)</f>
        <v/>
      </c>
      <c r="E428" s="150" t="str">
        <f>IFERROR(IF('5 yr'!AF431=0,"",'5 yr'!AF431),"")</f>
        <v/>
      </c>
      <c r="F428" s="150" t="str">
        <f>IFERROR(IF('5 yr'!AH431=0,"",'5 yr'!AH431),"")</f>
        <v/>
      </c>
      <c r="G428" s="156" t="str">
        <f>IFERROR(IF('5 yr'!AI431=0,"",'5 yr'!AI431),"")</f>
        <v/>
      </c>
    </row>
    <row r="429" spans="1:7">
      <c r="A429" s="149" t="str">
        <f>IF('5 yr'!A432=0,"",'5 yr'!A432)</f>
        <v/>
      </c>
      <c r="B429" s="147" t="str">
        <f>IF('5 yr'!B432=0,"",'5 yr'!B432)</f>
        <v/>
      </c>
      <c r="C429" s="148" t="str">
        <f>IF('5 yr'!E432=0,"",'5 yr'!E432)</f>
        <v/>
      </c>
      <c r="D429" s="149" t="str">
        <f>IF('5 yr'!I432=0,"",'5 yr'!I432)</f>
        <v/>
      </c>
      <c r="E429" s="150" t="str">
        <f>IFERROR(IF('5 yr'!AF432=0,"",'5 yr'!AF432),"")</f>
        <v/>
      </c>
      <c r="F429" s="150" t="str">
        <f>IFERROR(IF('5 yr'!AH432=0,"",'5 yr'!AH432),"")</f>
        <v/>
      </c>
      <c r="G429" s="156" t="str">
        <f>IFERROR(IF('5 yr'!AI432=0,"",'5 yr'!AI432),"")</f>
        <v/>
      </c>
    </row>
    <row r="430" spans="1:7">
      <c r="A430" s="149" t="str">
        <f>IF('5 yr'!A433=0,"",'5 yr'!A433)</f>
        <v/>
      </c>
      <c r="B430" s="147" t="str">
        <f>IF('5 yr'!B433=0,"",'5 yr'!B433)</f>
        <v/>
      </c>
      <c r="C430" s="148" t="str">
        <f>IF('5 yr'!E433=0,"",'5 yr'!E433)</f>
        <v/>
      </c>
      <c r="D430" s="149" t="str">
        <f>IF('5 yr'!I433=0,"",'5 yr'!I433)</f>
        <v/>
      </c>
      <c r="E430" s="150" t="str">
        <f>IFERROR(IF('5 yr'!AF433=0,"",'5 yr'!AF433),"")</f>
        <v/>
      </c>
      <c r="F430" s="150" t="str">
        <f>IFERROR(IF('5 yr'!AH433=0,"",'5 yr'!AH433),"")</f>
        <v/>
      </c>
      <c r="G430" s="156" t="str">
        <f>IFERROR(IF('5 yr'!AI433=0,"",'5 yr'!AI433),"")</f>
        <v/>
      </c>
    </row>
    <row r="431" spans="1:7">
      <c r="A431" s="149" t="str">
        <f>IF('5 yr'!A434=0,"",'5 yr'!A434)</f>
        <v/>
      </c>
      <c r="B431" s="147" t="str">
        <f>IF('5 yr'!B434=0,"",'5 yr'!B434)</f>
        <v/>
      </c>
      <c r="C431" s="148" t="str">
        <f>IF('5 yr'!E434=0,"",'5 yr'!E434)</f>
        <v/>
      </c>
      <c r="D431" s="149" t="str">
        <f>IF('5 yr'!I434=0,"",'5 yr'!I434)</f>
        <v/>
      </c>
      <c r="E431" s="150" t="str">
        <f>IFERROR(IF('5 yr'!AF434=0,"",'5 yr'!AF434),"")</f>
        <v/>
      </c>
      <c r="F431" s="150" t="str">
        <f>IFERROR(IF('5 yr'!AH434=0,"",'5 yr'!AH434),"")</f>
        <v/>
      </c>
      <c r="G431" s="156" t="str">
        <f>IFERROR(IF('5 yr'!AI434=0,"",'5 yr'!AI434),"")</f>
        <v/>
      </c>
    </row>
    <row r="432" spans="1:7">
      <c r="A432" s="149" t="str">
        <f>IF('5 yr'!A435=0,"",'5 yr'!A435)</f>
        <v/>
      </c>
      <c r="B432" s="147" t="str">
        <f>IF('5 yr'!B435=0,"",'5 yr'!B435)</f>
        <v/>
      </c>
      <c r="C432" s="148" t="str">
        <f>IF('5 yr'!E435=0,"",'5 yr'!E435)</f>
        <v/>
      </c>
      <c r="D432" s="149" t="str">
        <f>IF('5 yr'!I435=0,"",'5 yr'!I435)</f>
        <v/>
      </c>
      <c r="E432" s="150" t="str">
        <f>IFERROR(IF('5 yr'!AF435=0,"",'5 yr'!AF435),"")</f>
        <v/>
      </c>
      <c r="F432" s="150" t="str">
        <f>IFERROR(IF('5 yr'!AH435=0,"",'5 yr'!AH435),"")</f>
        <v/>
      </c>
      <c r="G432" s="156" t="str">
        <f>IFERROR(IF('5 yr'!AI435=0,"",'5 yr'!AI435),"")</f>
        <v/>
      </c>
    </row>
    <row r="433" spans="1:7">
      <c r="A433" s="149" t="str">
        <f>IF('5 yr'!A436=0,"",'5 yr'!A436)</f>
        <v/>
      </c>
      <c r="B433" s="147" t="str">
        <f>IF('5 yr'!B436=0,"",'5 yr'!B436)</f>
        <v/>
      </c>
      <c r="C433" s="148" t="str">
        <f>IF('5 yr'!E436=0,"",'5 yr'!E436)</f>
        <v/>
      </c>
      <c r="D433" s="149" t="str">
        <f>IF('5 yr'!I436=0,"",'5 yr'!I436)</f>
        <v/>
      </c>
      <c r="E433" s="150" t="str">
        <f>IFERROR(IF('5 yr'!AF436=0,"",'5 yr'!AF436),"")</f>
        <v/>
      </c>
      <c r="F433" s="150" t="str">
        <f>IFERROR(IF('5 yr'!AH436=0,"",'5 yr'!AH436),"")</f>
        <v/>
      </c>
      <c r="G433" s="156" t="str">
        <f>IFERROR(IF('5 yr'!AI436=0,"",'5 yr'!AI436),"")</f>
        <v/>
      </c>
    </row>
    <row r="434" spans="1:7">
      <c r="A434" s="149" t="str">
        <f>IF('5 yr'!A437=0,"",'5 yr'!A437)</f>
        <v/>
      </c>
      <c r="B434" s="147" t="str">
        <f>IF('5 yr'!B437=0,"",'5 yr'!B437)</f>
        <v/>
      </c>
      <c r="C434" s="148" t="str">
        <f>IF('5 yr'!E437=0,"",'5 yr'!E437)</f>
        <v/>
      </c>
      <c r="D434" s="149" t="str">
        <f>IF('5 yr'!I437=0,"",'5 yr'!I437)</f>
        <v/>
      </c>
      <c r="E434" s="150" t="str">
        <f>IFERROR(IF('5 yr'!AF437=0,"",'5 yr'!AF437),"")</f>
        <v/>
      </c>
      <c r="F434" s="150" t="str">
        <f>IFERROR(IF('5 yr'!AH437=0,"",'5 yr'!AH437),"")</f>
        <v/>
      </c>
      <c r="G434" s="156" t="str">
        <f>IFERROR(IF('5 yr'!AI437=0,"",'5 yr'!AI437),"")</f>
        <v/>
      </c>
    </row>
    <row r="435" spans="1:7">
      <c r="A435" s="149" t="str">
        <f>IF('5 yr'!A438=0,"",'5 yr'!A438)</f>
        <v/>
      </c>
      <c r="B435" s="147" t="str">
        <f>IF('5 yr'!B438=0,"",'5 yr'!B438)</f>
        <v/>
      </c>
      <c r="C435" s="148" t="str">
        <f>IF('5 yr'!E438=0,"",'5 yr'!E438)</f>
        <v/>
      </c>
      <c r="D435" s="149" t="str">
        <f>IF('5 yr'!I438=0,"",'5 yr'!I438)</f>
        <v/>
      </c>
      <c r="E435" s="150" t="str">
        <f>IFERROR(IF('5 yr'!AF438=0,"",'5 yr'!AF438),"")</f>
        <v/>
      </c>
      <c r="F435" s="150" t="str">
        <f>IFERROR(IF('5 yr'!AH438=0,"",'5 yr'!AH438),"")</f>
        <v/>
      </c>
      <c r="G435" s="156" t="str">
        <f>IFERROR(IF('5 yr'!AI438=0,"",'5 yr'!AI438),"")</f>
        <v/>
      </c>
    </row>
    <row r="436" spans="1:7">
      <c r="A436" s="149" t="str">
        <f>IF('5 yr'!A439=0,"",'5 yr'!A439)</f>
        <v/>
      </c>
      <c r="B436" s="147" t="str">
        <f>IF('5 yr'!B439=0,"",'5 yr'!B439)</f>
        <v/>
      </c>
      <c r="C436" s="148" t="str">
        <f>IF('5 yr'!E439=0,"",'5 yr'!E439)</f>
        <v/>
      </c>
      <c r="D436" s="149" t="str">
        <f>IF('5 yr'!I439=0,"",'5 yr'!I439)</f>
        <v/>
      </c>
      <c r="E436" s="150" t="str">
        <f>IFERROR(IF('5 yr'!AF439=0,"",'5 yr'!AF439),"")</f>
        <v/>
      </c>
      <c r="F436" s="150" t="str">
        <f>IFERROR(IF('5 yr'!AH439=0,"",'5 yr'!AH439),"")</f>
        <v/>
      </c>
      <c r="G436" s="156" t="str">
        <f>IFERROR(IF('5 yr'!AI439=0,"",'5 yr'!AI439),"")</f>
        <v/>
      </c>
    </row>
    <row r="437" spans="1:7">
      <c r="A437" s="149" t="str">
        <f>IF('5 yr'!A440=0,"",'5 yr'!A440)</f>
        <v/>
      </c>
      <c r="B437" s="147" t="str">
        <f>IF('5 yr'!B440=0,"",'5 yr'!B440)</f>
        <v/>
      </c>
      <c r="C437" s="148" t="str">
        <f>IF('5 yr'!E440=0,"",'5 yr'!E440)</f>
        <v/>
      </c>
      <c r="D437" s="149" t="str">
        <f>IF('5 yr'!I440=0,"",'5 yr'!I440)</f>
        <v/>
      </c>
      <c r="E437" s="150" t="str">
        <f>IFERROR(IF('5 yr'!AF440=0,"",'5 yr'!AF440),"")</f>
        <v/>
      </c>
      <c r="F437" s="150" t="str">
        <f>IFERROR(IF('5 yr'!AH440=0,"",'5 yr'!AH440),"")</f>
        <v/>
      </c>
      <c r="G437" s="156" t="str">
        <f>IFERROR(IF('5 yr'!AI440=0,"",'5 yr'!AI440),"")</f>
        <v/>
      </c>
    </row>
    <row r="438" spans="1:7">
      <c r="A438" s="149" t="str">
        <f>IF('5 yr'!A441=0,"",'5 yr'!A441)</f>
        <v/>
      </c>
      <c r="B438" s="147" t="str">
        <f>IF('5 yr'!B441=0,"",'5 yr'!B441)</f>
        <v/>
      </c>
      <c r="C438" s="148" t="str">
        <f>IF('5 yr'!E441=0,"",'5 yr'!E441)</f>
        <v/>
      </c>
      <c r="D438" s="149" t="str">
        <f>IF('5 yr'!I441=0,"",'5 yr'!I441)</f>
        <v/>
      </c>
      <c r="E438" s="150" t="str">
        <f>IFERROR(IF('5 yr'!AF441=0,"",'5 yr'!AF441),"")</f>
        <v/>
      </c>
      <c r="F438" s="150" t="str">
        <f>IFERROR(IF('5 yr'!AH441=0,"",'5 yr'!AH441),"")</f>
        <v/>
      </c>
      <c r="G438" s="156" t="str">
        <f>IFERROR(IF('5 yr'!AI441=0,"",'5 yr'!AI441),"")</f>
        <v/>
      </c>
    </row>
    <row r="439" spans="1:7">
      <c r="A439" s="149" t="str">
        <f>IF('5 yr'!A442=0,"",'5 yr'!A442)</f>
        <v/>
      </c>
      <c r="B439" s="147" t="str">
        <f>IF('5 yr'!B442=0,"",'5 yr'!B442)</f>
        <v/>
      </c>
      <c r="C439" s="148" t="str">
        <f>IF('5 yr'!E442=0,"",'5 yr'!E442)</f>
        <v/>
      </c>
      <c r="D439" s="149" t="str">
        <f>IF('5 yr'!I442=0,"",'5 yr'!I442)</f>
        <v/>
      </c>
      <c r="E439" s="150" t="str">
        <f>IFERROR(IF('5 yr'!AF442=0,"",'5 yr'!AF442),"")</f>
        <v/>
      </c>
      <c r="F439" s="150" t="str">
        <f>IFERROR(IF('5 yr'!AH442=0,"",'5 yr'!AH442),"")</f>
        <v/>
      </c>
      <c r="G439" s="156" t="str">
        <f>IFERROR(IF('5 yr'!AI442=0,"",'5 yr'!AI442),"")</f>
        <v/>
      </c>
    </row>
    <row r="440" spans="1:7">
      <c r="A440" s="149" t="str">
        <f>IF('5 yr'!A443=0,"",'5 yr'!A443)</f>
        <v/>
      </c>
      <c r="B440" s="147" t="str">
        <f>IF('5 yr'!B443=0,"",'5 yr'!B443)</f>
        <v/>
      </c>
      <c r="C440" s="148" t="str">
        <f>IF('5 yr'!E443=0,"",'5 yr'!E443)</f>
        <v/>
      </c>
      <c r="D440" s="149" t="str">
        <f>IF('5 yr'!I443=0,"",'5 yr'!I443)</f>
        <v/>
      </c>
      <c r="E440" s="150" t="str">
        <f>IFERROR(IF('5 yr'!AF443=0,"",'5 yr'!AF443),"")</f>
        <v/>
      </c>
      <c r="F440" s="150" t="str">
        <f>IFERROR(IF('5 yr'!AH443=0,"",'5 yr'!AH443),"")</f>
        <v/>
      </c>
      <c r="G440" s="156" t="str">
        <f>IFERROR(IF('5 yr'!AI443=0,"",'5 yr'!AI443),"")</f>
        <v/>
      </c>
    </row>
    <row r="441" spans="1:7">
      <c r="A441" s="149" t="str">
        <f>IF('5 yr'!A444=0,"",'5 yr'!A444)</f>
        <v/>
      </c>
      <c r="B441" s="147" t="str">
        <f>IF('5 yr'!B444=0,"",'5 yr'!B444)</f>
        <v/>
      </c>
      <c r="C441" s="148" t="str">
        <f>IF('5 yr'!E444=0,"",'5 yr'!E444)</f>
        <v/>
      </c>
      <c r="D441" s="149" t="str">
        <f>IF('5 yr'!I444=0,"",'5 yr'!I444)</f>
        <v/>
      </c>
      <c r="E441" s="150" t="str">
        <f>IFERROR(IF('5 yr'!AF444=0,"",'5 yr'!AF444),"")</f>
        <v/>
      </c>
      <c r="F441" s="150" t="str">
        <f>IFERROR(IF('5 yr'!AH444=0,"",'5 yr'!AH444),"")</f>
        <v/>
      </c>
      <c r="G441" s="156" t="str">
        <f>IFERROR(IF('5 yr'!AI444=0,"",'5 yr'!AI444),"")</f>
        <v/>
      </c>
    </row>
    <row r="442" spans="1:7">
      <c r="A442" s="149" t="str">
        <f>IF('5 yr'!A445=0,"",'5 yr'!A445)</f>
        <v/>
      </c>
      <c r="B442" s="147" t="str">
        <f>IF('5 yr'!B445=0,"",'5 yr'!B445)</f>
        <v/>
      </c>
      <c r="C442" s="148" t="str">
        <f>IF('5 yr'!E445=0,"",'5 yr'!E445)</f>
        <v/>
      </c>
      <c r="D442" s="149" t="str">
        <f>IF('5 yr'!I445=0,"",'5 yr'!I445)</f>
        <v/>
      </c>
      <c r="E442" s="150" t="str">
        <f>IFERROR(IF('5 yr'!AF445=0,"",'5 yr'!AF445),"")</f>
        <v/>
      </c>
      <c r="F442" s="150" t="str">
        <f>IFERROR(IF('5 yr'!AH445=0,"",'5 yr'!AH445),"")</f>
        <v/>
      </c>
      <c r="G442" s="156" t="str">
        <f>IFERROR(IF('5 yr'!AI445=0,"",'5 yr'!AI445),"")</f>
        <v/>
      </c>
    </row>
    <row r="443" spans="1:7">
      <c r="A443" s="149" t="str">
        <f>IF('5 yr'!A446=0,"",'5 yr'!A446)</f>
        <v/>
      </c>
      <c r="B443" s="147" t="str">
        <f>IF('5 yr'!B446=0,"",'5 yr'!B446)</f>
        <v/>
      </c>
      <c r="C443" s="148" t="str">
        <f>IF('5 yr'!E446=0,"",'5 yr'!E446)</f>
        <v/>
      </c>
      <c r="D443" s="149" t="str">
        <f>IF('5 yr'!I446=0,"",'5 yr'!I446)</f>
        <v/>
      </c>
      <c r="E443" s="150" t="str">
        <f>IFERROR(IF('5 yr'!AF446=0,"",'5 yr'!AF446),"")</f>
        <v/>
      </c>
      <c r="F443" s="150" t="str">
        <f>IFERROR(IF('5 yr'!AH446=0,"",'5 yr'!AH446),"")</f>
        <v/>
      </c>
      <c r="G443" s="156" t="str">
        <f>IFERROR(IF('5 yr'!AI446=0,"",'5 yr'!AI446),"")</f>
        <v/>
      </c>
    </row>
    <row r="444" spans="1:7">
      <c r="A444" s="149" t="str">
        <f>IF('5 yr'!A447=0,"",'5 yr'!A447)</f>
        <v/>
      </c>
      <c r="B444" s="147" t="str">
        <f>IF('5 yr'!B447=0,"",'5 yr'!B447)</f>
        <v/>
      </c>
      <c r="C444" s="148" t="str">
        <f>IF('5 yr'!E447=0,"",'5 yr'!E447)</f>
        <v/>
      </c>
      <c r="D444" s="149" t="str">
        <f>IF('5 yr'!I447=0,"",'5 yr'!I447)</f>
        <v/>
      </c>
      <c r="E444" s="150" t="str">
        <f>IFERROR(IF('5 yr'!AF447=0,"",'5 yr'!AF447),"")</f>
        <v/>
      </c>
      <c r="F444" s="150" t="str">
        <f>IFERROR(IF('5 yr'!AH447=0,"",'5 yr'!AH447),"")</f>
        <v/>
      </c>
      <c r="G444" s="156" t="str">
        <f>IFERROR(IF('5 yr'!AI447=0,"",'5 yr'!AI447),"")</f>
        <v/>
      </c>
    </row>
    <row r="445" spans="1:7">
      <c r="A445" s="149" t="str">
        <f>IF('5 yr'!A448=0,"",'5 yr'!A448)</f>
        <v/>
      </c>
      <c r="B445" s="147" t="str">
        <f>IF('5 yr'!B448=0,"",'5 yr'!B448)</f>
        <v/>
      </c>
      <c r="C445" s="148" t="str">
        <f>IF('5 yr'!E448=0,"",'5 yr'!E448)</f>
        <v/>
      </c>
      <c r="D445" s="149" t="str">
        <f>IF('5 yr'!I448=0,"",'5 yr'!I448)</f>
        <v/>
      </c>
      <c r="E445" s="150" t="str">
        <f>IFERROR(IF('5 yr'!AF448=0,"",'5 yr'!AF448),"")</f>
        <v/>
      </c>
      <c r="F445" s="150" t="str">
        <f>IFERROR(IF('5 yr'!AH448=0,"",'5 yr'!AH448),"")</f>
        <v/>
      </c>
      <c r="G445" s="156" t="str">
        <f>IFERROR(IF('5 yr'!AI448=0,"",'5 yr'!AI448),"")</f>
        <v/>
      </c>
    </row>
    <row r="446" spans="1:7">
      <c r="A446" s="149" t="str">
        <f>IF('5 yr'!A449=0,"",'5 yr'!A449)</f>
        <v/>
      </c>
      <c r="B446" s="147" t="str">
        <f>IF('5 yr'!B449=0,"",'5 yr'!B449)</f>
        <v/>
      </c>
      <c r="C446" s="148" t="str">
        <f>IF('5 yr'!E449=0,"",'5 yr'!E449)</f>
        <v/>
      </c>
      <c r="D446" s="149" t="str">
        <f>IF('5 yr'!I449=0,"",'5 yr'!I449)</f>
        <v/>
      </c>
      <c r="E446" s="150" t="str">
        <f>IFERROR(IF('5 yr'!AF449=0,"",'5 yr'!AF449),"")</f>
        <v/>
      </c>
      <c r="F446" s="150" t="str">
        <f>IFERROR(IF('5 yr'!AH449=0,"",'5 yr'!AH449),"")</f>
        <v/>
      </c>
      <c r="G446" s="156" t="str">
        <f>IFERROR(IF('5 yr'!AI449=0,"",'5 yr'!AI449),"")</f>
        <v/>
      </c>
    </row>
    <row r="447" spans="1:7">
      <c r="A447" s="149" t="str">
        <f>IF('5 yr'!A450=0,"",'5 yr'!A450)</f>
        <v/>
      </c>
      <c r="B447" s="147" t="str">
        <f>IF('5 yr'!B450=0,"",'5 yr'!B450)</f>
        <v/>
      </c>
      <c r="C447" s="148" t="str">
        <f>IF('5 yr'!E450=0,"",'5 yr'!E450)</f>
        <v/>
      </c>
      <c r="D447" s="149" t="str">
        <f>IF('5 yr'!I450=0,"",'5 yr'!I450)</f>
        <v/>
      </c>
      <c r="E447" s="150" t="str">
        <f>IFERROR(IF('5 yr'!AF450=0,"",'5 yr'!AF450),"")</f>
        <v/>
      </c>
      <c r="F447" s="150" t="str">
        <f>IFERROR(IF('5 yr'!AH450=0,"",'5 yr'!AH450),"")</f>
        <v/>
      </c>
      <c r="G447" s="156" t="str">
        <f>IFERROR(IF('5 yr'!AI450=0,"",'5 yr'!AI450),"")</f>
        <v/>
      </c>
    </row>
    <row r="448" spans="1:7">
      <c r="A448" s="149" t="str">
        <f>IF('5 yr'!A451=0,"",'5 yr'!A451)</f>
        <v/>
      </c>
      <c r="B448" s="147" t="str">
        <f>IF('5 yr'!B451=0,"",'5 yr'!B451)</f>
        <v/>
      </c>
      <c r="C448" s="148" t="str">
        <f>IF('5 yr'!E451=0,"",'5 yr'!E451)</f>
        <v/>
      </c>
      <c r="D448" s="149" t="str">
        <f>IF('5 yr'!I451=0,"",'5 yr'!I451)</f>
        <v/>
      </c>
      <c r="E448" s="150" t="str">
        <f>IFERROR(IF('5 yr'!AF451=0,"",'5 yr'!AF451),"")</f>
        <v/>
      </c>
      <c r="F448" s="150" t="str">
        <f>IFERROR(IF('5 yr'!AH451=0,"",'5 yr'!AH451),"")</f>
        <v/>
      </c>
      <c r="G448" s="156" t="str">
        <f>IFERROR(IF('5 yr'!AI451=0,"",'5 yr'!AI451),"")</f>
        <v/>
      </c>
    </row>
    <row r="449" spans="1:7">
      <c r="A449" s="149" t="str">
        <f>IF('5 yr'!A452=0,"",'5 yr'!A452)</f>
        <v/>
      </c>
      <c r="B449" s="147" t="str">
        <f>IF('5 yr'!B452=0,"",'5 yr'!B452)</f>
        <v/>
      </c>
      <c r="C449" s="148" t="str">
        <f>IF('5 yr'!E452=0,"",'5 yr'!E452)</f>
        <v/>
      </c>
      <c r="D449" s="149" t="str">
        <f>IF('5 yr'!I452=0,"",'5 yr'!I452)</f>
        <v/>
      </c>
      <c r="E449" s="150" t="str">
        <f>IFERROR(IF('5 yr'!AF452=0,"",'5 yr'!AF452),"")</f>
        <v/>
      </c>
      <c r="F449" s="150" t="str">
        <f>IFERROR(IF('5 yr'!AH452=0,"",'5 yr'!AH452),"")</f>
        <v/>
      </c>
      <c r="G449" s="156" t="str">
        <f>IFERROR(IF('5 yr'!AI452=0,"",'5 yr'!AI452),"")</f>
        <v/>
      </c>
    </row>
    <row r="450" spans="1:7">
      <c r="A450" s="149" t="str">
        <f>IF('5 yr'!A453=0,"",'5 yr'!A453)</f>
        <v/>
      </c>
      <c r="B450" s="147" t="str">
        <f>IF('5 yr'!B453=0,"",'5 yr'!B453)</f>
        <v/>
      </c>
      <c r="C450" s="148" t="str">
        <f>IF('5 yr'!E453=0,"",'5 yr'!E453)</f>
        <v/>
      </c>
      <c r="D450" s="149" t="str">
        <f>IF('5 yr'!I453=0,"",'5 yr'!I453)</f>
        <v/>
      </c>
      <c r="E450" s="150" t="str">
        <f>IFERROR(IF('5 yr'!AF453=0,"",'5 yr'!AF453),"")</f>
        <v/>
      </c>
      <c r="F450" s="150" t="str">
        <f>IFERROR(IF('5 yr'!AH453=0,"",'5 yr'!AH453),"")</f>
        <v/>
      </c>
      <c r="G450" s="156" t="str">
        <f>IFERROR(IF('5 yr'!AI453=0,"",'5 yr'!AI453),"")</f>
        <v/>
      </c>
    </row>
    <row r="451" spans="1:7">
      <c r="A451" s="149" t="str">
        <f>IF('5 yr'!A454=0,"",'5 yr'!A454)</f>
        <v/>
      </c>
      <c r="B451" s="147" t="str">
        <f>IF('5 yr'!B454=0,"",'5 yr'!B454)</f>
        <v/>
      </c>
      <c r="C451" s="148" t="str">
        <f>IF('5 yr'!E454=0,"",'5 yr'!E454)</f>
        <v/>
      </c>
      <c r="D451" s="149" t="str">
        <f>IF('5 yr'!I454=0,"",'5 yr'!I454)</f>
        <v/>
      </c>
      <c r="E451" s="150" t="str">
        <f>IFERROR(IF('5 yr'!AF454=0,"",'5 yr'!AF454),"")</f>
        <v/>
      </c>
      <c r="F451" s="150" t="str">
        <f>IFERROR(IF('5 yr'!AH454=0,"",'5 yr'!AH454),"")</f>
        <v/>
      </c>
      <c r="G451" s="156" t="str">
        <f>IFERROR(IF('5 yr'!AI454=0,"",'5 yr'!AI454),"")</f>
        <v/>
      </c>
    </row>
    <row r="452" spans="1:7">
      <c r="A452" s="149" t="str">
        <f>IF('5 yr'!A455=0,"",'5 yr'!A455)</f>
        <v/>
      </c>
      <c r="B452" s="147" t="str">
        <f>IF('5 yr'!B455=0,"",'5 yr'!B455)</f>
        <v/>
      </c>
      <c r="C452" s="148" t="str">
        <f>IF('5 yr'!E455=0,"",'5 yr'!E455)</f>
        <v/>
      </c>
      <c r="D452" s="149" t="str">
        <f>IF('5 yr'!I455=0,"",'5 yr'!I455)</f>
        <v/>
      </c>
      <c r="E452" s="150" t="str">
        <f>IFERROR(IF('5 yr'!AF455=0,"",'5 yr'!AF455),"")</f>
        <v/>
      </c>
      <c r="F452" s="150" t="str">
        <f>IFERROR(IF('5 yr'!AH455=0,"",'5 yr'!AH455),"")</f>
        <v/>
      </c>
      <c r="G452" s="156" t="str">
        <f>IFERROR(IF('5 yr'!AI455=0,"",'5 yr'!AI455),"")</f>
        <v/>
      </c>
    </row>
    <row r="453" spans="1:7">
      <c r="A453" s="149" t="str">
        <f>IF('5 yr'!A456=0,"",'5 yr'!A456)</f>
        <v/>
      </c>
      <c r="B453" s="147" t="str">
        <f>IF('5 yr'!B456=0,"",'5 yr'!B456)</f>
        <v/>
      </c>
      <c r="C453" s="148" t="str">
        <f>IF('5 yr'!E456=0,"",'5 yr'!E456)</f>
        <v/>
      </c>
      <c r="D453" s="149" t="str">
        <f>IF('5 yr'!I456=0,"",'5 yr'!I456)</f>
        <v/>
      </c>
      <c r="E453" s="150" t="str">
        <f>IFERROR(IF('5 yr'!AF456=0,"",'5 yr'!AF456),"")</f>
        <v/>
      </c>
      <c r="F453" s="150" t="str">
        <f>IFERROR(IF('5 yr'!AH456=0,"",'5 yr'!AH456),"")</f>
        <v/>
      </c>
      <c r="G453" s="156" t="str">
        <f>IFERROR(IF('5 yr'!AI456=0,"",'5 yr'!AI456),"")</f>
        <v/>
      </c>
    </row>
    <row r="454" spans="1:7">
      <c r="A454" s="149" t="str">
        <f>IF('5 yr'!A457=0,"",'5 yr'!A457)</f>
        <v/>
      </c>
      <c r="B454" s="147" t="str">
        <f>IF('5 yr'!B457=0,"",'5 yr'!B457)</f>
        <v/>
      </c>
      <c r="C454" s="148" t="str">
        <f>IF('5 yr'!E457=0,"",'5 yr'!E457)</f>
        <v/>
      </c>
      <c r="D454" s="149" t="str">
        <f>IF('5 yr'!I457=0,"",'5 yr'!I457)</f>
        <v/>
      </c>
      <c r="E454" s="150" t="str">
        <f>IFERROR(IF('5 yr'!AF457=0,"",'5 yr'!AF457),"")</f>
        <v/>
      </c>
      <c r="F454" s="150" t="str">
        <f>IFERROR(IF('5 yr'!AH457=0,"",'5 yr'!AH457),"")</f>
        <v/>
      </c>
      <c r="G454" s="156" t="str">
        <f>IFERROR(IF('5 yr'!AI457=0,"",'5 yr'!AI457),"")</f>
        <v/>
      </c>
    </row>
    <row r="455" spans="1:7">
      <c r="A455" s="149" t="str">
        <f>IF('5 yr'!A458=0,"",'5 yr'!A458)</f>
        <v/>
      </c>
      <c r="B455" s="147" t="str">
        <f>IF('5 yr'!B458=0,"",'5 yr'!B458)</f>
        <v/>
      </c>
      <c r="C455" s="148" t="str">
        <f>IF('5 yr'!E458=0,"",'5 yr'!E458)</f>
        <v/>
      </c>
      <c r="D455" s="149" t="str">
        <f>IF('5 yr'!I458=0,"",'5 yr'!I458)</f>
        <v/>
      </c>
      <c r="E455" s="150" t="str">
        <f>IFERROR(IF('5 yr'!AF458=0,"",'5 yr'!AF458),"")</f>
        <v/>
      </c>
      <c r="F455" s="150" t="str">
        <f>IFERROR(IF('5 yr'!AH458=0,"",'5 yr'!AH458),"")</f>
        <v/>
      </c>
      <c r="G455" s="156" t="str">
        <f>IFERROR(IF('5 yr'!AI458=0,"",'5 yr'!AI458),"")</f>
        <v/>
      </c>
    </row>
    <row r="456" spans="1:7">
      <c r="A456" s="149" t="str">
        <f>IF('5 yr'!A459=0,"",'5 yr'!A459)</f>
        <v/>
      </c>
      <c r="B456" s="147" t="str">
        <f>IF('5 yr'!B459=0,"",'5 yr'!B459)</f>
        <v/>
      </c>
      <c r="C456" s="148" t="str">
        <f>IF('5 yr'!E459=0,"",'5 yr'!E459)</f>
        <v/>
      </c>
      <c r="D456" s="149" t="str">
        <f>IF('5 yr'!I459=0,"",'5 yr'!I459)</f>
        <v/>
      </c>
      <c r="E456" s="150" t="str">
        <f>IFERROR(IF('5 yr'!AF459=0,"",'5 yr'!AF459),"")</f>
        <v/>
      </c>
      <c r="F456" s="150" t="str">
        <f>IFERROR(IF('5 yr'!AH459=0,"",'5 yr'!AH459),"")</f>
        <v/>
      </c>
      <c r="G456" s="156" t="str">
        <f>IFERROR(IF('5 yr'!AI459=0,"",'5 yr'!AI459),"")</f>
        <v/>
      </c>
    </row>
    <row r="457" spans="1:7">
      <c r="A457" s="149" t="str">
        <f>IF('5 yr'!A460=0,"",'5 yr'!A460)</f>
        <v/>
      </c>
      <c r="B457" s="147" t="str">
        <f>IF('5 yr'!B460=0,"",'5 yr'!B460)</f>
        <v/>
      </c>
      <c r="C457" s="148" t="str">
        <f>IF('5 yr'!E460=0,"",'5 yr'!E460)</f>
        <v/>
      </c>
      <c r="D457" s="149" t="str">
        <f>IF('5 yr'!I460=0,"",'5 yr'!I460)</f>
        <v/>
      </c>
      <c r="E457" s="150" t="str">
        <f>IFERROR(IF('5 yr'!AF460=0,"",'5 yr'!AF460),"")</f>
        <v/>
      </c>
      <c r="F457" s="150" t="str">
        <f>IFERROR(IF('5 yr'!AH460=0,"",'5 yr'!AH460),"")</f>
        <v/>
      </c>
      <c r="G457" s="156" t="str">
        <f>IFERROR(IF('5 yr'!AI460=0,"",'5 yr'!AI460),"")</f>
        <v/>
      </c>
    </row>
    <row r="458" spans="1:7">
      <c r="A458" s="149" t="str">
        <f>IF('5 yr'!A461=0,"",'5 yr'!A461)</f>
        <v/>
      </c>
      <c r="B458" s="147" t="str">
        <f>IF('5 yr'!B461=0,"",'5 yr'!B461)</f>
        <v/>
      </c>
      <c r="C458" s="148" t="str">
        <f>IF('5 yr'!E461=0,"",'5 yr'!E461)</f>
        <v/>
      </c>
      <c r="D458" s="149" t="str">
        <f>IF('5 yr'!I461=0,"",'5 yr'!I461)</f>
        <v/>
      </c>
      <c r="E458" s="150" t="str">
        <f>IFERROR(IF('5 yr'!AF461=0,"",'5 yr'!AF461),"")</f>
        <v/>
      </c>
      <c r="F458" s="150" t="str">
        <f>IFERROR(IF('5 yr'!AH461=0,"",'5 yr'!AH461),"")</f>
        <v/>
      </c>
      <c r="G458" s="156" t="str">
        <f>IFERROR(IF('5 yr'!AI461=0,"",'5 yr'!AI461),"")</f>
        <v/>
      </c>
    </row>
    <row r="459" spans="1:7">
      <c r="A459" s="149" t="str">
        <f>IF('5 yr'!A462=0,"",'5 yr'!A462)</f>
        <v/>
      </c>
      <c r="B459" s="147" t="str">
        <f>IF('5 yr'!B462=0,"",'5 yr'!B462)</f>
        <v/>
      </c>
      <c r="C459" s="148" t="str">
        <f>IF('5 yr'!E462=0,"",'5 yr'!E462)</f>
        <v/>
      </c>
      <c r="D459" s="149" t="str">
        <f>IF('5 yr'!I462=0,"",'5 yr'!I462)</f>
        <v/>
      </c>
      <c r="E459" s="150" t="str">
        <f>IFERROR(IF('5 yr'!AF462=0,"",'5 yr'!AF462),"")</f>
        <v/>
      </c>
      <c r="F459" s="150" t="str">
        <f>IFERROR(IF('5 yr'!AH462=0,"",'5 yr'!AH462),"")</f>
        <v/>
      </c>
      <c r="G459" s="156" t="str">
        <f>IFERROR(IF('5 yr'!AI462=0,"",'5 yr'!AI462),"")</f>
        <v/>
      </c>
    </row>
    <row r="460" spans="1:7">
      <c r="A460" s="149" t="str">
        <f>IF('5 yr'!A463=0,"",'5 yr'!A463)</f>
        <v/>
      </c>
      <c r="B460" s="147" t="str">
        <f>IF('5 yr'!B463=0,"",'5 yr'!B463)</f>
        <v/>
      </c>
      <c r="C460" s="148" t="str">
        <f>IF('5 yr'!E463=0,"",'5 yr'!E463)</f>
        <v/>
      </c>
      <c r="D460" s="149" t="str">
        <f>IF('5 yr'!I463=0,"",'5 yr'!I463)</f>
        <v/>
      </c>
      <c r="E460" s="150" t="str">
        <f>IFERROR(IF('5 yr'!AF463=0,"",'5 yr'!AF463),"")</f>
        <v/>
      </c>
      <c r="F460" s="150" t="str">
        <f>IFERROR(IF('5 yr'!AH463=0,"",'5 yr'!AH463),"")</f>
        <v/>
      </c>
      <c r="G460" s="156" t="str">
        <f>IFERROR(IF('5 yr'!AI463=0,"",'5 yr'!AI463),"")</f>
        <v/>
      </c>
    </row>
    <row r="461" spans="1:7">
      <c r="A461" s="149" t="str">
        <f>IF('5 yr'!A464=0,"",'5 yr'!A464)</f>
        <v/>
      </c>
      <c r="B461" s="147" t="str">
        <f>IF('5 yr'!B464=0,"",'5 yr'!B464)</f>
        <v/>
      </c>
      <c r="C461" s="148" t="str">
        <f>IF('5 yr'!E464=0,"",'5 yr'!E464)</f>
        <v/>
      </c>
      <c r="D461" s="149" t="str">
        <f>IF('5 yr'!I464=0,"",'5 yr'!I464)</f>
        <v/>
      </c>
      <c r="E461" s="150" t="str">
        <f>IFERROR(IF('5 yr'!AF464=0,"",'5 yr'!AF464),"")</f>
        <v/>
      </c>
      <c r="F461" s="150" t="str">
        <f>IFERROR(IF('5 yr'!AH464=0,"",'5 yr'!AH464),"")</f>
        <v/>
      </c>
      <c r="G461" s="156" t="str">
        <f>IFERROR(IF('5 yr'!AI464=0,"",'5 yr'!AI464),"")</f>
        <v/>
      </c>
    </row>
    <row r="462" spans="1:7">
      <c r="A462" s="149" t="str">
        <f>IF('5 yr'!A465=0,"",'5 yr'!A465)</f>
        <v/>
      </c>
      <c r="B462" s="147" t="str">
        <f>IF('5 yr'!B465=0,"",'5 yr'!B465)</f>
        <v/>
      </c>
      <c r="C462" s="148" t="str">
        <f>IF('5 yr'!E465=0,"",'5 yr'!E465)</f>
        <v/>
      </c>
      <c r="D462" s="149" t="str">
        <f>IF('5 yr'!I465=0,"",'5 yr'!I465)</f>
        <v/>
      </c>
      <c r="E462" s="150" t="str">
        <f>IFERROR(IF('5 yr'!AF465=0,"",'5 yr'!AF465),"")</f>
        <v/>
      </c>
      <c r="F462" s="150" t="str">
        <f>IFERROR(IF('5 yr'!AH465=0,"",'5 yr'!AH465),"")</f>
        <v/>
      </c>
      <c r="G462" s="156" t="str">
        <f>IFERROR(IF('5 yr'!AI465=0,"",'5 yr'!AI465),"")</f>
        <v/>
      </c>
    </row>
    <row r="463" spans="1:7">
      <c r="A463" s="149" t="str">
        <f>IF('5 yr'!A466=0,"",'5 yr'!A466)</f>
        <v/>
      </c>
      <c r="B463" s="147" t="str">
        <f>IF('5 yr'!B466=0,"",'5 yr'!B466)</f>
        <v/>
      </c>
      <c r="C463" s="148" t="str">
        <f>IF('5 yr'!E466=0,"",'5 yr'!E466)</f>
        <v/>
      </c>
      <c r="D463" s="149" t="str">
        <f>IF('5 yr'!I466=0,"",'5 yr'!I466)</f>
        <v/>
      </c>
      <c r="E463" s="150" t="str">
        <f>IFERROR(IF('5 yr'!AF466=0,"",'5 yr'!AF466),"")</f>
        <v/>
      </c>
      <c r="F463" s="150" t="str">
        <f>IFERROR(IF('5 yr'!AH466=0,"",'5 yr'!AH466),"")</f>
        <v/>
      </c>
      <c r="G463" s="156" t="str">
        <f>IFERROR(IF('5 yr'!AI466=0,"",'5 yr'!AI466),"")</f>
        <v/>
      </c>
    </row>
    <row r="464" spans="1:7">
      <c r="A464" s="149" t="str">
        <f>IF('5 yr'!A467=0,"",'5 yr'!A467)</f>
        <v/>
      </c>
      <c r="B464" s="147" t="str">
        <f>IF('5 yr'!B467=0,"",'5 yr'!B467)</f>
        <v/>
      </c>
      <c r="C464" s="148" t="str">
        <f>IF('5 yr'!E467=0,"",'5 yr'!E467)</f>
        <v/>
      </c>
      <c r="D464" s="149" t="str">
        <f>IF('5 yr'!I467=0,"",'5 yr'!I467)</f>
        <v/>
      </c>
      <c r="E464" s="150" t="str">
        <f>IFERROR(IF('5 yr'!AF467=0,"",'5 yr'!AF467),"")</f>
        <v/>
      </c>
      <c r="F464" s="150" t="str">
        <f>IFERROR(IF('5 yr'!AH467=0,"",'5 yr'!AH467),"")</f>
        <v/>
      </c>
      <c r="G464" s="156" t="str">
        <f>IFERROR(IF('5 yr'!AI467=0,"",'5 yr'!AI467),"")</f>
        <v/>
      </c>
    </row>
    <row r="465" spans="1:7">
      <c r="A465" s="149" t="str">
        <f>IF('5 yr'!A468=0,"",'5 yr'!A468)</f>
        <v/>
      </c>
      <c r="B465" s="147" t="str">
        <f>IF('5 yr'!B468=0,"",'5 yr'!B468)</f>
        <v/>
      </c>
      <c r="C465" s="148" t="str">
        <f>IF('5 yr'!E468=0,"",'5 yr'!E468)</f>
        <v/>
      </c>
      <c r="D465" s="149" t="str">
        <f>IF('5 yr'!I468=0,"",'5 yr'!I468)</f>
        <v/>
      </c>
      <c r="E465" s="150" t="str">
        <f>IFERROR(IF('5 yr'!AF468=0,"",'5 yr'!AF468),"")</f>
        <v/>
      </c>
      <c r="F465" s="150" t="str">
        <f>IFERROR(IF('5 yr'!AH468=0,"",'5 yr'!AH468),"")</f>
        <v/>
      </c>
      <c r="G465" s="156" t="str">
        <f>IFERROR(IF('5 yr'!AI468=0,"",'5 yr'!AI468),"")</f>
        <v/>
      </c>
    </row>
    <row r="466" spans="1:7">
      <c r="A466" s="149" t="str">
        <f>IF('5 yr'!A469=0,"",'5 yr'!A469)</f>
        <v/>
      </c>
      <c r="B466" s="147" t="str">
        <f>IF('5 yr'!B469=0,"",'5 yr'!B469)</f>
        <v/>
      </c>
      <c r="C466" s="148" t="str">
        <f>IF('5 yr'!E469=0,"",'5 yr'!E469)</f>
        <v/>
      </c>
      <c r="D466" s="149" t="str">
        <f>IF('5 yr'!I469=0,"",'5 yr'!I469)</f>
        <v/>
      </c>
      <c r="E466" s="150" t="str">
        <f>IFERROR(IF('5 yr'!AF469=0,"",'5 yr'!AF469),"")</f>
        <v/>
      </c>
      <c r="F466" s="150" t="str">
        <f>IFERROR(IF('5 yr'!AH469=0,"",'5 yr'!AH469),"")</f>
        <v/>
      </c>
      <c r="G466" s="156" t="str">
        <f>IFERROR(IF('5 yr'!AI469=0,"",'5 yr'!AI469),"")</f>
        <v/>
      </c>
    </row>
    <row r="467" spans="1:7">
      <c r="A467" s="149" t="str">
        <f>IF('5 yr'!A470=0,"",'5 yr'!A470)</f>
        <v/>
      </c>
      <c r="B467" s="147" t="str">
        <f>IF('5 yr'!B470=0,"",'5 yr'!B470)</f>
        <v/>
      </c>
      <c r="C467" s="148" t="str">
        <f>IF('5 yr'!E470=0,"",'5 yr'!E470)</f>
        <v/>
      </c>
      <c r="D467" s="149" t="str">
        <f>IF('5 yr'!I470=0,"",'5 yr'!I470)</f>
        <v/>
      </c>
      <c r="E467" s="150" t="str">
        <f>IFERROR(IF('5 yr'!AF470=0,"",'5 yr'!AF470),"")</f>
        <v/>
      </c>
      <c r="F467" s="150" t="str">
        <f>IFERROR(IF('5 yr'!AH470=0,"",'5 yr'!AH470),"")</f>
        <v/>
      </c>
      <c r="G467" s="156" t="str">
        <f>IFERROR(IF('5 yr'!AI470=0,"",'5 yr'!AI470),"")</f>
        <v/>
      </c>
    </row>
    <row r="468" spans="1:7">
      <c r="A468" s="149" t="str">
        <f>IF('5 yr'!A471=0,"",'5 yr'!A471)</f>
        <v/>
      </c>
      <c r="B468" s="147" t="str">
        <f>IF('5 yr'!B471=0,"",'5 yr'!B471)</f>
        <v/>
      </c>
      <c r="C468" s="148" t="str">
        <f>IF('5 yr'!E471=0,"",'5 yr'!E471)</f>
        <v/>
      </c>
      <c r="D468" s="149" t="str">
        <f>IF('5 yr'!I471=0,"",'5 yr'!I471)</f>
        <v/>
      </c>
      <c r="E468" s="150" t="str">
        <f>IFERROR(IF('5 yr'!AF471=0,"",'5 yr'!AF471),"")</f>
        <v/>
      </c>
      <c r="F468" s="150" t="str">
        <f>IFERROR(IF('5 yr'!AH471=0,"",'5 yr'!AH471),"")</f>
        <v/>
      </c>
      <c r="G468" s="156" t="str">
        <f>IFERROR(IF('5 yr'!AI471=0,"",'5 yr'!AI471),"")</f>
        <v/>
      </c>
    </row>
    <row r="469" spans="1:7">
      <c r="A469" s="149" t="str">
        <f>IF('5 yr'!A472=0,"",'5 yr'!A472)</f>
        <v/>
      </c>
      <c r="B469" s="147" t="str">
        <f>IF('5 yr'!B472=0,"",'5 yr'!B472)</f>
        <v/>
      </c>
      <c r="C469" s="148" t="str">
        <f>IF('5 yr'!E472=0,"",'5 yr'!E472)</f>
        <v/>
      </c>
      <c r="D469" s="149" t="str">
        <f>IF('5 yr'!I472=0,"",'5 yr'!I472)</f>
        <v/>
      </c>
      <c r="E469" s="150" t="str">
        <f>IFERROR(IF('5 yr'!AF472=0,"",'5 yr'!AF472),"")</f>
        <v/>
      </c>
      <c r="F469" s="150" t="str">
        <f>IFERROR(IF('5 yr'!AH472=0,"",'5 yr'!AH472),"")</f>
        <v/>
      </c>
      <c r="G469" s="156" t="str">
        <f>IFERROR(IF('5 yr'!AI472=0,"",'5 yr'!AI472),"")</f>
        <v/>
      </c>
    </row>
    <row r="470" spans="1:7">
      <c r="A470" s="149" t="str">
        <f>IF('5 yr'!A473=0,"",'5 yr'!A473)</f>
        <v/>
      </c>
      <c r="B470" s="147" t="str">
        <f>IF('5 yr'!B473=0,"",'5 yr'!B473)</f>
        <v/>
      </c>
      <c r="C470" s="148" t="str">
        <f>IF('5 yr'!E473=0,"",'5 yr'!E473)</f>
        <v/>
      </c>
      <c r="D470" s="149" t="str">
        <f>IF('5 yr'!I473=0,"",'5 yr'!I473)</f>
        <v/>
      </c>
      <c r="E470" s="150" t="str">
        <f>IFERROR(IF('5 yr'!AF473=0,"",'5 yr'!AF473),"")</f>
        <v/>
      </c>
      <c r="F470" s="150" t="str">
        <f>IFERROR(IF('5 yr'!AH473=0,"",'5 yr'!AH473),"")</f>
        <v/>
      </c>
      <c r="G470" s="156" t="str">
        <f>IFERROR(IF('5 yr'!AI473=0,"",'5 yr'!AI473),"")</f>
        <v/>
      </c>
    </row>
    <row r="471" spans="1:7">
      <c r="A471" s="149" t="str">
        <f>IF('5 yr'!A474=0,"",'5 yr'!A474)</f>
        <v/>
      </c>
      <c r="B471" s="147" t="str">
        <f>IF('5 yr'!B474=0,"",'5 yr'!B474)</f>
        <v/>
      </c>
      <c r="C471" s="148" t="str">
        <f>IF('5 yr'!E474=0,"",'5 yr'!E474)</f>
        <v/>
      </c>
      <c r="D471" s="149" t="str">
        <f>IF('5 yr'!I474=0,"",'5 yr'!I474)</f>
        <v/>
      </c>
      <c r="E471" s="150" t="str">
        <f>IFERROR(IF('5 yr'!AF474=0,"",'5 yr'!AF474),"")</f>
        <v/>
      </c>
      <c r="F471" s="150" t="str">
        <f>IFERROR(IF('5 yr'!AH474=0,"",'5 yr'!AH474),"")</f>
        <v/>
      </c>
      <c r="G471" s="156" t="str">
        <f>IFERROR(IF('5 yr'!AI474=0,"",'5 yr'!AI474),"")</f>
        <v/>
      </c>
    </row>
    <row r="472" spans="1:7">
      <c r="A472" s="149" t="str">
        <f>IF('5 yr'!A475=0,"",'5 yr'!A475)</f>
        <v/>
      </c>
      <c r="B472" s="147" t="str">
        <f>IF('5 yr'!B475=0,"",'5 yr'!B475)</f>
        <v/>
      </c>
      <c r="C472" s="148" t="str">
        <f>IF('5 yr'!E475=0,"",'5 yr'!E475)</f>
        <v/>
      </c>
      <c r="D472" s="149" t="str">
        <f>IF('5 yr'!I475=0,"",'5 yr'!I475)</f>
        <v/>
      </c>
      <c r="E472" s="150" t="str">
        <f>IFERROR(IF('5 yr'!AF475=0,"",'5 yr'!AF475),"")</f>
        <v/>
      </c>
      <c r="F472" s="150" t="str">
        <f>IFERROR(IF('5 yr'!AH475=0,"",'5 yr'!AH475),"")</f>
        <v/>
      </c>
      <c r="G472" s="156" t="str">
        <f>IFERROR(IF('5 yr'!AI475=0,"",'5 yr'!AI475),"")</f>
        <v/>
      </c>
    </row>
    <row r="473" spans="1:7">
      <c r="A473" s="149" t="str">
        <f>IF('5 yr'!A476=0,"",'5 yr'!A476)</f>
        <v/>
      </c>
      <c r="B473" s="147" t="str">
        <f>IF('5 yr'!B476=0,"",'5 yr'!B476)</f>
        <v/>
      </c>
      <c r="C473" s="148" t="str">
        <f>IF('5 yr'!E476=0,"",'5 yr'!E476)</f>
        <v/>
      </c>
      <c r="D473" s="149" t="str">
        <f>IF('5 yr'!I476=0,"",'5 yr'!I476)</f>
        <v/>
      </c>
      <c r="E473" s="150" t="str">
        <f>IFERROR(IF('5 yr'!AF476=0,"",'5 yr'!AF476),"")</f>
        <v/>
      </c>
      <c r="F473" s="150" t="str">
        <f>IFERROR(IF('5 yr'!AH476=0,"",'5 yr'!AH476),"")</f>
        <v/>
      </c>
      <c r="G473" s="156" t="str">
        <f>IFERROR(IF('5 yr'!AI476=0,"",'5 yr'!AI476),"")</f>
        <v/>
      </c>
    </row>
    <row r="474" spans="1:7">
      <c r="A474" s="149" t="str">
        <f>IF('5 yr'!A477=0,"",'5 yr'!A477)</f>
        <v/>
      </c>
      <c r="B474" s="147" t="str">
        <f>IF('5 yr'!B477=0,"",'5 yr'!B477)</f>
        <v/>
      </c>
      <c r="C474" s="148" t="str">
        <f>IF('5 yr'!E477=0,"",'5 yr'!E477)</f>
        <v/>
      </c>
      <c r="D474" s="149" t="str">
        <f>IF('5 yr'!I477=0,"",'5 yr'!I477)</f>
        <v/>
      </c>
      <c r="E474" s="150" t="str">
        <f>IFERROR(IF('5 yr'!AF477=0,"",'5 yr'!AF477),"")</f>
        <v/>
      </c>
      <c r="F474" s="150" t="str">
        <f>IFERROR(IF('5 yr'!AH477=0,"",'5 yr'!AH477),"")</f>
        <v/>
      </c>
      <c r="G474" s="156" t="str">
        <f>IFERROR(IF('5 yr'!AI477=0,"",'5 yr'!AI477),"")</f>
        <v/>
      </c>
    </row>
    <row r="475" spans="1:7">
      <c r="A475" s="149" t="str">
        <f>IF('5 yr'!A478=0,"",'5 yr'!A478)</f>
        <v/>
      </c>
      <c r="B475" s="147" t="str">
        <f>IF('5 yr'!B478=0,"",'5 yr'!B478)</f>
        <v/>
      </c>
      <c r="C475" s="148" t="str">
        <f>IF('5 yr'!E478=0,"",'5 yr'!E478)</f>
        <v/>
      </c>
      <c r="D475" s="149" t="str">
        <f>IF('5 yr'!I478=0,"",'5 yr'!I478)</f>
        <v/>
      </c>
      <c r="E475" s="150" t="str">
        <f>IFERROR(IF('5 yr'!AF478=0,"",'5 yr'!AF478),"")</f>
        <v/>
      </c>
      <c r="F475" s="150" t="str">
        <f>IFERROR(IF('5 yr'!AH478=0,"",'5 yr'!AH478),"")</f>
        <v/>
      </c>
      <c r="G475" s="156" t="str">
        <f>IFERROR(IF('5 yr'!AI478=0,"",'5 yr'!AI478),"")</f>
        <v/>
      </c>
    </row>
    <row r="476" spans="1:7">
      <c r="A476" s="149" t="str">
        <f>IF('5 yr'!A479=0,"",'5 yr'!A479)</f>
        <v/>
      </c>
      <c r="B476" s="147" t="str">
        <f>IF('5 yr'!B479=0,"",'5 yr'!B479)</f>
        <v/>
      </c>
      <c r="C476" s="148" t="str">
        <f>IF('5 yr'!E479=0,"",'5 yr'!E479)</f>
        <v/>
      </c>
      <c r="D476" s="149" t="str">
        <f>IF('5 yr'!I479=0,"",'5 yr'!I479)</f>
        <v/>
      </c>
      <c r="E476" s="150" t="str">
        <f>IFERROR(IF('5 yr'!AF479=0,"",'5 yr'!AF479),"")</f>
        <v/>
      </c>
      <c r="F476" s="150" t="str">
        <f>IFERROR(IF('5 yr'!AH479=0,"",'5 yr'!AH479),"")</f>
        <v/>
      </c>
      <c r="G476" s="156" t="str">
        <f>IFERROR(IF('5 yr'!AI479=0,"",'5 yr'!AI479),"")</f>
        <v/>
      </c>
    </row>
    <row r="477" spans="1:7">
      <c r="A477" s="149" t="str">
        <f>IF('5 yr'!A480=0,"",'5 yr'!A480)</f>
        <v/>
      </c>
      <c r="B477" s="147" t="str">
        <f>IF('5 yr'!B480=0,"",'5 yr'!B480)</f>
        <v/>
      </c>
      <c r="C477" s="148" t="str">
        <f>IF('5 yr'!E480=0,"",'5 yr'!E480)</f>
        <v/>
      </c>
      <c r="D477" s="149" t="str">
        <f>IF('5 yr'!I480=0,"",'5 yr'!I480)</f>
        <v/>
      </c>
      <c r="E477" s="150" t="str">
        <f>IFERROR(IF('5 yr'!AF480=0,"",'5 yr'!AF480),"")</f>
        <v/>
      </c>
      <c r="F477" s="150" t="str">
        <f>IFERROR(IF('5 yr'!AH480=0,"",'5 yr'!AH480),"")</f>
        <v/>
      </c>
      <c r="G477" s="156" t="str">
        <f>IFERROR(IF('5 yr'!AI480=0,"",'5 yr'!AI480),"")</f>
        <v/>
      </c>
    </row>
    <row r="478" spans="1:7">
      <c r="A478" s="149" t="str">
        <f>IF('5 yr'!A481=0,"",'5 yr'!A481)</f>
        <v/>
      </c>
      <c r="B478" s="147" t="str">
        <f>IF('5 yr'!B481=0,"",'5 yr'!B481)</f>
        <v/>
      </c>
      <c r="C478" s="148" t="str">
        <f>IF('5 yr'!E481=0,"",'5 yr'!E481)</f>
        <v/>
      </c>
      <c r="D478" s="149" t="str">
        <f>IF('5 yr'!I481=0,"",'5 yr'!I481)</f>
        <v/>
      </c>
      <c r="E478" s="150" t="str">
        <f>IFERROR(IF('5 yr'!AF481=0,"",'5 yr'!AF481),"")</f>
        <v/>
      </c>
      <c r="F478" s="150" t="str">
        <f>IFERROR(IF('5 yr'!AH481=0,"",'5 yr'!AH481),"")</f>
        <v/>
      </c>
      <c r="G478" s="156" t="str">
        <f>IFERROR(IF('5 yr'!AI481=0,"",'5 yr'!AI481),"")</f>
        <v/>
      </c>
    </row>
    <row r="479" spans="1:7">
      <c r="A479" s="149" t="str">
        <f>IF('5 yr'!A482=0,"",'5 yr'!A482)</f>
        <v/>
      </c>
      <c r="B479" s="147" t="str">
        <f>IF('5 yr'!B482=0,"",'5 yr'!B482)</f>
        <v/>
      </c>
      <c r="C479" s="148" t="str">
        <f>IF('5 yr'!E482=0,"",'5 yr'!E482)</f>
        <v/>
      </c>
      <c r="D479" s="149" t="str">
        <f>IF('5 yr'!I482=0,"",'5 yr'!I482)</f>
        <v/>
      </c>
      <c r="E479" s="150" t="str">
        <f>IFERROR(IF('5 yr'!AF482=0,"",'5 yr'!AF482),"")</f>
        <v/>
      </c>
      <c r="F479" s="150" t="str">
        <f>IFERROR(IF('5 yr'!AH482=0,"",'5 yr'!AH482),"")</f>
        <v/>
      </c>
      <c r="G479" s="156" t="str">
        <f>IFERROR(IF('5 yr'!AI482=0,"",'5 yr'!AI482),"")</f>
        <v/>
      </c>
    </row>
    <row r="480" spans="1:7">
      <c r="A480" s="149" t="str">
        <f>IF('5 yr'!A483=0,"",'5 yr'!A483)</f>
        <v/>
      </c>
      <c r="B480" s="147" t="str">
        <f>IF('5 yr'!B483=0,"",'5 yr'!B483)</f>
        <v/>
      </c>
      <c r="C480" s="148" t="str">
        <f>IF('5 yr'!E483=0,"",'5 yr'!E483)</f>
        <v/>
      </c>
      <c r="D480" s="149" t="str">
        <f>IF('5 yr'!I483=0,"",'5 yr'!I483)</f>
        <v/>
      </c>
      <c r="E480" s="150" t="str">
        <f>IFERROR(IF('5 yr'!AF483=0,"",'5 yr'!AF483),"")</f>
        <v/>
      </c>
      <c r="F480" s="150" t="str">
        <f>IFERROR(IF('5 yr'!AH483=0,"",'5 yr'!AH483),"")</f>
        <v/>
      </c>
      <c r="G480" s="156" t="str">
        <f>IFERROR(IF('5 yr'!AI483=0,"",'5 yr'!AI483),"")</f>
        <v/>
      </c>
    </row>
    <row r="481" spans="1:7">
      <c r="A481" s="149" t="str">
        <f>IF('5 yr'!A484=0,"",'5 yr'!A484)</f>
        <v/>
      </c>
      <c r="B481" s="147" t="str">
        <f>IF('5 yr'!B484=0,"",'5 yr'!B484)</f>
        <v/>
      </c>
      <c r="C481" s="148" t="str">
        <f>IF('5 yr'!E484=0,"",'5 yr'!E484)</f>
        <v/>
      </c>
      <c r="D481" s="149" t="str">
        <f>IF('5 yr'!I484=0,"",'5 yr'!I484)</f>
        <v/>
      </c>
      <c r="E481" s="150" t="str">
        <f>IFERROR(IF('5 yr'!AF484=0,"",'5 yr'!AF484),"")</f>
        <v/>
      </c>
      <c r="F481" s="150" t="str">
        <f>IFERROR(IF('5 yr'!AH484=0,"",'5 yr'!AH484),"")</f>
        <v/>
      </c>
      <c r="G481" s="156" t="str">
        <f>IFERROR(IF('5 yr'!AI484=0,"",'5 yr'!AI484),"")</f>
        <v/>
      </c>
    </row>
    <row r="482" spans="1:7">
      <c r="A482" s="149" t="str">
        <f>IF('5 yr'!A485=0,"",'5 yr'!A485)</f>
        <v/>
      </c>
      <c r="B482" s="147" t="str">
        <f>IF('5 yr'!B485=0,"",'5 yr'!B485)</f>
        <v/>
      </c>
      <c r="C482" s="148" t="str">
        <f>IF('5 yr'!E485=0,"",'5 yr'!E485)</f>
        <v/>
      </c>
      <c r="D482" s="149" t="str">
        <f>IF('5 yr'!I485=0,"",'5 yr'!I485)</f>
        <v/>
      </c>
      <c r="E482" s="150" t="str">
        <f>IFERROR(IF('5 yr'!AF485=0,"",'5 yr'!AF485),"")</f>
        <v/>
      </c>
      <c r="F482" s="150" t="str">
        <f>IFERROR(IF('5 yr'!AH485=0,"",'5 yr'!AH485),"")</f>
        <v/>
      </c>
      <c r="G482" s="156" t="str">
        <f>IFERROR(IF('5 yr'!AI485=0,"",'5 yr'!AI485),"")</f>
        <v/>
      </c>
    </row>
    <row r="483" spans="1:7">
      <c r="A483" s="149" t="str">
        <f>IF('5 yr'!A486=0,"",'5 yr'!A486)</f>
        <v/>
      </c>
      <c r="B483" s="147" t="str">
        <f>IF('5 yr'!B486=0,"",'5 yr'!B486)</f>
        <v/>
      </c>
      <c r="C483" s="148" t="str">
        <f>IF('5 yr'!E486=0,"",'5 yr'!E486)</f>
        <v/>
      </c>
      <c r="D483" s="149" t="str">
        <f>IF('5 yr'!I486=0,"",'5 yr'!I486)</f>
        <v/>
      </c>
      <c r="E483" s="150" t="str">
        <f>IFERROR(IF('5 yr'!AF486=0,"",'5 yr'!AF486),"")</f>
        <v/>
      </c>
      <c r="F483" s="150" t="str">
        <f>IFERROR(IF('5 yr'!AH486=0,"",'5 yr'!AH486),"")</f>
        <v/>
      </c>
      <c r="G483" s="156" t="str">
        <f>IFERROR(IF('5 yr'!AI486=0,"",'5 yr'!AI486),"")</f>
        <v/>
      </c>
    </row>
    <row r="484" spans="1:7">
      <c r="A484" s="149" t="str">
        <f>IF('5 yr'!A487=0,"",'5 yr'!A487)</f>
        <v/>
      </c>
      <c r="B484" s="147" t="str">
        <f>IF('5 yr'!B487=0,"",'5 yr'!B487)</f>
        <v/>
      </c>
      <c r="C484" s="148" t="str">
        <f>IF('5 yr'!E487=0,"",'5 yr'!E487)</f>
        <v/>
      </c>
      <c r="D484" s="149" t="str">
        <f>IF('5 yr'!I487=0,"",'5 yr'!I487)</f>
        <v/>
      </c>
      <c r="E484" s="150" t="str">
        <f>IFERROR(IF('5 yr'!AF487=0,"",'5 yr'!AF487),"")</f>
        <v/>
      </c>
      <c r="F484" s="150" t="str">
        <f>IFERROR(IF('5 yr'!AH487=0,"",'5 yr'!AH487),"")</f>
        <v/>
      </c>
      <c r="G484" s="156" t="str">
        <f>IFERROR(IF('5 yr'!AI487=0,"",'5 yr'!AI487),"")</f>
        <v/>
      </c>
    </row>
    <row r="485" spans="1:7">
      <c r="A485" s="149" t="str">
        <f>IF('5 yr'!A488=0,"",'5 yr'!A488)</f>
        <v/>
      </c>
      <c r="B485" s="147" t="str">
        <f>IF('5 yr'!B488=0,"",'5 yr'!B488)</f>
        <v/>
      </c>
      <c r="C485" s="148" t="str">
        <f>IF('5 yr'!E488=0,"",'5 yr'!E488)</f>
        <v/>
      </c>
      <c r="D485" s="149" t="str">
        <f>IF('5 yr'!I488=0,"",'5 yr'!I488)</f>
        <v/>
      </c>
      <c r="E485" s="150" t="str">
        <f>IFERROR(IF('5 yr'!AF488=0,"",'5 yr'!AF488),"")</f>
        <v/>
      </c>
      <c r="F485" s="150" t="str">
        <f>IFERROR(IF('5 yr'!AH488=0,"",'5 yr'!AH488),"")</f>
        <v/>
      </c>
      <c r="G485" s="156" t="str">
        <f>IFERROR(IF('5 yr'!AI488=0,"",'5 yr'!AI488),"")</f>
        <v/>
      </c>
    </row>
    <row r="486" spans="1:7">
      <c r="A486" s="149" t="str">
        <f>IF('5 yr'!A489=0,"",'5 yr'!A489)</f>
        <v/>
      </c>
      <c r="B486" s="147" t="str">
        <f>IF('5 yr'!B489=0,"",'5 yr'!B489)</f>
        <v/>
      </c>
      <c r="C486" s="148" t="str">
        <f>IF('5 yr'!E489=0,"",'5 yr'!E489)</f>
        <v/>
      </c>
      <c r="D486" s="149" t="str">
        <f>IF('5 yr'!I489=0,"",'5 yr'!I489)</f>
        <v/>
      </c>
      <c r="E486" s="150" t="str">
        <f>IFERROR(IF('5 yr'!AF489=0,"",'5 yr'!AF489),"")</f>
        <v/>
      </c>
      <c r="F486" s="150" t="str">
        <f>IFERROR(IF('5 yr'!AH489=0,"",'5 yr'!AH489),"")</f>
        <v/>
      </c>
      <c r="G486" s="156" t="str">
        <f>IFERROR(IF('5 yr'!AI489=0,"",'5 yr'!AI489),"")</f>
        <v/>
      </c>
    </row>
    <row r="487" spans="1:7">
      <c r="A487" s="149" t="str">
        <f>IF('5 yr'!A490=0,"",'5 yr'!A490)</f>
        <v/>
      </c>
      <c r="B487" s="147" t="str">
        <f>IF('5 yr'!B490=0,"",'5 yr'!B490)</f>
        <v/>
      </c>
      <c r="C487" s="148" t="str">
        <f>IF('5 yr'!E490=0,"",'5 yr'!E490)</f>
        <v/>
      </c>
      <c r="D487" s="149" t="str">
        <f>IF('5 yr'!I490=0,"",'5 yr'!I490)</f>
        <v/>
      </c>
      <c r="E487" s="150" t="str">
        <f>IFERROR(IF('5 yr'!AF490=0,"",'5 yr'!AF490),"")</f>
        <v/>
      </c>
      <c r="F487" s="150" t="str">
        <f>IFERROR(IF('5 yr'!AH490=0,"",'5 yr'!AH490),"")</f>
        <v/>
      </c>
      <c r="G487" s="156" t="str">
        <f>IFERROR(IF('5 yr'!AI490=0,"",'5 yr'!AI490),"")</f>
        <v/>
      </c>
    </row>
    <row r="488" spans="1:7">
      <c r="A488" s="149" t="str">
        <f>IF('5 yr'!A491=0,"",'5 yr'!A491)</f>
        <v/>
      </c>
      <c r="B488" s="147" t="str">
        <f>IF('5 yr'!B491=0,"",'5 yr'!B491)</f>
        <v/>
      </c>
      <c r="C488" s="148" t="str">
        <f>IF('5 yr'!E491=0,"",'5 yr'!E491)</f>
        <v/>
      </c>
      <c r="D488" s="149" t="str">
        <f>IF('5 yr'!I491=0,"",'5 yr'!I491)</f>
        <v/>
      </c>
      <c r="E488" s="150" t="str">
        <f>IFERROR(IF('5 yr'!AF491=0,"",'5 yr'!AF491),"")</f>
        <v/>
      </c>
      <c r="F488" s="150" t="str">
        <f>IFERROR(IF('5 yr'!AH491=0,"",'5 yr'!AH491),"")</f>
        <v/>
      </c>
      <c r="G488" s="156" t="str">
        <f>IFERROR(IF('5 yr'!AI491=0,"",'5 yr'!AI491),"")</f>
        <v/>
      </c>
    </row>
    <row r="489" spans="1:7">
      <c r="A489" s="149" t="str">
        <f>IF('5 yr'!A492=0,"",'5 yr'!A492)</f>
        <v/>
      </c>
      <c r="B489" s="147" t="str">
        <f>IF('5 yr'!B492=0,"",'5 yr'!B492)</f>
        <v/>
      </c>
      <c r="C489" s="148" t="str">
        <f>IF('5 yr'!E492=0,"",'5 yr'!E492)</f>
        <v/>
      </c>
      <c r="D489" s="149" t="str">
        <f>IF('5 yr'!I492=0,"",'5 yr'!I492)</f>
        <v/>
      </c>
      <c r="E489" s="150" t="str">
        <f>IFERROR(IF('5 yr'!AF492=0,"",'5 yr'!AF492),"")</f>
        <v/>
      </c>
      <c r="F489" s="150" t="str">
        <f>IFERROR(IF('5 yr'!AH492=0,"",'5 yr'!AH492),"")</f>
        <v/>
      </c>
      <c r="G489" s="156" t="str">
        <f>IFERROR(IF('5 yr'!AI492=0,"",'5 yr'!AI492),"")</f>
        <v/>
      </c>
    </row>
    <row r="490" spans="1:7">
      <c r="A490" s="149" t="str">
        <f>IF('5 yr'!A493=0,"",'5 yr'!A493)</f>
        <v/>
      </c>
      <c r="B490" s="147" t="str">
        <f>IF('5 yr'!B493=0,"",'5 yr'!B493)</f>
        <v/>
      </c>
      <c r="C490" s="148" t="str">
        <f>IF('5 yr'!E493=0,"",'5 yr'!E493)</f>
        <v/>
      </c>
      <c r="D490" s="149" t="str">
        <f>IF('5 yr'!I493=0,"",'5 yr'!I493)</f>
        <v/>
      </c>
      <c r="E490" s="150" t="str">
        <f>IFERROR(IF('5 yr'!AF493=0,"",'5 yr'!AF493),"")</f>
        <v/>
      </c>
      <c r="F490" s="150" t="str">
        <f>IFERROR(IF('5 yr'!AH493=0,"",'5 yr'!AH493),"")</f>
        <v/>
      </c>
      <c r="G490" s="156" t="str">
        <f>IFERROR(IF('5 yr'!AI493=0,"",'5 yr'!AI493),"")</f>
        <v/>
      </c>
    </row>
    <row r="491" spans="1:7">
      <c r="A491" s="149" t="str">
        <f>IF('5 yr'!A494=0,"",'5 yr'!A494)</f>
        <v/>
      </c>
      <c r="B491" s="147" t="str">
        <f>IF('5 yr'!B494=0,"",'5 yr'!B494)</f>
        <v/>
      </c>
      <c r="C491" s="148" t="str">
        <f>IF('5 yr'!E494=0,"",'5 yr'!E494)</f>
        <v/>
      </c>
      <c r="D491" s="149" t="str">
        <f>IF('5 yr'!I494=0,"",'5 yr'!I494)</f>
        <v/>
      </c>
      <c r="E491" s="150" t="str">
        <f>IFERROR(IF('5 yr'!AF494=0,"",'5 yr'!AF494),"")</f>
        <v/>
      </c>
      <c r="F491" s="150" t="str">
        <f>IFERROR(IF('5 yr'!AH494=0,"",'5 yr'!AH494),"")</f>
        <v/>
      </c>
      <c r="G491" s="156" t="str">
        <f>IFERROR(IF('5 yr'!AI494=0,"",'5 yr'!AI494),"")</f>
        <v/>
      </c>
    </row>
    <row r="492" spans="1:7">
      <c r="A492" s="149" t="str">
        <f>IF('5 yr'!A495=0,"",'5 yr'!A495)</f>
        <v/>
      </c>
      <c r="B492" s="147" t="str">
        <f>IF('5 yr'!B495=0,"",'5 yr'!B495)</f>
        <v/>
      </c>
      <c r="C492" s="148" t="str">
        <f>IF('5 yr'!E495=0,"",'5 yr'!E495)</f>
        <v/>
      </c>
      <c r="D492" s="149" t="str">
        <f>IF('5 yr'!I495=0,"",'5 yr'!I495)</f>
        <v/>
      </c>
      <c r="E492" s="150" t="str">
        <f>IFERROR(IF('5 yr'!AF495=0,"",'5 yr'!AF495),"")</f>
        <v/>
      </c>
      <c r="F492" s="150" t="str">
        <f>IFERROR(IF('5 yr'!AH495=0,"",'5 yr'!AH495),"")</f>
        <v/>
      </c>
      <c r="G492" s="156" t="str">
        <f>IFERROR(IF('5 yr'!AI495=0,"",'5 yr'!AI495),"")</f>
        <v/>
      </c>
    </row>
    <row r="493" spans="1:7">
      <c r="A493" s="149" t="str">
        <f>IF('5 yr'!A496=0,"",'5 yr'!A496)</f>
        <v/>
      </c>
      <c r="B493" s="147" t="str">
        <f>IF('5 yr'!B496=0,"",'5 yr'!B496)</f>
        <v/>
      </c>
      <c r="C493" s="148" t="str">
        <f>IF('5 yr'!E496=0,"",'5 yr'!E496)</f>
        <v/>
      </c>
      <c r="D493" s="149" t="str">
        <f>IF('5 yr'!I496=0,"",'5 yr'!I496)</f>
        <v/>
      </c>
      <c r="E493" s="150" t="str">
        <f>IFERROR(IF('5 yr'!AF496=0,"",'5 yr'!AF496),"")</f>
        <v/>
      </c>
      <c r="F493" s="150" t="str">
        <f>IFERROR(IF('5 yr'!AH496=0,"",'5 yr'!AH496),"")</f>
        <v/>
      </c>
      <c r="G493" s="156" t="str">
        <f>IFERROR(IF('5 yr'!AI496=0,"",'5 yr'!AI496),"")</f>
        <v/>
      </c>
    </row>
    <row r="494" spans="1:7">
      <c r="A494" s="149" t="str">
        <f>IF('5 yr'!A497=0,"",'5 yr'!A497)</f>
        <v/>
      </c>
      <c r="B494" s="147" t="str">
        <f>IF('5 yr'!B497=0,"",'5 yr'!B497)</f>
        <v/>
      </c>
      <c r="C494" s="148" t="str">
        <f>IF('5 yr'!E497=0,"",'5 yr'!E497)</f>
        <v/>
      </c>
      <c r="D494" s="149" t="str">
        <f>IF('5 yr'!I497=0,"",'5 yr'!I497)</f>
        <v/>
      </c>
      <c r="E494" s="150" t="str">
        <f>IFERROR(IF('5 yr'!AF497=0,"",'5 yr'!AF497),"")</f>
        <v/>
      </c>
      <c r="F494" s="150" t="str">
        <f>IFERROR(IF('5 yr'!AH497=0,"",'5 yr'!AH497),"")</f>
        <v/>
      </c>
      <c r="G494" s="156" t="str">
        <f>IFERROR(IF('5 yr'!AI497=0,"",'5 yr'!AI497),"")</f>
        <v/>
      </c>
    </row>
    <row r="495" spans="1:7">
      <c r="A495" s="149" t="str">
        <f>IF('5 yr'!A498=0,"",'5 yr'!A498)</f>
        <v/>
      </c>
      <c r="B495" s="147" t="str">
        <f>IF('5 yr'!B498=0,"",'5 yr'!B498)</f>
        <v/>
      </c>
      <c r="C495" s="148" t="str">
        <f>IF('5 yr'!E498=0,"",'5 yr'!E498)</f>
        <v/>
      </c>
      <c r="D495" s="149" t="str">
        <f>IF('5 yr'!I498=0,"",'5 yr'!I498)</f>
        <v/>
      </c>
      <c r="E495" s="150" t="str">
        <f>IFERROR(IF('5 yr'!AF498=0,"",'5 yr'!AF498),"")</f>
        <v/>
      </c>
      <c r="F495" s="150" t="str">
        <f>IFERROR(IF('5 yr'!AH498=0,"",'5 yr'!AH498),"")</f>
        <v/>
      </c>
      <c r="G495" s="156" t="str">
        <f>IFERROR(IF('5 yr'!AI498=0,"",'5 yr'!AI498),"")</f>
        <v/>
      </c>
    </row>
    <row r="496" spans="1:7">
      <c r="A496" s="149" t="str">
        <f>IF('5 yr'!A499=0,"",'5 yr'!A499)</f>
        <v/>
      </c>
      <c r="B496" s="147" t="str">
        <f>IF('5 yr'!B499=0,"",'5 yr'!B499)</f>
        <v/>
      </c>
      <c r="C496" s="148" t="str">
        <f>IF('5 yr'!E499=0,"",'5 yr'!E499)</f>
        <v/>
      </c>
      <c r="D496" s="149" t="str">
        <f>IF('5 yr'!I499=0,"",'5 yr'!I499)</f>
        <v/>
      </c>
      <c r="E496" s="150" t="str">
        <f>IFERROR(IF('5 yr'!AF499=0,"",'5 yr'!AF499),"")</f>
        <v/>
      </c>
      <c r="F496" s="150" t="str">
        <f>IFERROR(IF('5 yr'!AH499=0,"",'5 yr'!AH499),"")</f>
        <v/>
      </c>
      <c r="G496" s="156" t="str">
        <f>IFERROR(IF('5 yr'!AI499=0,"",'5 yr'!AI499),"")</f>
        <v/>
      </c>
    </row>
    <row r="497" spans="1:7">
      <c r="A497" s="149" t="str">
        <f>IF('5 yr'!A500=0,"",'5 yr'!A500)</f>
        <v/>
      </c>
      <c r="B497" s="147" t="str">
        <f>IF('5 yr'!B500=0,"",'5 yr'!B500)</f>
        <v/>
      </c>
      <c r="C497" s="148" t="str">
        <f>IF('5 yr'!E500=0,"",'5 yr'!E500)</f>
        <v/>
      </c>
      <c r="D497" s="149" t="str">
        <f>IF('5 yr'!I500=0,"",'5 yr'!I500)</f>
        <v/>
      </c>
      <c r="E497" s="150" t="str">
        <f>IFERROR(IF('5 yr'!AF500=0,"",'5 yr'!AF500),"")</f>
        <v/>
      </c>
      <c r="F497" s="150" t="str">
        <f>IFERROR(IF('5 yr'!AH500=0,"",'5 yr'!AH500),"")</f>
        <v/>
      </c>
      <c r="G497" s="156" t="str">
        <f>IFERROR(IF('5 yr'!AI500=0,"",'5 yr'!AI500),"")</f>
        <v/>
      </c>
    </row>
    <row r="498" spans="1:7">
      <c r="A498" s="149" t="str">
        <f>IF('5 yr'!A501=0,"",'5 yr'!A501)</f>
        <v/>
      </c>
      <c r="B498" s="147" t="str">
        <f>IF('5 yr'!B501=0,"",'5 yr'!B501)</f>
        <v/>
      </c>
      <c r="C498" s="148" t="str">
        <f>IF('5 yr'!E501=0,"",'5 yr'!E501)</f>
        <v/>
      </c>
      <c r="D498" s="149" t="str">
        <f>IF('5 yr'!I501=0,"",'5 yr'!I501)</f>
        <v/>
      </c>
      <c r="E498" s="150" t="str">
        <f>IFERROR(IF('5 yr'!AF501=0,"",'5 yr'!AF501),"")</f>
        <v/>
      </c>
      <c r="F498" s="150" t="str">
        <f>IFERROR(IF('5 yr'!AH501=0,"",'5 yr'!AH501),"")</f>
        <v/>
      </c>
      <c r="G498" s="156" t="str">
        <f>IFERROR(IF('5 yr'!AI501=0,"",'5 yr'!AI501),"")</f>
        <v/>
      </c>
    </row>
    <row r="499" spans="1:7">
      <c r="A499" s="149" t="str">
        <f>IF('5 yr'!A502=0,"",'5 yr'!A502)</f>
        <v/>
      </c>
      <c r="B499" s="147" t="str">
        <f>IF('5 yr'!B502=0,"",'5 yr'!B502)</f>
        <v/>
      </c>
      <c r="C499" s="148" t="str">
        <f>IF('5 yr'!E502=0,"",'5 yr'!E502)</f>
        <v/>
      </c>
      <c r="D499" s="149" t="str">
        <f>IF('5 yr'!I502=0,"",'5 yr'!I502)</f>
        <v/>
      </c>
      <c r="E499" s="150" t="str">
        <f>IFERROR(IF('5 yr'!AF502=0,"",'5 yr'!AF502),"")</f>
        <v/>
      </c>
      <c r="F499" s="150" t="str">
        <f>IFERROR(IF('5 yr'!AH502=0,"",'5 yr'!AH502),"")</f>
        <v/>
      </c>
      <c r="G499" s="156" t="str">
        <f>IFERROR(IF('5 yr'!AI502=0,"",'5 yr'!AI502),"")</f>
        <v/>
      </c>
    </row>
    <row r="500" spans="1:7">
      <c r="A500" s="149" t="str">
        <f>IF('5 yr'!A503=0,"",'5 yr'!A503)</f>
        <v/>
      </c>
      <c r="B500" s="147" t="str">
        <f>IF('5 yr'!B503=0,"",'5 yr'!B503)</f>
        <v/>
      </c>
      <c r="C500" s="148" t="str">
        <f>IF('5 yr'!E503=0,"",'5 yr'!E503)</f>
        <v/>
      </c>
      <c r="D500" s="149" t="str">
        <f>IF('5 yr'!I503=0,"",'5 yr'!I503)</f>
        <v/>
      </c>
      <c r="E500" s="150" t="str">
        <f>IFERROR(IF('5 yr'!AF503=0,"",'5 yr'!AF503),"")</f>
        <v/>
      </c>
      <c r="F500" s="150" t="str">
        <f>IFERROR(IF('5 yr'!AH503=0,"",'5 yr'!AH503),"")</f>
        <v/>
      </c>
      <c r="G500" s="156" t="str">
        <f>IFERROR(IF('5 yr'!AI503=0,"",'5 yr'!AI503),"")</f>
        <v/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9F431E-C44B-C64C-9061-D258A537D1A2}">
  <sheetPr codeName="Sheet6"/>
  <dimension ref="A1:H89"/>
  <sheetViews>
    <sheetView zoomScale="130" zoomScaleNormal="130" workbookViewId="0">
      <selection activeCell="G20" sqref="G20"/>
    </sheetView>
  </sheetViews>
  <sheetFormatPr defaultColWidth="8.796875" defaultRowHeight="14.4"/>
  <cols>
    <col min="1" max="1" width="52.5" style="2" bestFit="1" customWidth="1"/>
    <col min="2" max="2" width="8.5" style="40" bestFit="1" customWidth="1"/>
    <col min="3" max="3" width="7.796875" style="2" bestFit="1" customWidth="1"/>
    <col min="4" max="4" width="12.19921875" style="13" customWidth="1"/>
    <col min="5" max="8" width="7.296875" style="13" customWidth="1"/>
    <col min="9" max="16384" width="8.796875" style="2"/>
  </cols>
  <sheetData>
    <row r="1" spans="1:8" ht="15" customHeight="1">
      <c r="A1" s="332" t="s">
        <v>100</v>
      </c>
      <c r="B1" s="334" t="s">
        <v>101</v>
      </c>
      <c r="C1" s="332" t="s">
        <v>102</v>
      </c>
      <c r="D1" s="332" t="s">
        <v>103</v>
      </c>
      <c r="E1" s="332" t="s">
        <v>104</v>
      </c>
      <c r="F1" s="332" t="s">
        <v>105</v>
      </c>
      <c r="G1" s="332" t="s">
        <v>106</v>
      </c>
      <c r="H1" s="332" t="s">
        <v>107</v>
      </c>
    </row>
    <row r="2" spans="1:8" ht="33" customHeight="1">
      <c r="A2" s="333"/>
      <c r="B2" s="335"/>
      <c r="C2" s="333"/>
      <c r="D2" s="333"/>
      <c r="E2" s="333"/>
      <c r="F2" s="333"/>
      <c r="G2" s="333"/>
      <c r="H2" s="333"/>
    </row>
    <row r="3" spans="1:8" ht="15" customHeight="1">
      <c r="A3" s="36" t="s">
        <v>108</v>
      </c>
      <c r="B3" s="37">
        <v>57</v>
      </c>
      <c r="C3" s="38">
        <v>5</v>
      </c>
      <c r="D3" s="39">
        <v>0.24</v>
      </c>
      <c r="E3" s="39">
        <v>0.76</v>
      </c>
      <c r="F3" s="39">
        <v>0.09</v>
      </c>
      <c r="G3" s="39">
        <v>0</v>
      </c>
      <c r="H3" s="39">
        <v>0.15</v>
      </c>
    </row>
    <row r="4" spans="1:8" ht="15" customHeight="1">
      <c r="A4" s="36" t="s">
        <v>109</v>
      </c>
      <c r="B4" s="37" t="s">
        <v>97</v>
      </c>
      <c r="C4" s="38">
        <v>7</v>
      </c>
      <c r="D4" s="39">
        <v>0.3</v>
      </c>
      <c r="E4" s="39">
        <v>0.7</v>
      </c>
      <c r="F4" s="39">
        <v>0.18</v>
      </c>
      <c r="G4" s="39">
        <v>0.12</v>
      </c>
      <c r="H4" s="39">
        <v>0</v>
      </c>
    </row>
    <row r="5" spans="1:8" ht="15" customHeight="1">
      <c r="A5" s="36" t="s">
        <v>110</v>
      </c>
      <c r="B5" s="37">
        <v>57</v>
      </c>
      <c r="C5" s="38">
        <v>5</v>
      </c>
      <c r="D5" s="39">
        <v>0.27</v>
      </c>
      <c r="E5" s="39">
        <v>0.73</v>
      </c>
      <c r="F5" s="39">
        <v>0.12</v>
      </c>
      <c r="G5" s="39">
        <v>0</v>
      </c>
      <c r="H5" s="39">
        <v>0.15</v>
      </c>
    </row>
    <row r="6" spans="1:8" ht="15" customHeight="1">
      <c r="A6" s="36" t="s">
        <v>111</v>
      </c>
      <c r="B6" s="37">
        <v>57</v>
      </c>
      <c r="C6" s="38">
        <v>5</v>
      </c>
      <c r="D6" s="39">
        <v>0.22</v>
      </c>
      <c r="E6" s="39">
        <v>0.78</v>
      </c>
      <c r="F6" s="39">
        <v>0.12</v>
      </c>
      <c r="G6" s="39">
        <v>0</v>
      </c>
      <c r="H6" s="39">
        <v>0.1</v>
      </c>
    </row>
    <row r="7" spans="1:8" ht="15" customHeight="1">
      <c r="A7" s="36" t="s">
        <v>112</v>
      </c>
      <c r="B7" s="37">
        <v>57</v>
      </c>
      <c r="C7" s="38">
        <v>5</v>
      </c>
      <c r="D7" s="39">
        <v>1</v>
      </c>
      <c r="E7" s="39">
        <v>0</v>
      </c>
      <c r="F7" s="39">
        <v>0.95</v>
      </c>
      <c r="G7" s="39">
        <v>0</v>
      </c>
      <c r="H7" s="39">
        <v>0.05</v>
      </c>
    </row>
    <row r="8" spans="1:8" ht="15" customHeight="1">
      <c r="A8" s="36" t="s">
        <v>113</v>
      </c>
      <c r="B8" s="37">
        <v>57</v>
      </c>
      <c r="C8" s="38">
        <v>5</v>
      </c>
      <c r="D8" s="39">
        <v>0.25</v>
      </c>
      <c r="E8" s="39">
        <v>0.75</v>
      </c>
      <c r="F8" s="39">
        <v>0.1</v>
      </c>
      <c r="G8" s="39">
        <v>0</v>
      </c>
      <c r="H8" s="39">
        <v>0.15</v>
      </c>
    </row>
    <row r="9" spans="1:8" ht="15" customHeight="1">
      <c r="A9" s="36" t="s">
        <v>114</v>
      </c>
      <c r="B9" s="37">
        <v>79</v>
      </c>
      <c r="C9" s="38">
        <v>7</v>
      </c>
      <c r="D9" s="39">
        <v>0.35</v>
      </c>
      <c r="E9" s="39">
        <v>0.65</v>
      </c>
      <c r="F9" s="39">
        <v>0.1</v>
      </c>
      <c r="G9" s="39">
        <v>0.25</v>
      </c>
      <c r="H9" s="39">
        <v>0</v>
      </c>
    </row>
    <row r="10" spans="1:8" ht="15" customHeight="1">
      <c r="A10" s="36" t="s">
        <v>115</v>
      </c>
      <c r="B10" s="37">
        <v>79</v>
      </c>
      <c r="C10" s="38">
        <v>7</v>
      </c>
      <c r="D10" s="39">
        <v>0.22</v>
      </c>
      <c r="E10" s="39">
        <v>0.78</v>
      </c>
      <c r="F10" s="39">
        <v>0.1</v>
      </c>
      <c r="G10" s="39">
        <v>0.12</v>
      </c>
      <c r="H10" s="39">
        <v>0</v>
      </c>
    </row>
    <row r="11" spans="1:8" ht="15" customHeight="1">
      <c r="A11" s="36" t="s">
        <v>116</v>
      </c>
      <c r="B11" s="37">
        <v>57</v>
      </c>
      <c r="C11" s="38">
        <v>5</v>
      </c>
      <c r="D11" s="39">
        <v>0.4</v>
      </c>
      <c r="E11" s="39">
        <v>0.6</v>
      </c>
      <c r="F11" s="39">
        <v>0.15</v>
      </c>
      <c r="G11" s="39">
        <v>0</v>
      </c>
      <c r="H11" s="39">
        <v>0.25</v>
      </c>
    </row>
    <row r="12" spans="1:8" ht="15" customHeight="1">
      <c r="A12" s="36" t="s">
        <v>117</v>
      </c>
      <c r="B12" s="37">
        <v>57</v>
      </c>
      <c r="C12" s="38">
        <v>5</v>
      </c>
      <c r="D12" s="39">
        <v>0.2</v>
      </c>
      <c r="E12" s="39">
        <v>0.8</v>
      </c>
      <c r="F12" s="39">
        <v>0.1</v>
      </c>
      <c r="G12" s="39">
        <v>0</v>
      </c>
      <c r="H12" s="39">
        <v>0.1</v>
      </c>
    </row>
    <row r="13" spans="1:8" ht="15" customHeight="1">
      <c r="A13" s="36" t="s">
        <v>118</v>
      </c>
      <c r="B13" s="37">
        <v>57</v>
      </c>
      <c r="C13" s="38">
        <v>5</v>
      </c>
      <c r="D13" s="39">
        <v>0.2</v>
      </c>
      <c r="E13" s="39">
        <v>0.8</v>
      </c>
      <c r="F13" s="39">
        <v>0.12</v>
      </c>
      <c r="G13" s="39">
        <v>0</v>
      </c>
      <c r="H13" s="39">
        <v>0.08</v>
      </c>
    </row>
    <row r="14" spans="1:8" ht="15" customHeight="1">
      <c r="A14" s="36" t="s">
        <v>119</v>
      </c>
      <c r="B14" s="37">
        <v>57</v>
      </c>
      <c r="C14" s="38">
        <v>5</v>
      </c>
      <c r="D14" s="39">
        <v>0.3</v>
      </c>
      <c r="E14" s="39">
        <v>0.7</v>
      </c>
      <c r="F14" s="39">
        <v>0.18</v>
      </c>
      <c r="G14" s="39">
        <v>0</v>
      </c>
      <c r="H14" s="39">
        <v>0.12</v>
      </c>
    </row>
    <row r="15" spans="1:8" ht="15" customHeight="1">
      <c r="A15" s="36" t="s">
        <v>120</v>
      </c>
      <c r="B15" s="37">
        <v>57</v>
      </c>
      <c r="C15" s="38">
        <v>5</v>
      </c>
      <c r="D15" s="39">
        <v>0.25</v>
      </c>
      <c r="E15" s="39">
        <v>0.75</v>
      </c>
      <c r="F15" s="39">
        <v>0.05</v>
      </c>
      <c r="G15" s="39">
        <v>0</v>
      </c>
      <c r="H15" s="39">
        <v>0.2</v>
      </c>
    </row>
    <row r="16" spans="1:8" ht="15" customHeight="1">
      <c r="A16" s="36" t="s">
        <v>121</v>
      </c>
      <c r="B16" s="37">
        <v>57</v>
      </c>
      <c r="C16" s="38">
        <v>5</v>
      </c>
      <c r="D16" s="39">
        <v>0.25</v>
      </c>
      <c r="E16" s="39">
        <v>0.75</v>
      </c>
      <c r="F16" s="39">
        <v>0.1</v>
      </c>
      <c r="G16" s="39">
        <v>0</v>
      </c>
      <c r="H16" s="39">
        <v>0.15</v>
      </c>
    </row>
    <row r="17" spans="1:8" ht="15" customHeight="1">
      <c r="A17" s="36" t="s">
        <v>122</v>
      </c>
      <c r="B17" s="37">
        <v>57.1</v>
      </c>
      <c r="C17" s="38">
        <v>5</v>
      </c>
      <c r="D17" s="39">
        <v>1</v>
      </c>
      <c r="E17" s="39">
        <v>0</v>
      </c>
      <c r="F17" s="39">
        <v>0.7</v>
      </c>
      <c r="G17" s="39">
        <v>0</v>
      </c>
      <c r="H17" s="39">
        <v>0.3</v>
      </c>
    </row>
    <row r="18" spans="1:8" ht="15" customHeight="1">
      <c r="A18" s="36" t="s">
        <v>123</v>
      </c>
      <c r="B18" s="37">
        <v>80</v>
      </c>
      <c r="C18" s="38">
        <v>7</v>
      </c>
      <c r="D18" s="39">
        <v>0.3</v>
      </c>
      <c r="E18" s="39">
        <v>0.7</v>
      </c>
      <c r="F18" s="39">
        <v>0.15</v>
      </c>
      <c r="G18" s="39">
        <v>0.15</v>
      </c>
      <c r="H18" s="39">
        <v>0</v>
      </c>
    </row>
    <row r="19" spans="1:8" ht="15" customHeight="1">
      <c r="A19" s="36" t="s">
        <v>124</v>
      </c>
      <c r="B19" s="37">
        <v>57</v>
      </c>
      <c r="C19" s="38">
        <v>5</v>
      </c>
      <c r="D19" s="39">
        <v>0.35</v>
      </c>
      <c r="E19" s="39">
        <v>0.65</v>
      </c>
      <c r="F19" s="39">
        <v>0.15</v>
      </c>
      <c r="G19" s="39">
        <v>0</v>
      </c>
      <c r="H19" s="39">
        <v>0.2</v>
      </c>
    </row>
    <row r="20" spans="1:8" ht="15" customHeight="1">
      <c r="A20" s="36" t="s">
        <v>125</v>
      </c>
      <c r="B20" s="37">
        <v>57</v>
      </c>
      <c r="C20" s="38">
        <v>5</v>
      </c>
      <c r="D20" s="39">
        <v>0.25</v>
      </c>
      <c r="E20" s="39">
        <v>0.75</v>
      </c>
      <c r="F20" s="39">
        <v>0.05</v>
      </c>
      <c r="G20" s="39">
        <v>0</v>
      </c>
      <c r="H20" s="39">
        <v>0.2</v>
      </c>
    </row>
    <row r="21" spans="1:8" ht="15" customHeight="1">
      <c r="A21" s="36" t="s">
        <v>126</v>
      </c>
      <c r="B21" s="37">
        <v>57</v>
      </c>
      <c r="C21" s="38">
        <v>5</v>
      </c>
      <c r="D21" s="39">
        <v>0.25</v>
      </c>
      <c r="E21" s="39">
        <v>0.75</v>
      </c>
      <c r="F21" s="39">
        <v>0.1</v>
      </c>
      <c r="G21" s="39">
        <v>0</v>
      </c>
      <c r="H21" s="39">
        <v>0.15</v>
      </c>
    </row>
    <row r="22" spans="1:8" ht="15" customHeight="1">
      <c r="A22" s="36" t="s">
        <v>127</v>
      </c>
      <c r="B22" s="37">
        <v>57</v>
      </c>
      <c r="C22" s="38">
        <v>5</v>
      </c>
      <c r="D22" s="39">
        <v>0.25</v>
      </c>
      <c r="E22" s="39">
        <v>0.75</v>
      </c>
      <c r="F22" s="39">
        <v>0.06</v>
      </c>
      <c r="G22" s="39">
        <v>0</v>
      </c>
      <c r="H22" s="39">
        <v>0.19</v>
      </c>
    </row>
    <row r="23" spans="1:8" ht="15" customHeight="1">
      <c r="A23" s="36" t="s">
        <v>128</v>
      </c>
      <c r="B23" s="37">
        <v>57</v>
      </c>
      <c r="C23" s="38">
        <v>5</v>
      </c>
      <c r="D23" s="39">
        <v>0.27</v>
      </c>
      <c r="E23" s="39">
        <v>0.73</v>
      </c>
      <c r="F23" s="39">
        <v>0.1</v>
      </c>
      <c r="G23" s="39">
        <v>0</v>
      </c>
      <c r="H23" s="39">
        <v>0.17</v>
      </c>
    </row>
    <row r="24" spans="1:8" ht="15" customHeight="1">
      <c r="A24" s="36" t="s">
        <v>129</v>
      </c>
      <c r="B24" s="37">
        <v>57.1</v>
      </c>
      <c r="C24" s="38">
        <v>5</v>
      </c>
      <c r="D24" s="39">
        <v>1</v>
      </c>
      <c r="E24" s="39">
        <v>0</v>
      </c>
      <c r="F24" s="39">
        <v>0.8</v>
      </c>
      <c r="G24" s="39">
        <v>0</v>
      </c>
      <c r="H24" s="39">
        <v>0.2</v>
      </c>
    </row>
    <row r="25" spans="1:8" ht="15" customHeight="1">
      <c r="A25" s="36" t="s">
        <v>130</v>
      </c>
      <c r="B25" s="37">
        <v>57</v>
      </c>
      <c r="C25" s="38">
        <v>5</v>
      </c>
      <c r="D25" s="39">
        <v>0.2</v>
      </c>
      <c r="E25" s="39">
        <v>0.8</v>
      </c>
      <c r="F25" s="39">
        <v>0.1</v>
      </c>
      <c r="G25" s="39">
        <v>0</v>
      </c>
      <c r="H25" s="39">
        <v>0.1</v>
      </c>
    </row>
    <row r="26" spans="1:8" ht="15" customHeight="1">
      <c r="A26" s="36" t="s">
        <v>131</v>
      </c>
      <c r="B26" s="37">
        <v>57</v>
      </c>
      <c r="C26" s="38">
        <v>5</v>
      </c>
      <c r="D26" s="39">
        <v>0.25</v>
      </c>
      <c r="E26" s="39">
        <v>0.75</v>
      </c>
      <c r="F26" s="39">
        <v>0.13</v>
      </c>
      <c r="G26" s="39">
        <v>0</v>
      </c>
      <c r="H26" s="39">
        <v>0.12</v>
      </c>
    </row>
    <row r="27" spans="1:8" ht="15" customHeight="1">
      <c r="A27" s="36" t="s">
        <v>132</v>
      </c>
      <c r="B27" s="37">
        <v>57</v>
      </c>
      <c r="C27" s="38">
        <v>5</v>
      </c>
      <c r="D27" s="39">
        <v>0.3</v>
      </c>
      <c r="E27" s="39">
        <v>0.7</v>
      </c>
      <c r="F27" s="39">
        <v>0.15</v>
      </c>
      <c r="G27" s="39">
        <v>0</v>
      </c>
      <c r="H27" s="39">
        <v>0.15</v>
      </c>
    </row>
    <row r="28" spans="1:8" ht="15" customHeight="1">
      <c r="A28" s="36" t="s">
        <v>133</v>
      </c>
      <c r="B28" s="37">
        <v>57</v>
      </c>
      <c r="C28" s="38">
        <v>5</v>
      </c>
      <c r="D28" s="39">
        <v>0.25</v>
      </c>
      <c r="E28" s="39">
        <v>0.75</v>
      </c>
      <c r="F28" s="39">
        <v>0.1</v>
      </c>
      <c r="G28" s="39">
        <v>0</v>
      </c>
      <c r="H28" s="39">
        <v>0.15</v>
      </c>
    </row>
    <row r="29" spans="1:8" ht="15" customHeight="1">
      <c r="A29" s="36" t="s">
        <v>134</v>
      </c>
      <c r="B29" s="37">
        <v>57</v>
      </c>
      <c r="C29" s="38">
        <v>5</v>
      </c>
      <c r="D29" s="39">
        <v>0.32</v>
      </c>
      <c r="E29" s="39">
        <v>0.68</v>
      </c>
      <c r="F29" s="39">
        <v>0.12</v>
      </c>
      <c r="G29" s="39">
        <v>0</v>
      </c>
      <c r="H29" s="39">
        <v>0.2</v>
      </c>
    </row>
    <row r="30" spans="1:8" ht="15" customHeight="1">
      <c r="A30" s="36" t="s">
        <v>135</v>
      </c>
      <c r="B30" s="37">
        <v>57</v>
      </c>
      <c r="C30" s="38">
        <v>5</v>
      </c>
      <c r="D30" s="39">
        <v>0.42</v>
      </c>
      <c r="E30" s="39">
        <v>0.57999999999999996</v>
      </c>
      <c r="F30" s="39">
        <v>0</v>
      </c>
      <c r="G30" s="39">
        <v>0</v>
      </c>
      <c r="H30" s="39">
        <v>0.42</v>
      </c>
    </row>
    <row r="31" spans="1:8" ht="15" customHeight="1">
      <c r="A31" s="36" t="s">
        <v>136</v>
      </c>
      <c r="B31" s="37">
        <v>36</v>
      </c>
      <c r="C31" s="38">
        <v>5</v>
      </c>
      <c r="D31" s="39">
        <v>0.26</v>
      </c>
      <c r="E31" s="39">
        <v>0.74</v>
      </c>
      <c r="F31" s="39">
        <v>0.1</v>
      </c>
      <c r="G31" s="39">
        <v>0</v>
      </c>
      <c r="H31" s="39">
        <v>0.16</v>
      </c>
    </row>
    <row r="32" spans="1:8" ht="15" customHeight="1">
      <c r="A32" s="36" t="s">
        <v>137</v>
      </c>
      <c r="B32" s="37">
        <v>37.200000000000003</v>
      </c>
      <c r="C32" s="38">
        <v>7</v>
      </c>
      <c r="D32" s="39">
        <v>0.35</v>
      </c>
      <c r="E32" s="39">
        <v>0.65</v>
      </c>
      <c r="F32" s="39">
        <v>0.1</v>
      </c>
      <c r="G32" s="39">
        <v>0.25</v>
      </c>
      <c r="H32" s="39">
        <v>0</v>
      </c>
    </row>
    <row r="33" spans="1:8" ht="15" customHeight="1">
      <c r="A33" s="36" t="s">
        <v>138</v>
      </c>
      <c r="B33" s="37">
        <v>23</v>
      </c>
      <c r="C33" s="38">
        <v>5</v>
      </c>
      <c r="D33" s="39">
        <v>0.32</v>
      </c>
      <c r="E33" s="39">
        <v>0.68</v>
      </c>
      <c r="F33" s="39">
        <v>0.1</v>
      </c>
      <c r="G33" s="39">
        <v>0</v>
      </c>
      <c r="H33" s="39">
        <v>0.22</v>
      </c>
    </row>
    <row r="34" spans="1:8" ht="15" customHeight="1">
      <c r="A34" s="36" t="s">
        <v>139</v>
      </c>
      <c r="B34" s="37">
        <v>39</v>
      </c>
      <c r="C34" s="38">
        <v>7</v>
      </c>
      <c r="D34" s="39">
        <v>0.28000000000000003</v>
      </c>
      <c r="E34" s="39">
        <v>0.72</v>
      </c>
      <c r="F34" s="39">
        <v>0.1</v>
      </c>
      <c r="G34" s="39">
        <v>0.18</v>
      </c>
      <c r="H34" s="39">
        <v>0</v>
      </c>
    </row>
    <row r="35" spans="1:8" ht="15" customHeight="1">
      <c r="A35" s="36" t="s">
        <v>140</v>
      </c>
      <c r="B35" s="37">
        <v>32.200000000000003</v>
      </c>
      <c r="C35" s="38">
        <v>15</v>
      </c>
      <c r="D35" s="39">
        <v>0.45</v>
      </c>
      <c r="E35" s="39">
        <v>0.55000000000000004</v>
      </c>
      <c r="F35" s="39">
        <v>0.45</v>
      </c>
      <c r="G35" s="39">
        <v>0</v>
      </c>
      <c r="H35" s="39">
        <v>0</v>
      </c>
    </row>
    <row r="36" spans="1:8" ht="15" customHeight="1">
      <c r="A36" s="36" t="s">
        <v>141</v>
      </c>
      <c r="B36" s="37">
        <v>28</v>
      </c>
      <c r="C36" s="38">
        <v>5</v>
      </c>
      <c r="D36" s="39">
        <v>0.3</v>
      </c>
      <c r="E36" s="39">
        <v>0.7</v>
      </c>
      <c r="F36" s="39">
        <v>0.1</v>
      </c>
      <c r="G36" s="39">
        <v>0</v>
      </c>
      <c r="H36" s="39">
        <v>0.2</v>
      </c>
    </row>
    <row r="37" spans="1:8" ht="15" customHeight="1">
      <c r="A37" s="36" t="s">
        <v>142</v>
      </c>
      <c r="B37" s="37">
        <v>26.2</v>
      </c>
      <c r="C37" s="38">
        <v>7</v>
      </c>
      <c r="D37" s="39">
        <v>0.3</v>
      </c>
      <c r="E37" s="39">
        <v>0.7</v>
      </c>
      <c r="F37" s="39">
        <v>0.1</v>
      </c>
      <c r="G37" s="39">
        <v>0.2</v>
      </c>
      <c r="H37" s="39">
        <v>0</v>
      </c>
    </row>
    <row r="38" spans="1:8" ht="15" customHeight="1">
      <c r="A38" s="36" t="s">
        <v>143</v>
      </c>
      <c r="B38" s="37">
        <v>35</v>
      </c>
      <c r="C38" s="38">
        <v>7</v>
      </c>
      <c r="D38" s="39">
        <v>0.25</v>
      </c>
      <c r="E38" s="39">
        <v>0.75</v>
      </c>
      <c r="F38" s="39">
        <v>0.1</v>
      </c>
      <c r="G38" s="39">
        <v>0.15</v>
      </c>
      <c r="H38" s="39">
        <v>0</v>
      </c>
    </row>
    <row r="39" spans="1:8" ht="15" customHeight="1">
      <c r="A39" s="36" t="s">
        <v>144</v>
      </c>
      <c r="B39" s="37">
        <v>36</v>
      </c>
      <c r="C39" s="38">
        <v>5</v>
      </c>
      <c r="D39" s="39">
        <v>0.21</v>
      </c>
      <c r="E39" s="39">
        <v>0.79</v>
      </c>
      <c r="F39" s="39">
        <v>0.1</v>
      </c>
      <c r="G39" s="39">
        <v>0</v>
      </c>
      <c r="H39" s="39">
        <v>0.11</v>
      </c>
    </row>
    <row r="40" spans="1:8" ht="15" customHeight="1">
      <c r="A40" s="36" t="s">
        <v>145</v>
      </c>
      <c r="B40" s="37">
        <v>34</v>
      </c>
      <c r="C40" s="38">
        <v>7</v>
      </c>
      <c r="D40" s="39">
        <v>0.22</v>
      </c>
      <c r="E40" s="39">
        <v>0.78</v>
      </c>
      <c r="F40" s="39">
        <v>0.1</v>
      </c>
      <c r="G40" s="39">
        <v>0.12</v>
      </c>
      <c r="H40" s="39">
        <v>0</v>
      </c>
    </row>
    <row r="41" spans="1:8" ht="15" customHeight="1">
      <c r="A41" s="36" t="s">
        <v>146</v>
      </c>
      <c r="B41" s="37">
        <v>30.2</v>
      </c>
      <c r="C41" s="38">
        <v>7</v>
      </c>
      <c r="D41" s="39">
        <v>0.28000000000000003</v>
      </c>
      <c r="E41" s="39">
        <v>0.72</v>
      </c>
      <c r="F41" s="39">
        <v>0.1</v>
      </c>
      <c r="G41" s="39">
        <v>0.18</v>
      </c>
      <c r="H41" s="39">
        <v>0</v>
      </c>
    </row>
    <row r="42" spans="1:8" ht="15" customHeight="1">
      <c r="A42" s="36" t="s">
        <v>147</v>
      </c>
      <c r="B42" s="37">
        <v>20.399999999999999</v>
      </c>
      <c r="C42" s="38">
        <v>7</v>
      </c>
      <c r="D42" s="39">
        <v>0.25</v>
      </c>
      <c r="E42" s="39">
        <v>0.75</v>
      </c>
      <c r="F42" s="39">
        <v>0.1</v>
      </c>
      <c r="G42" s="39">
        <v>0.15</v>
      </c>
      <c r="H42" s="39">
        <v>0</v>
      </c>
    </row>
    <row r="43" spans="1:8" ht="15" customHeight="1">
      <c r="A43" s="36" t="s">
        <v>148</v>
      </c>
      <c r="B43" s="37">
        <v>33.299999999999997</v>
      </c>
      <c r="C43" s="38">
        <v>7</v>
      </c>
      <c r="D43" s="39">
        <v>0.25</v>
      </c>
      <c r="E43" s="39">
        <v>0.75</v>
      </c>
      <c r="F43" s="39">
        <v>0.1</v>
      </c>
      <c r="G43" s="39">
        <v>0.15</v>
      </c>
      <c r="H43" s="39">
        <v>0</v>
      </c>
    </row>
    <row r="44" spans="1:8" ht="15" customHeight="1">
      <c r="A44" s="36" t="s">
        <v>149</v>
      </c>
      <c r="B44" s="37">
        <v>32.1</v>
      </c>
      <c r="C44" s="38">
        <v>7</v>
      </c>
      <c r="D44" s="39">
        <v>0.45</v>
      </c>
      <c r="E44" s="39">
        <v>0.55000000000000004</v>
      </c>
      <c r="F44" s="39">
        <v>0.1</v>
      </c>
      <c r="G44" s="39">
        <v>0.35</v>
      </c>
      <c r="H44" s="39">
        <v>0</v>
      </c>
    </row>
    <row r="45" spans="1:8" ht="15" customHeight="1">
      <c r="A45" s="36" t="s">
        <v>150</v>
      </c>
      <c r="B45" s="37">
        <v>22.1</v>
      </c>
      <c r="C45" s="38">
        <v>5</v>
      </c>
      <c r="D45" s="39">
        <v>0.28000000000000003</v>
      </c>
      <c r="E45" s="39">
        <v>0.72</v>
      </c>
      <c r="F45" s="39">
        <v>0.1</v>
      </c>
      <c r="G45" s="39">
        <v>0</v>
      </c>
      <c r="H45" s="39">
        <v>0.18</v>
      </c>
    </row>
    <row r="46" spans="1:8" ht="15" customHeight="1">
      <c r="A46" s="36" t="s">
        <v>151</v>
      </c>
      <c r="B46" s="37">
        <v>31</v>
      </c>
      <c r="C46" s="38">
        <v>7</v>
      </c>
      <c r="D46" s="39">
        <v>0.45</v>
      </c>
      <c r="E46" s="39">
        <v>0.55000000000000004</v>
      </c>
      <c r="F46" s="39">
        <v>0.1</v>
      </c>
      <c r="G46" s="39">
        <v>0.35</v>
      </c>
      <c r="H46" s="39">
        <v>0</v>
      </c>
    </row>
    <row r="47" spans="1:8" ht="15" customHeight="1">
      <c r="A47" s="36" t="s">
        <v>152</v>
      </c>
      <c r="B47" s="37">
        <v>37.1</v>
      </c>
      <c r="C47" s="38">
        <v>7</v>
      </c>
      <c r="D47" s="39">
        <v>0.45</v>
      </c>
      <c r="E47" s="39">
        <v>0.55000000000000004</v>
      </c>
      <c r="F47" s="39">
        <v>0.1</v>
      </c>
      <c r="G47" s="39">
        <v>0.35</v>
      </c>
      <c r="H47" s="39">
        <v>0</v>
      </c>
    </row>
    <row r="48" spans="1:8" ht="15" customHeight="1">
      <c r="A48" s="36" t="s">
        <v>153</v>
      </c>
      <c r="B48" s="37">
        <v>22.5</v>
      </c>
      <c r="C48" s="38">
        <v>7</v>
      </c>
      <c r="D48" s="39">
        <v>0.45</v>
      </c>
      <c r="E48" s="39">
        <v>0.55000000000000004</v>
      </c>
      <c r="F48" s="39">
        <v>0.1</v>
      </c>
      <c r="G48" s="39">
        <v>0.35</v>
      </c>
      <c r="H48" s="39">
        <v>0</v>
      </c>
    </row>
    <row r="49" spans="1:8" ht="15" customHeight="1">
      <c r="A49" s="36" t="s">
        <v>154</v>
      </c>
      <c r="B49" s="37">
        <v>32.299999999999997</v>
      </c>
      <c r="C49" s="38">
        <v>7</v>
      </c>
      <c r="D49" s="39">
        <v>0.45</v>
      </c>
      <c r="E49" s="39">
        <v>0.55000000000000004</v>
      </c>
      <c r="F49" s="39">
        <v>0.1</v>
      </c>
      <c r="G49" s="39">
        <v>0.35</v>
      </c>
      <c r="H49" s="39">
        <v>0</v>
      </c>
    </row>
    <row r="50" spans="1:8" ht="15" customHeight="1">
      <c r="A50" s="36" t="s">
        <v>155</v>
      </c>
      <c r="B50" s="37">
        <v>33.200000000000003</v>
      </c>
      <c r="C50" s="38">
        <v>7</v>
      </c>
      <c r="D50" s="39">
        <v>0.45</v>
      </c>
      <c r="E50" s="39">
        <v>0.55000000000000004</v>
      </c>
      <c r="F50" s="39">
        <v>0.1</v>
      </c>
      <c r="G50" s="39">
        <v>0.35</v>
      </c>
      <c r="H50" s="39">
        <v>0</v>
      </c>
    </row>
    <row r="51" spans="1:8" ht="15" customHeight="1">
      <c r="A51" s="36" t="s">
        <v>156</v>
      </c>
      <c r="B51" s="37">
        <v>33.4</v>
      </c>
      <c r="C51" s="38">
        <v>7</v>
      </c>
      <c r="D51" s="39">
        <v>0.45</v>
      </c>
      <c r="E51" s="39">
        <v>0.55000000000000004</v>
      </c>
      <c r="F51" s="39">
        <v>0.1</v>
      </c>
      <c r="G51" s="39">
        <v>0.35</v>
      </c>
      <c r="H51" s="39">
        <v>0</v>
      </c>
    </row>
    <row r="52" spans="1:8" ht="15" customHeight="1">
      <c r="A52" s="36" t="s">
        <v>157</v>
      </c>
      <c r="B52" s="37">
        <v>26.1</v>
      </c>
      <c r="C52" s="38">
        <v>7</v>
      </c>
      <c r="D52" s="39">
        <v>0.45</v>
      </c>
      <c r="E52" s="39">
        <v>0.55000000000000004</v>
      </c>
      <c r="F52" s="39">
        <v>0.1</v>
      </c>
      <c r="G52" s="39">
        <v>0.35</v>
      </c>
      <c r="H52" s="39">
        <v>0</v>
      </c>
    </row>
    <row r="53" spans="1:8" ht="15" customHeight="1">
      <c r="A53" s="36" t="s">
        <v>158</v>
      </c>
      <c r="B53" s="37">
        <v>30.1</v>
      </c>
      <c r="C53" s="38">
        <v>7</v>
      </c>
      <c r="D53" s="39">
        <v>0.45</v>
      </c>
      <c r="E53" s="39">
        <v>0.55000000000000004</v>
      </c>
      <c r="F53" s="39">
        <v>0.1</v>
      </c>
      <c r="G53" s="39">
        <v>0.35</v>
      </c>
      <c r="H53" s="39">
        <v>0</v>
      </c>
    </row>
    <row r="54" spans="1:8" ht="15" customHeight="1">
      <c r="A54" s="36" t="s">
        <v>159</v>
      </c>
      <c r="B54" s="37">
        <v>22.4</v>
      </c>
      <c r="C54" s="38">
        <v>5</v>
      </c>
      <c r="D54" s="39">
        <v>0.28000000000000003</v>
      </c>
      <c r="E54" s="39">
        <v>0.72</v>
      </c>
      <c r="F54" s="39">
        <v>0.1</v>
      </c>
      <c r="G54" s="39">
        <v>0</v>
      </c>
      <c r="H54" s="39">
        <v>0.18</v>
      </c>
    </row>
    <row r="55" spans="1:8" ht="15" customHeight="1">
      <c r="A55" s="36" t="s">
        <v>160</v>
      </c>
      <c r="B55" s="37">
        <v>21</v>
      </c>
      <c r="C55" s="38">
        <v>7</v>
      </c>
      <c r="D55" s="39">
        <v>0.45</v>
      </c>
      <c r="E55" s="39">
        <v>0.55000000000000004</v>
      </c>
      <c r="F55" s="39">
        <v>0.1</v>
      </c>
      <c r="G55" s="39">
        <v>0.35</v>
      </c>
      <c r="H55" s="39">
        <v>0</v>
      </c>
    </row>
    <row r="56" spans="1:8" ht="15" customHeight="1">
      <c r="A56" s="36" t="s">
        <v>161</v>
      </c>
      <c r="B56" s="37">
        <v>24.4</v>
      </c>
      <c r="C56" s="38">
        <v>7</v>
      </c>
      <c r="D56" s="39">
        <v>0.45</v>
      </c>
      <c r="E56" s="39">
        <v>0.55000000000000004</v>
      </c>
      <c r="F56" s="39">
        <v>0.1</v>
      </c>
      <c r="G56" s="39">
        <v>0.35</v>
      </c>
      <c r="H56" s="39">
        <v>0</v>
      </c>
    </row>
    <row r="57" spans="1:8" ht="15" customHeight="1">
      <c r="A57" s="36" t="s">
        <v>162</v>
      </c>
      <c r="B57" s="37">
        <v>22.2</v>
      </c>
      <c r="C57" s="38">
        <v>7</v>
      </c>
      <c r="D57" s="39">
        <v>0.45</v>
      </c>
      <c r="E57" s="39">
        <v>0.55000000000000004</v>
      </c>
      <c r="F57" s="39">
        <v>0.1</v>
      </c>
      <c r="G57" s="39">
        <v>0.35</v>
      </c>
      <c r="H57" s="39">
        <v>0</v>
      </c>
    </row>
    <row r="58" spans="1:8" ht="15" customHeight="1">
      <c r="A58" s="36" t="s">
        <v>163</v>
      </c>
      <c r="B58" s="37">
        <v>57</v>
      </c>
      <c r="C58" s="38">
        <v>5</v>
      </c>
      <c r="D58" s="39">
        <v>0.28999999999999998</v>
      </c>
      <c r="E58" s="39">
        <v>0.71</v>
      </c>
      <c r="F58" s="39">
        <v>0.15</v>
      </c>
      <c r="G58" s="39">
        <v>0</v>
      </c>
      <c r="H58" s="39">
        <v>0.14000000000000001</v>
      </c>
    </row>
    <row r="59" spans="1:8" ht="15" customHeight="1">
      <c r="A59" s="36" t="s">
        <v>164</v>
      </c>
      <c r="B59" s="37">
        <v>42</v>
      </c>
      <c r="C59" s="38">
        <v>5</v>
      </c>
      <c r="D59" s="39">
        <v>0.45</v>
      </c>
      <c r="E59" s="39">
        <v>0.55000000000000004</v>
      </c>
      <c r="F59" s="39">
        <v>0.15</v>
      </c>
      <c r="G59" s="39">
        <v>0</v>
      </c>
      <c r="H59" s="39">
        <v>0.3</v>
      </c>
    </row>
    <row r="60" spans="1:8" ht="15" customHeight="1">
      <c r="A60" s="36" t="s">
        <v>165</v>
      </c>
      <c r="B60" s="37">
        <v>57</v>
      </c>
      <c r="C60" s="38">
        <v>5</v>
      </c>
      <c r="D60" s="39">
        <v>0.23</v>
      </c>
      <c r="E60" s="39">
        <v>0.77</v>
      </c>
      <c r="F60" s="39">
        <v>0.08</v>
      </c>
      <c r="G60" s="39">
        <v>0</v>
      </c>
      <c r="H60" s="39">
        <v>0.15</v>
      </c>
    </row>
    <row r="61" spans="1:8" ht="15" customHeight="1">
      <c r="A61" s="36" t="s">
        <v>166</v>
      </c>
      <c r="B61" s="37">
        <v>57</v>
      </c>
      <c r="C61" s="38">
        <v>5</v>
      </c>
      <c r="D61" s="39">
        <v>0.15</v>
      </c>
      <c r="E61" s="39">
        <v>0.85</v>
      </c>
      <c r="F61" s="39">
        <v>0.03</v>
      </c>
      <c r="G61" s="39">
        <v>0</v>
      </c>
      <c r="H61" s="39">
        <v>0.12</v>
      </c>
    </row>
    <row r="62" spans="1:8" ht="15" customHeight="1">
      <c r="A62" s="36" t="s">
        <v>167</v>
      </c>
      <c r="B62" s="37">
        <v>49.2</v>
      </c>
      <c r="C62" s="38">
        <v>7</v>
      </c>
      <c r="D62" s="39">
        <v>0.45</v>
      </c>
      <c r="E62" s="39">
        <v>0.55000000000000004</v>
      </c>
      <c r="F62" s="39">
        <v>0.1</v>
      </c>
      <c r="G62" s="39">
        <v>0.35</v>
      </c>
      <c r="H62" s="39">
        <v>0</v>
      </c>
    </row>
    <row r="63" spans="1:8" ht="15" customHeight="1">
      <c r="A63" s="36" t="s">
        <v>168</v>
      </c>
      <c r="B63" s="37">
        <v>57</v>
      </c>
      <c r="C63" s="38">
        <v>5</v>
      </c>
      <c r="D63" s="39">
        <v>0.25</v>
      </c>
      <c r="E63" s="39">
        <v>0.75</v>
      </c>
      <c r="F63" s="39">
        <v>0.1</v>
      </c>
      <c r="G63" s="39">
        <v>0</v>
      </c>
      <c r="H63" s="39">
        <v>0.15</v>
      </c>
    </row>
    <row r="64" spans="1:8" ht="15" customHeight="1">
      <c r="A64" s="36" t="s">
        <v>169</v>
      </c>
      <c r="B64" s="37">
        <v>57</v>
      </c>
      <c r="C64" s="38">
        <v>5</v>
      </c>
      <c r="D64" s="39">
        <v>0.2</v>
      </c>
      <c r="E64" s="39">
        <v>0.8</v>
      </c>
      <c r="F64" s="39">
        <v>0.1</v>
      </c>
      <c r="G64" s="39">
        <v>0</v>
      </c>
      <c r="H64" s="39">
        <v>0.1</v>
      </c>
    </row>
    <row r="65" spans="1:8" ht="15" customHeight="1">
      <c r="A65" s="36" t="s">
        <v>170</v>
      </c>
      <c r="B65" s="37">
        <v>57</v>
      </c>
      <c r="C65" s="38">
        <v>5</v>
      </c>
      <c r="D65" s="39">
        <v>0.19</v>
      </c>
      <c r="E65" s="39">
        <v>0.81</v>
      </c>
      <c r="F65" s="39">
        <v>0.11</v>
      </c>
      <c r="G65" s="39">
        <v>0</v>
      </c>
      <c r="H65" s="39">
        <v>0.08</v>
      </c>
    </row>
    <row r="66" spans="1:8" ht="15" customHeight="1">
      <c r="A66" s="36" t="s">
        <v>171</v>
      </c>
      <c r="B66" s="37">
        <v>57</v>
      </c>
      <c r="C66" s="38">
        <v>5</v>
      </c>
      <c r="D66" s="39">
        <v>0.2</v>
      </c>
      <c r="E66" s="39">
        <v>0.8</v>
      </c>
      <c r="F66" s="39">
        <v>0.1</v>
      </c>
      <c r="G66" s="39">
        <v>0</v>
      </c>
      <c r="H66" s="39">
        <v>0.1</v>
      </c>
    </row>
    <row r="67" spans="1:8" ht="15" customHeight="1">
      <c r="A67" s="36" t="s">
        <v>172</v>
      </c>
      <c r="B67" s="37">
        <v>57</v>
      </c>
      <c r="C67" s="38">
        <v>5</v>
      </c>
      <c r="D67" s="39">
        <v>0.18</v>
      </c>
      <c r="E67" s="39">
        <v>0.82</v>
      </c>
      <c r="F67" s="39">
        <v>0.1</v>
      </c>
      <c r="G67" s="39">
        <v>0</v>
      </c>
      <c r="H67" s="39">
        <v>0.08</v>
      </c>
    </row>
    <row r="68" spans="1:8" ht="15" customHeight="1">
      <c r="A68" s="36" t="s">
        <v>173</v>
      </c>
      <c r="B68" s="37" t="s">
        <v>97</v>
      </c>
      <c r="C68" s="38">
        <v>39</v>
      </c>
      <c r="D68" s="39">
        <v>0.05</v>
      </c>
      <c r="E68" s="39">
        <v>0.95</v>
      </c>
      <c r="F68" s="39">
        <v>0</v>
      </c>
      <c r="G68" s="39">
        <v>0</v>
      </c>
      <c r="H68" s="39">
        <v>0.05</v>
      </c>
    </row>
    <row r="69" spans="1:8" ht="15" customHeight="1">
      <c r="A69" s="36" t="s">
        <v>174</v>
      </c>
      <c r="B69" s="37">
        <v>28</v>
      </c>
      <c r="C69" s="38">
        <v>5</v>
      </c>
      <c r="D69" s="39">
        <v>0.34</v>
      </c>
      <c r="E69" s="39">
        <v>0.66</v>
      </c>
      <c r="F69" s="39">
        <v>0.1</v>
      </c>
      <c r="G69" s="39">
        <v>0</v>
      </c>
      <c r="H69" s="39">
        <v>0.24</v>
      </c>
    </row>
    <row r="70" spans="1:8" ht="15" customHeight="1">
      <c r="A70" s="36" t="s">
        <v>175</v>
      </c>
      <c r="B70" s="37">
        <v>27</v>
      </c>
      <c r="C70" s="38">
        <v>7</v>
      </c>
      <c r="D70" s="39">
        <v>0.45</v>
      </c>
      <c r="E70" s="39">
        <v>0.55000000000000004</v>
      </c>
      <c r="F70" s="39">
        <v>0.1</v>
      </c>
      <c r="G70" s="39">
        <v>0.35</v>
      </c>
      <c r="H70" s="39">
        <v>0</v>
      </c>
    </row>
    <row r="71" spans="1:8" ht="15" customHeight="1">
      <c r="A71" s="36" t="s">
        <v>176</v>
      </c>
      <c r="B71" s="37">
        <v>36</v>
      </c>
      <c r="C71" s="38">
        <v>5</v>
      </c>
      <c r="D71" s="39">
        <v>0.34</v>
      </c>
      <c r="E71" s="39">
        <v>0.66</v>
      </c>
      <c r="F71" s="39">
        <v>0.1</v>
      </c>
      <c r="G71" s="39">
        <v>0</v>
      </c>
      <c r="H71" s="39">
        <v>0.24</v>
      </c>
    </row>
    <row r="72" spans="1:8" ht="15" customHeight="1">
      <c r="A72" s="36" t="s">
        <v>177</v>
      </c>
      <c r="B72" s="37">
        <v>79</v>
      </c>
      <c r="C72" s="38">
        <v>7</v>
      </c>
      <c r="D72" s="39">
        <v>0.28000000000000003</v>
      </c>
      <c r="E72" s="39">
        <v>0.72</v>
      </c>
      <c r="F72" s="39">
        <v>0.12</v>
      </c>
      <c r="G72" s="39">
        <v>0.16</v>
      </c>
      <c r="H72" s="39">
        <v>0</v>
      </c>
    </row>
    <row r="73" spans="1:8" ht="15" customHeight="1">
      <c r="A73" s="36" t="s">
        <v>178</v>
      </c>
      <c r="B73" s="37">
        <v>57</v>
      </c>
      <c r="C73" s="38">
        <v>5</v>
      </c>
      <c r="D73" s="39">
        <v>0.3</v>
      </c>
      <c r="E73" s="39">
        <v>0.7</v>
      </c>
      <c r="F73" s="39">
        <v>0.15</v>
      </c>
      <c r="G73" s="39">
        <v>0</v>
      </c>
      <c r="H73" s="39">
        <v>0.15</v>
      </c>
    </row>
    <row r="74" spans="1:8" ht="15" customHeight="1">
      <c r="A74" s="36" t="s">
        <v>179</v>
      </c>
      <c r="B74" s="37">
        <v>57</v>
      </c>
      <c r="C74" s="38">
        <v>5</v>
      </c>
      <c r="D74" s="39">
        <v>0.25</v>
      </c>
      <c r="E74" s="39">
        <v>0.75</v>
      </c>
      <c r="F74" s="39">
        <v>0.1</v>
      </c>
      <c r="G74" s="39">
        <v>0</v>
      </c>
      <c r="H74" s="39">
        <v>0.15</v>
      </c>
    </row>
    <row r="75" spans="1:8" ht="15" customHeight="1">
      <c r="A75" s="36" t="s">
        <v>180</v>
      </c>
      <c r="B75" s="37">
        <v>57</v>
      </c>
      <c r="C75" s="38">
        <v>5</v>
      </c>
      <c r="D75" s="39">
        <v>0.35</v>
      </c>
      <c r="E75" s="39">
        <v>0.65</v>
      </c>
      <c r="F75" s="39">
        <v>0.12</v>
      </c>
      <c r="G75" s="39">
        <v>0</v>
      </c>
      <c r="H75" s="39">
        <v>0.23</v>
      </c>
    </row>
    <row r="76" spans="1:8" ht="15" customHeight="1">
      <c r="A76" s="36" t="s">
        <v>181</v>
      </c>
      <c r="B76" s="37">
        <v>57</v>
      </c>
      <c r="C76" s="38">
        <v>5</v>
      </c>
      <c r="D76" s="39">
        <v>0.3</v>
      </c>
      <c r="E76" s="39">
        <v>0.7</v>
      </c>
      <c r="F76" s="39">
        <v>0.15</v>
      </c>
      <c r="G76" s="39">
        <v>0</v>
      </c>
      <c r="H76" s="39">
        <v>0.15</v>
      </c>
    </row>
    <row r="77" spans="1:8" ht="15" customHeight="1">
      <c r="A77" s="36" t="s">
        <v>182</v>
      </c>
      <c r="B77" s="37">
        <v>57</v>
      </c>
      <c r="C77" s="38">
        <v>5</v>
      </c>
      <c r="D77" s="39">
        <v>0.25</v>
      </c>
      <c r="E77" s="39">
        <v>0.75</v>
      </c>
      <c r="F77" s="39">
        <v>0.1</v>
      </c>
      <c r="G77" s="39">
        <v>0</v>
      </c>
      <c r="H77" s="39">
        <v>0.15</v>
      </c>
    </row>
    <row r="78" spans="1:8" ht="15" customHeight="1">
      <c r="A78" s="36" t="s">
        <v>183</v>
      </c>
      <c r="B78" s="37">
        <v>57</v>
      </c>
      <c r="C78" s="38">
        <v>5</v>
      </c>
      <c r="D78" s="39">
        <v>0.32</v>
      </c>
      <c r="E78" s="39">
        <v>0.68</v>
      </c>
      <c r="F78" s="39">
        <v>0.2</v>
      </c>
      <c r="G78" s="39">
        <v>0</v>
      </c>
      <c r="H78" s="39">
        <v>0.12</v>
      </c>
    </row>
    <row r="79" spans="1:8" ht="15" customHeight="1">
      <c r="A79" s="36" t="s">
        <v>184</v>
      </c>
      <c r="B79" s="37">
        <v>57</v>
      </c>
      <c r="C79" s="38">
        <v>5</v>
      </c>
      <c r="D79" s="39">
        <v>0.15</v>
      </c>
      <c r="E79" s="39">
        <v>0.85</v>
      </c>
      <c r="F79" s="39">
        <v>0.1</v>
      </c>
      <c r="G79" s="39">
        <v>0</v>
      </c>
      <c r="H79" s="39">
        <v>0.05</v>
      </c>
    </row>
    <row r="80" spans="1:8" ht="15" customHeight="1">
      <c r="A80" s="36" t="s">
        <v>185</v>
      </c>
      <c r="B80" s="37" t="s">
        <v>97</v>
      </c>
      <c r="C80" s="38">
        <v>7</v>
      </c>
      <c r="D80" s="39">
        <v>0.3</v>
      </c>
      <c r="E80" s="39">
        <v>0.7</v>
      </c>
      <c r="F80" s="39">
        <v>0.12</v>
      </c>
      <c r="G80" s="39">
        <v>0.18</v>
      </c>
      <c r="H80" s="39">
        <v>0</v>
      </c>
    </row>
    <row r="81" spans="1:8" ht="15" customHeight="1">
      <c r="A81" s="36" t="s">
        <v>186</v>
      </c>
      <c r="B81" s="37" t="s">
        <v>97</v>
      </c>
      <c r="C81" s="38">
        <v>12</v>
      </c>
      <c r="D81" s="39">
        <v>0.3</v>
      </c>
      <c r="E81" s="39">
        <v>0.7</v>
      </c>
      <c r="F81" s="39">
        <v>0.12</v>
      </c>
      <c r="G81" s="39">
        <v>0.18</v>
      </c>
      <c r="H81" s="39">
        <v>0</v>
      </c>
    </row>
    <row r="82" spans="1:8" ht="15" customHeight="1">
      <c r="A82" s="36" t="s">
        <v>187</v>
      </c>
      <c r="B82" s="37">
        <v>57</v>
      </c>
      <c r="C82" s="38">
        <v>5</v>
      </c>
      <c r="D82" s="39">
        <v>0.3</v>
      </c>
      <c r="E82" s="39">
        <v>0.7</v>
      </c>
      <c r="F82" s="39">
        <v>0.15</v>
      </c>
      <c r="G82" s="39">
        <v>0</v>
      </c>
      <c r="H82" s="39">
        <v>0.15</v>
      </c>
    </row>
    <row r="83" spans="1:8" ht="15" customHeight="1">
      <c r="A83" s="36" t="s">
        <v>188</v>
      </c>
      <c r="B83" s="37">
        <v>57</v>
      </c>
      <c r="C83" s="38">
        <v>5</v>
      </c>
      <c r="D83" s="39">
        <v>0.25</v>
      </c>
      <c r="E83" s="39">
        <v>0.75</v>
      </c>
      <c r="F83" s="39">
        <v>0.15</v>
      </c>
      <c r="G83" s="39">
        <v>0</v>
      </c>
      <c r="H83" s="39">
        <v>0.1</v>
      </c>
    </row>
    <row r="84" spans="1:8" ht="15" customHeight="1">
      <c r="A84" s="36" t="s">
        <v>189</v>
      </c>
      <c r="B84" s="37">
        <v>57</v>
      </c>
      <c r="C84" s="38">
        <v>5</v>
      </c>
      <c r="D84" s="39">
        <v>0.18</v>
      </c>
      <c r="E84" s="39">
        <v>0.82</v>
      </c>
      <c r="F84" s="39">
        <v>0.15</v>
      </c>
      <c r="G84" s="39">
        <v>0</v>
      </c>
      <c r="H84" s="39">
        <v>0.03</v>
      </c>
    </row>
    <row r="85" spans="1:8" ht="15" customHeight="1">
      <c r="A85" s="36" t="s">
        <v>190</v>
      </c>
      <c r="B85" s="37">
        <v>57</v>
      </c>
      <c r="C85" s="38">
        <v>5</v>
      </c>
      <c r="D85" s="39">
        <v>0.3</v>
      </c>
      <c r="E85" s="39">
        <v>0.7</v>
      </c>
      <c r="F85" s="39">
        <v>0.2</v>
      </c>
      <c r="G85" s="39">
        <v>0</v>
      </c>
      <c r="H85" s="39">
        <v>0.1</v>
      </c>
    </row>
    <row r="86" spans="1:8" ht="15" customHeight="1">
      <c r="A86" s="36" t="s">
        <v>191</v>
      </c>
      <c r="B86" s="37">
        <v>57.1</v>
      </c>
      <c r="C86" s="38">
        <v>5</v>
      </c>
      <c r="D86" s="39">
        <v>1</v>
      </c>
      <c r="E86" s="39">
        <v>0</v>
      </c>
      <c r="F86" s="39">
        <v>0.6</v>
      </c>
      <c r="G86" s="39">
        <v>0</v>
      </c>
      <c r="H86" s="39">
        <v>0.4</v>
      </c>
    </row>
    <row r="87" spans="1:8" ht="15" customHeight="1">
      <c r="A87" s="36" t="s">
        <v>192</v>
      </c>
      <c r="B87" s="37">
        <v>57</v>
      </c>
      <c r="C87" s="38">
        <v>5</v>
      </c>
      <c r="D87" s="39">
        <v>0.25</v>
      </c>
      <c r="E87" s="39">
        <v>0.75</v>
      </c>
      <c r="F87" s="39">
        <v>0.1</v>
      </c>
      <c r="G87" s="39">
        <v>0</v>
      </c>
      <c r="H87" s="39">
        <v>0.15</v>
      </c>
    </row>
    <row r="88" spans="1:8" ht="15" customHeight="1">
      <c r="A88" s="36" t="s">
        <v>193</v>
      </c>
      <c r="B88" s="37">
        <v>57</v>
      </c>
      <c r="C88" s="38">
        <v>5</v>
      </c>
      <c r="D88" s="39">
        <v>0.14000000000000001</v>
      </c>
      <c r="E88" s="39">
        <v>0.86</v>
      </c>
      <c r="F88" s="39">
        <v>0.12</v>
      </c>
      <c r="G88" s="39">
        <v>0</v>
      </c>
      <c r="H88" s="39">
        <v>0.02</v>
      </c>
    </row>
    <row r="89" spans="1:8" ht="15" customHeight="1">
      <c r="A89" s="36" t="s">
        <v>194</v>
      </c>
      <c r="B89" s="37" t="s">
        <v>97</v>
      </c>
      <c r="C89" s="38">
        <v>7</v>
      </c>
      <c r="D89" s="39">
        <v>0.15</v>
      </c>
      <c r="E89" s="39">
        <v>0.85</v>
      </c>
      <c r="F89" s="39">
        <v>0.1</v>
      </c>
      <c r="G89" s="39">
        <v>0.05</v>
      </c>
      <c r="H89" s="39">
        <v>0</v>
      </c>
    </row>
  </sheetData>
  <mergeCells count="8">
    <mergeCell ref="G1:G2"/>
    <mergeCell ref="H1:H2"/>
    <mergeCell ref="A1:A2"/>
    <mergeCell ref="B1:B2"/>
    <mergeCell ref="C1:C2"/>
    <mergeCell ref="D1:D2"/>
    <mergeCell ref="E1:E2"/>
    <mergeCell ref="F1:F2"/>
  </mergeCells>
  <pageMargins left="0.7" right="0.7" top="0.75" bottom="0.75" header="0.3" footer="0.3"/>
  <pageSetup orientation="portrait" horizontalDpi="0" verticalDpi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310603-F2BE-4F4C-991A-88152CDFAFE0}">
  <sheetPr codeName="Sheet1"/>
  <dimension ref="A1:O32"/>
  <sheetViews>
    <sheetView zoomScaleNormal="100" workbookViewId="0">
      <pane xSplit="1" ySplit="3" topLeftCell="B4" activePane="bottomRight" state="frozen"/>
      <selection activeCell="O48" sqref="O48"/>
      <selection pane="topRight" activeCell="O48" sqref="O48"/>
      <selection pane="bottomLeft" activeCell="O48" sqref="O48"/>
      <selection pane="bottomRight" activeCell="A3" sqref="A3:M32"/>
    </sheetView>
  </sheetViews>
  <sheetFormatPr defaultColWidth="8.796875" defaultRowHeight="14.4"/>
  <cols>
    <col min="1" max="1" width="19.19921875" style="2" bestFit="1" customWidth="1"/>
    <col min="2" max="2" width="10.5" style="2" customWidth="1"/>
    <col min="3" max="3" width="11.5" style="2" customWidth="1"/>
    <col min="4" max="8" width="8.796875" style="2"/>
    <col min="9" max="9" width="9.796875" style="2" customWidth="1"/>
    <col min="10" max="10" width="13.5" style="2" customWidth="1"/>
    <col min="11" max="11" width="10.5" style="2" customWidth="1"/>
    <col min="12" max="13" width="13" style="2" customWidth="1"/>
    <col min="14" max="14" width="8.796875" style="2"/>
    <col min="15" max="15" width="34.796875" style="2" bestFit="1" customWidth="1"/>
    <col min="16" max="16384" width="8.796875" style="2"/>
  </cols>
  <sheetData>
    <row r="1" spans="1:15">
      <c r="A1" s="1" t="s">
        <v>16</v>
      </c>
      <c r="B1" s="1" t="s">
        <v>17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O1" s="2" t="s">
        <v>18</v>
      </c>
    </row>
    <row r="2" spans="1:15">
      <c r="A2" s="2" t="s">
        <v>19</v>
      </c>
      <c r="B2" s="2" t="s">
        <v>20</v>
      </c>
      <c r="C2" s="2" t="s">
        <v>21</v>
      </c>
      <c r="D2" s="2" t="s">
        <v>22</v>
      </c>
      <c r="E2" s="2" t="s">
        <v>23</v>
      </c>
      <c r="F2" s="2" t="s">
        <v>24</v>
      </c>
      <c r="G2" s="2" t="s">
        <v>25</v>
      </c>
      <c r="H2" s="2" t="s">
        <v>26</v>
      </c>
      <c r="I2" s="2" t="s">
        <v>27</v>
      </c>
      <c r="J2" s="2" t="s">
        <v>28</v>
      </c>
      <c r="K2" s="2" t="s">
        <v>29</v>
      </c>
      <c r="L2" s="2" t="s">
        <v>30</v>
      </c>
      <c r="M2" s="2" t="s">
        <v>31</v>
      </c>
      <c r="O2" s="2" t="s">
        <v>32</v>
      </c>
    </row>
    <row r="3" spans="1:15">
      <c r="A3" s="9" t="s">
        <v>33</v>
      </c>
      <c r="B3" s="9">
        <v>1</v>
      </c>
      <c r="C3" s="9">
        <v>2</v>
      </c>
      <c r="D3" s="9">
        <v>3</v>
      </c>
      <c r="E3" s="9">
        <v>4</v>
      </c>
      <c r="F3" s="9">
        <v>5</v>
      </c>
      <c r="G3" s="9">
        <v>6</v>
      </c>
      <c r="H3" s="9">
        <v>7</v>
      </c>
      <c r="I3" s="9">
        <v>8</v>
      </c>
      <c r="J3" s="9">
        <v>9</v>
      </c>
      <c r="K3" s="9">
        <v>10</v>
      </c>
      <c r="L3" s="9">
        <v>11</v>
      </c>
      <c r="M3" s="9">
        <v>12</v>
      </c>
    </row>
    <row r="4" spans="1:15">
      <c r="A4" s="2">
        <v>1</v>
      </c>
      <c r="B4" s="2">
        <v>3.4849999999999999E-2</v>
      </c>
      <c r="C4" s="2">
        <v>3.1820000000000001E-2</v>
      </c>
      <c r="D4" s="2">
        <v>2.879E-2</v>
      </c>
      <c r="E4" s="2">
        <v>2.5760000000000002E-2</v>
      </c>
      <c r="F4" s="2">
        <v>2.273E-2</v>
      </c>
      <c r="G4" s="2">
        <v>1.9699999999999999E-2</v>
      </c>
      <c r="H4" s="2">
        <v>1.6670000000000001E-2</v>
      </c>
      <c r="I4" s="2">
        <v>1.3639999999999999E-2</v>
      </c>
      <c r="J4" s="2">
        <v>1.061E-2</v>
      </c>
      <c r="K4" s="2">
        <v>7.5799999999999999E-3</v>
      </c>
      <c r="L4" s="2">
        <v>4.5500000000000002E-3</v>
      </c>
      <c r="M4" s="2">
        <v>1.5200000000000001E-3</v>
      </c>
    </row>
    <row r="5" spans="1:15">
      <c r="A5" s="2">
        <v>2</v>
      </c>
      <c r="B5" s="2">
        <v>3.6360000000000003E-2</v>
      </c>
      <c r="C5" s="2">
        <v>3.6360000000000003E-2</v>
      </c>
      <c r="D5" s="2">
        <v>3.6360000000000003E-2</v>
      </c>
      <c r="E5" s="2">
        <v>3.6360000000000003E-2</v>
      </c>
      <c r="F5" s="2">
        <v>3.6360000000000003E-2</v>
      </c>
      <c r="G5" s="2">
        <v>3.6360000000000003E-2</v>
      </c>
      <c r="H5" s="2">
        <v>3.6360000000000003E-2</v>
      </c>
      <c r="I5" s="2">
        <v>3.6360000000000003E-2</v>
      </c>
      <c r="J5" s="2">
        <v>3.6360000000000003E-2</v>
      </c>
      <c r="K5" s="2">
        <v>3.6360000000000003E-2</v>
      </c>
      <c r="L5" s="2">
        <v>3.6360000000000003E-2</v>
      </c>
      <c r="M5" s="2">
        <v>3.6360000000000003E-2</v>
      </c>
      <c r="O5" s="3"/>
    </row>
    <row r="6" spans="1:15">
      <c r="A6" s="2">
        <v>3</v>
      </c>
      <c r="B6" s="2">
        <v>3.6360000000000003E-2</v>
      </c>
      <c r="C6" s="2">
        <v>3.6360000000000003E-2</v>
      </c>
      <c r="D6" s="2">
        <v>3.6360000000000003E-2</v>
      </c>
      <c r="E6" s="2">
        <v>3.6360000000000003E-2</v>
      </c>
      <c r="F6" s="2">
        <v>3.6360000000000003E-2</v>
      </c>
      <c r="G6" s="2">
        <v>3.6360000000000003E-2</v>
      </c>
      <c r="H6" s="2">
        <v>3.6360000000000003E-2</v>
      </c>
      <c r="I6" s="2">
        <v>3.6360000000000003E-2</v>
      </c>
      <c r="J6" s="2">
        <v>3.6360000000000003E-2</v>
      </c>
      <c r="K6" s="2">
        <v>3.6360000000000003E-2</v>
      </c>
      <c r="L6" s="2">
        <v>3.6360000000000003E-2</v>
      </c>
      <c r="M6" s="2">
        <v>3.6360000000000003E-2</v>
      </c>
    </row>
    <row r="7" spans="1:15">
      <c r="A7" s="2">
        <v>4</v>
      </c>
      <c r="B7" s="2">
        <v>3.6360000000000003E-2</v>
      </c>
      <c r="C7" s="2">
        <v>3.6360000000000003E-2</v>
      </c>
      <c r="D7" s="2">
        <v>3.6360000000000003E-2</v>
      </c>
      <c r="E7" s="2">
        <v>3.6360000000000003E-2</v>
      </c>
      <c r="F7" s="2">
        <v>3.6360000000000003E-2</v>
      </c>
      <c r="G7" s="2">
        <v>3.6360000000000003E-2</v>
      </c>
      <c r="H7" s="2">
        <v>3.6360000000000003E-2</v>
      </c>
      <c r="I7" s="2">
        <v>3.6360000000000003E-2</v>
      </c>
      <c r="J7" s="2">
        <v>3.6360000000000003E-2</v>
      </c>
      <c r="K7" s="2">
        <v>3.6360000000000003E-2</v>
      </c>
      <c r="L7" s="2">
        <v>3.6360000000000003E-2</v>
      </c>
      <c r="M7" s="2">
        <v>3.6360000000000003E-2</v>
      </c>
    </row>
    <row r="8" spans="1:15">
      <c r="A8" s="2">
        <v>5</v>
      </c>
      <c r="B8" s="2">
        <v>3.6360000000000003E-2</v>
      </c>
      <c r="C8" s="2">
        <v>3.6360000000000003E-2</v>
      </c>
      <c r="D8" s="2">
        <v>3.6360000000000003E-2</v>
      </c>
      <c r="E8" s="2">
        <v>3.6360000000000003E-2</v>
      </c>
      <c r="F8" s="2">
        <v>3.6360000000000003E-2</v>
      </c>
      <c r="G8" s="2">
        <v>3.6360000000000003E-2</v>
      </c>
      <c r="H8" s="2">
        <v>3.6360000000000003E-2</v>
      </c>
      <c r="I8" s="2">
        <v>3.6360000000000003E-2</v>
      </c>
      <c r="J8" s="2">
        <v>3.6360000000000003E-2</v>
      </c>
      <c r="K8" s="2">
        <v>3.6360000000000003E-2</v>
      </c>
      <c r="L8" s="2">
        <v>3.6360000000000003E-2</v>
      </c>
      <c r="M8" s="2">
        <v>3.6360000000000003E-2</v>
      </c>
    </row>
    <row r="9" spans="1:15">
      <c r="A9" s="2">
        <v>6</v>
      </c>
      <c r="B9" s="2">
        <v>3.6360000000000003E-2</v>
      </c>
      <c r="C9" s="2">
        <v>3.6360000000000003E-2</v>
      </c>
      <c r="D9" s="2">
        <v>3.6360000000000003E-2</v>
      </c>
      <c r="E9" s="2">
        <v>3.6360000000000003E-2</v>
      </c>
      <c r="F9" s="2">
        <v>3.6360000000000003E-2</v>
      </c>
      <c r="G9" s="2">
        <v>3.6360000000000003E-2</v>
      </c>
      <c r="H9" s="2">
        <v>3.6360000000000003E-2</v>
      </c>
      <c r="I9" s="2">
        <v>3.6360000000000003E-2</v>
      </c>
      <c r="J9" s="2">
        <v>3.6360000000000003E-2</v>
      </c>
      <c r="K9" s="2">
        <v>3.6360000000000003E-2</v>
      </c>
      <c r="L9" s="2">
        <v>3.6360000000000003E-2</v>
      </c>
      <c r="M9" s="2">
        <v>3.6360000000000003E-2</v>
      </c>
    </row>
    <row r="10" spans="1:15">
      <c r="A10" s="2">
        <v>7</v>
      </c>
      <c r="B10" s="2">
        <v>3.6360000000000003E-2</v>
      </c>
      <c r="C10" s="2">
        <v>3.6360000000000003E-2</v>
      </c>
      <c r="D10" s="2">
        <v>3.6360000000000003E-2</v>
      </c>
      <c r="E10" s="2">
        <v>3.6360000000000003E-2</v>
      </c>
      <c r="F10" s="2">
        <v>3.6360000000000003E-2</v>
      </c>
      <c r="G10" s="2">
        <v>3.6360000000000003E-2</v>
      </c>
      <c r="H10" s="2">
        <v>3.6360000000000003E-2</v>
      </c>
      <c r="I10" s="2">
        <v>3.6360000000000003E-2</v>
      </c>
      <c r="J10" s="2">
        <v>3.6360000000000003E-2</v>
      </c>
      <c r="K10" s="2">
        <v>3.6360000000000003E-2</v>
      </c>
      <c r="L10" s="2">
        <v>3.6360000000000003E-2</v>
      </c>
      <c r="M10" s="2">
        <v>3.6360000000000003E-2</v>
      </c>
    </row>
    <row r="11" spans="1:15">
      <c r="A11" s="2">
        <v>8</v>
      </c>
      <c r="B11" s="2">
        <v>3.6360000000000003E-2</v>
      </c>
      <c r="C11" s="2">
        <v>3.6360000000000003E-2</v>
      </c>
      <c r="D11" s="2">
        <v>3.6360000000000003E-2</v>
      </c>
      <c r="E11" s="2">
        <v>3.6360000000000003E-2</v>
      </c>
      <c r="F11" s="2">
        <v>3.6360000000000003E-2</v>
      </c>
      <c r="G11" s="2">
        <v>3.6360000000000003E-2</v>
      </c>
      <c r="H11" s="2">
        <v>3.6360000000000003E-2</v>
      </c>
      <c r="I11" s="2">
        <v>3.6360000000000003E-2</v>
      </c>
      <c r="J11" s="2">
        <v>3.6360000000000003E-2</v>
      </c>
      <c r="K11" s="2">
        <v>3.6360000000000003E-2</v>
      </c>
      <c r="L11" s="2">
        <v>3.6360000000000003E-2</v>
      </c>
      <c r="M11" s="2">
        <v>3.6360000000000003E-2</v>
      </c>
    </row>
    <row r="12" spans="1:15">
      <c r="A12" s="2">
        <v>9</v>
      </c>
      <c r="B12" s="2">
        <v>3.6360000000000003E-2</v>
      </c>
      <c r="C12" s="2">
        <v>3.6360000000000003E-2</v>
      </c>
      <c r="D12" s="2">
        <v>3.6360000000000003E-2</v>
      </c>
      <c r="E12" s="2">
        <v>3.6360000000000003E-2</v>
      </c>
      <c r="F12" s="2">
        <v>3.6360000000000003E-2</v>
      </c>
      <c r="G12" s="2">
        <v>3.6360000000000003E-2</v>
      </c>
      <c r="H12" s="2">
        <v>3.6360000000000003E-2</v>
      </c>
      <c r="I12" s="2">
        <v>3.6360000000000003E-2</v>
      </c>
      <c r="J12" s="2">
        <v>3.6360000000000003E-2</v>
      </c>
      <c r="K12" s="2">
        <v>3.6360000000000003E-2</v>
      </c>
      <c r="L12" s="2">
        <v>3.6360000000000003E-2</v>
      </c>
      <c r="M12" s="2">
        <v>3.6360000000000003E-2</v>
      </c>
    </row>
    <row r="13" spans="1:15">
      <c r="A13" s="2">
        <v>10</v>
      </c>
      <c r="B13" s="2">
        <v>3.637E-2</v>
      </c>
      <c r="C13" s="2">
        <v>3.637E-2</v>
      </c>
      <c r="D13" s="2">
        <v>3.637E-2</v>
      </c>
      <c r="E13" s="2">
        <v>3.637E-2</v>
      </c>
      <c r="F13" s="2">
        <v>3.637E-2</v>
      </c>
      <c r="G13" s="2">
        <v>3.637E-2</v>
      </c>
      <c r="H13" s="2">
        <v>3.6360000000000003E-2</v>
      </c>
      <c r="I13" s="2">
        <v>3.6360000000000003E-2</v>
      </c>
      <c r="J13" s="2">
        <v>3.6360000000000003E-2</v>
      </c>
      <c r="K13" s="2">
        <v>3.6360000000000003E-2</v>
      </c>
      <c r="L13" s="2">
        <v>3.6360000000000003E-2</v>
      </c>
      <c r="M13" s="2">
        <v>3.6360000000000003E-2</v>
      </c>
    </row>
    <row r="14" spans="1:15">
      <c r="A14" s="2">
        <v>11</v>
      </c>
      <c r="B14" s="2">
        <v>3.6360000000000003E-2</v>
      </c>
      <c r="C14" s="2">
        <v>3.6360000000000003E-2</v>
      </c>
      <c r="D14" s="2">
        <v>3.6360000000000003E-2</v>
      </c>
      <c r="E14" s="2">
        <v>3.6360000000000003E-2</v>
      </c>
      <c r="F14" s="2">
        <v>3.6360000000000003E-2</v>
      </c>
      <c r="G14" s="2">
        <v>3.6360000000000003E-2</v>
      </c>
      <c r="H14" s="2">
        <v>3.637E-2</v>
      </c>
      <c r="I14" s="2">
        <v>3.637E-2</v>
      </c>
      <c r="J14" s="2">
        <v>3.637E-2</v>
      </c>
      <c r="K14" s="2">
        <v>3.637E-2</v>
      </c>
      <c r="L14" s="2">
        <v>3.637E-2</v>
      </c>
      <c r="M14" s="2">
        <v>3.637E-2</v>
      </c>
    </row>
    <row r="15" spans="1:15">
      <c r="A15" s="2">
        <v>12</v>
      </c>
      <c r="B15" s="2">
        <v>3.637E-2</v>
      </c>
      <c r="C15" s="2">
        <v>3.637E-2</v>
      </c>
      <c r="D15" s="2">
        <v>3.637E-2</v>
      </c>
      <c r="E15" s="2">
        <v>3.637E-2</v>
      </c>
      <c r="F15" s="2">
        <v>3.637E-2</v>
      </c>
      <c r="G15" s="2">
        <v>3.637E-2</v>
      </c>
      <c r="H15" s="2">
        <v>3.6360000000000003E-2</v>
      </c>
      <c r="I15" s="2">
        <v>3.6360000000000003E-2</v>
      </c>
      <c r="J15" s="2">
        <v>3.6360000000000003E-2</v>
      </c>
      <c r="K15" s="2">
        <v>3.6360000000000003E-2</v>
      </c>
      <c r="L15" s="2">
        <v>3.6360000000000003E-2</v>
      </c>
      <c r="M15" s="2">
        <v>3.6360000000000003E-2</v>
      </c>
    </row>
    <row r="16" spans="1:15">
      <c r="A16" s="2">
        <v>13</v>
      </c>
      <c r="B16" s="2">
        <v>3.6360000000000003E-2</v>
      </c>
      <c r="C16" s="2">
        <v>3.6360000000000003E-2</v>
      </c>
      <c r="D16" s="2">
        <v>3.6360000000000003E-2</v>
      </c>
      <c r="E16" s="2">
        <v>3.6360000000000003E-2</v>
      </c>
      <c r="F16" s="2">
        <v>3.6360000000000003E-2</v>
      </c>
      <c r="G16" s="2">
        <v>3.6360000000000003E-2</v>
      </c>
      <c r="H16" s="2">
        <v>3.637E-2</v>
      </c>
      <c r="I16" s="2">
        <v>3.637E-2</v>
      </c>
      <c r="J16" s="2">
        <v>3.637E-2</v>
      </c>
      <c r="K16" s="2">
        <v>3.637E-2</v>
      </c>
      <c r="L16" s="2">
        <v>3.637E-2</v>
      </c>
      <c r="M16" s="2">
        <v>3.637E-2</v>
      </c>
    </row>
    <row r="17" spans="1:13">
      <c r="A17" s="2">
        <v>14</v>
      </c>
      <c r="B17" s="2">
        <v>3.637E-2</v>
      </c>
      <c r="C17" s="2">
        <v>3.637E-2</v>
      </c>
      <c r="D17" s="2">
        <v>3.637E-2</v>
      </c>
      <c r="E17" s="2">
        <v>3.637E-2</v>
      </c>
      <c r="F17" s="2">
        <v>3.637E-2</v>
      </c>
      <c r="G17" s="2">
        <v>3.637E-2</v>
      </c>
      <c r="H17" s="2">
        <v>3.6360000000000003E-2</v>
      </c>
      <c r="I17" s="2">
        <v>3.6360000000000003E-2</v>
      </c>
      <c r="J17" s="2">
        <v>3.6360000000000003E-2</v>
      </c>
      <c r="K17" s="2">
        <v>3.6360000000000003E-2</v>
      </c>
      <c r="L17" s="2">
        <v>3.6360000000000003E-2</v>
      </c>
      <c r="M17" s="2">
        <v>3.6360000000000003E-2</v>
      </c>
    </row>
    <row r="18" spans="1:13">
      <c r="A18" s="2">
        <v>15</v>
      </c>
      <c r="B18" s="2">
        <v>3.6360000000000003E-2</v>
      </c>
      <c r="C18" s="2">
        <v>3.6360000000000003E-2</v>
      </c>
      <c r="D18" s="2">
        <v>3.6360000000000003E-2</v>
      </c>
      <c r="E18" s="2">
        <v>3.6360000000000003E-2</v>
      </c>
      <c r="F18" s="2">
        <v>3.6360000000000003E-2</v>
      </c>
      <c r="G18" s="2">
        <v>3.6360000000000003E-2</v>
      </c>
      <c r="H18" s="2">
        <v>3.637E-2</v>
      </c>
      <c r="I18" s="2">
        <v>3.637E-2</v>
      </c>
      <c r="J18" s="2">
        <v>3.637E-2</v>
      </c>
      <c r="K18" s="2">
        <v>3.637E-2</v>
      </c>
      <c r="L18" s="2">
        <v>3.637E-2</v>
      </c>
      <c r="M18" s="2">
        <v>3.637E-2</v>
      </c>
    </row>
    <row r="19" spans="1:13">
      <c r="A19" s="2">
        <v>16</v>
      </c>
      <c r="B19" s="2">
        <v>3.637E-2</v>
      </c>
      <c r="C19" s="2">
        <v>3.637E-2</v>
      </c>
      <c r="D19" s="2">
        <v>3.637E-2</v>
      </c>
      <c r="E19" s="2">
        <v>3.637E-2</v>
      </c>
      <c r="F19" s="2">
        <v>3.637E-2</v>
      </c>
      <c r="G19" s="2">
        <v>3.637E-2</v>
      </c>
      <c r="H19" s="2">
        <v>3.6360000000000003E-2</v>
      </c>
      <c r="I19" s="2">
        <v>3.6360000000000003E-2</v>
      </c>
      <c r="J19" s="2">
        <v>3.6360000000000003E-2</v>
      </c>
      <c r="K19" s="2">
        <v>3.6360000000000003E-2</v>
      </c>
      <c r="L19" s="2">
        <v>3.6360000000000003E-2</v>
      </c>
      <c r="M19" s="2">
        <v>3.6360000000000003E-2</v>
      </c>
    </row>
    <row r="20" spans="1:13">
      <c r="A20" s="2">
        <v>17</v>
      </c>
      <c r="B20" s="2">
        <v>3.6360000000000003E-2</v>
      </c>
      <c r="C20" s="2">
        <v>3.6360000000000003E-2</v>
      </c>
      <c r="D20" s="2">
        <v>3.6360000000000003E-2</v>
      </c>
      <c r="E20" s="2">
        <v>3.6360000000000003E-2</v>
      </c>
      <c r="F20" s="2">
        <v>3.6360000000000003E-2</v>
      </c>
      <c r="G20" s="2">
        <v>3.6360000000000003E-2</v>
      </c>
      <c r="H20" s="2">
        <v>3.637E-2</v>
      </c>
      <c r="I20" s="2">
        <v>3.637E-2</v>
      </c>
      <c r="J20" s="2">
        <v>3.637E-2</v>
      </c>
      <c r="K20" s="2">
        <v>3.637E-2</v>
      </c>
      <c r="L20" s="2">
        <v>3.637E-2</v>
      </c>
      <c r="M20" s="2">
        <v>3.637E-2</v>
      </c>
    </row>
    <row r="21" spans="1:13">
      <c r="A21" s="2">
        <v>18</v>
      </c>
      <c r="B21" s="2">
        <v>3.637E-2</v>
      </c>
      <c r="C21" s="2">
        <v>3.637E-2</v>
      </c>
      <c r="D21" s="2">
        <v>3.637E-2</v>
      </c>
      <c r="E21" s="2">
        <v>3.637E-2</v>
      </c>
      <c r="F21" s="2">
        <v>3.637E-2</v>
      </c>
      <c r="G21" s="2">
        <v>3.637E-2</v>
      </c>
      <c r="H21" s="2">
        <v>3.6360000000000003E-2</v>
      </c>
      <c r="I21" s="2">
        <v>3.6360000000000003E-2</v>
      </c>
      <c r="J21" s="2">
        <v>3.6360000000000003E-2</v>
      </c>
      <c r="K21" s="2">
        <v>3.6360000000000003E-2</v>
      </c>
      <c r="L21" s="2">
        <v>3.6360000000000003E-2</v>
      </c>
      <c r="M21" s="2">
        <v>3.6360000000000003E-2</v>
      </c>
    </row>
    <row r="22" spans="1:13">
      <c r="A22" s="2">
        <v>19</v>
      </c>
      <c r="B22" s="2">
        <v>3.6360000000000003E-2</v>
      </c>
      <c r="C22" s="2">
        <v>3.6360000000000003E-2</v>
      </c>
      <c r="D22" s="2">
        <v>3.6360000000000003E-2</v>
      </c>
      <c r="E22" s="2">
        <v>3.6360000000000003E-2</v>
      </c>
      <c r="F22" s="2">
        <v>3.6360000000000003E-2</v>
      </c>
      <c r="G22" s="2">
        <v>3.6360000000000003E-2</v>
      </c>
      <c r="H22" s="2">
        <v>3.637E-2</v>
      </c>
      <c r="I22" s="2">
        <v>3.637E-2</v>
      </c>
      <c r="J22" s="2">
        <v>3.637E-2</v>
      </c>
      <c r="K22" s="2">
        <v>3.637E-2</v>
      </c>
      <c r="L22" s="2">
        <v>3.637E-2</v>
      </c>
      <c r="M22" s="2">
        <v>3.637E-2</v>
      </c>
    </row>
    <row r="23" spans="1:13">
      <c r="A23" s="2">
        <v>20</v>
      </c>
      <c r="B23" s="2">
        <v>3.637E-2</v>
      </c>
      <c r="C23" s="2">
        <v>3.637E-2</v>
      </c>
      <c r="D23" s="2">
        <v>3.637E-2</v>
      </c>
      <c r="E23" s="2">
        <v>3.637E-2</v>
      </c>
      <c r="F23" s="2">
        <v>3.637E-2</v>
      </c>
      <c r="G23" s="2">
        <v>3.637E-2</v>
      </c>
      <c r="H23" s="2">
        <v>3.6360000000000003E-2</v>
      </c>
      <c r="I23" s="2">
        <v>3.6360000000000003E-2</v>
      </c>
      <c r="J23" s="2">
        <v>3.6360000000000003E-2</v>
      </c>
      <c r="K23" s="2">
        <v>3.6360000000000003E-2</v>
      </c>
      <c r="L23" s="2">
        <v>3.6360000000000003E-2</v>
      </c>
      <c r="M23" s="2">
        <v>3.6360000000000003E-2</v>
      </c>
    </row>
    <row r="24" spans="1:13">
      <c r="A24" s="2">
        <v>21</v>
      </c>
      <c r="B24" s="2">
        <v>3.6360000000000003E-2</v>
      </c>
      <c r="C24" s="2">
        <v>3.6360000000000003E-2</v>
      </c>
      <c r="D24" s="2">
        <v>3.6360000000000003E-2</v>
      </c>
      <c r="E24" s="2">
        <v>3.6360000000000003E-2</v>
      </c>
      <c r="F24" s="2">
        <v>3.6360000000000003E-2</v>
      </c>
      <c r="G24" s="2">
        <v>3.6360000000000003E-2</v>
      </c>
      <c r="H24" s="2">
        <v>3.637E-2</v>
      </c>
      <c r="I24" s="2">
        <v>3.637E-2</v>
      </c>
      <c r="J24" s="2">
        <v>3.637E-2</v>
      </c>
      <c r="K24" s="2">
        <v>3.637E-2</v>
      </c>
      <c r="L24" s="2">
        <v>3.637E-2</v>
      </c>
      <c r="M24" s="2">
        <v>3.637E-2</v>
      </c>
    </row>
    <row r="25" spans="1:13">
      <c r="A25" s="2">
        <v>22</v>
      </c>
      <c r="B25" s="2">
        <v>3.637E-2</v>
      </c>
      <c r="C25" s="2">
        <v>3.637E-2</v>
      </c>
      <c r="D25" s="2">
        <v>3.637E-2</v>
      </c>
      <c r="E25" s="2">
        <v>3.637E-2</v>
      </c>
      <c r="F25" s="2">
        <v>3.637E-2</v>
      </c>
      <c r="G25" s="2">
        <v>3.637E-2</v>
      </c>
      <c r="H25" s="2">
        <v>3.6360000000000003E-2</v>
      </c>
      <c r="I25" s="2">
        <v>3.6360000000000003E-2</v>
      </c>
      <c r="J25" s="2">
        <v>3.6360000000000003E-2</v>
      </c>
      <c r="K25" s="2">
        <v>3.6360000000000003E-2</v>
      </c>
      <c r="L25" s="2">
        <v>3.6360000000000003E-2</v>
      </c>
      <c r="M25" s="2">
        <v>3.6360000000000003E-2</v>
      </c>
    </row>
    <row r="26" spans="1:13">
      <c r="A26" s="2">
        <v>23</v>
      </c>
      <c r="B26" s="2">
        <v>3.6360000000000003E-2</v>
      </c>
      <c r="C26" s="2">
        <v>3.6360000000000003E-2</v>
      </c>
      <c r="D26" s="2">
        <v>3.6360000000000003E-2</v>
      </c>
      <c r="E26" s="2">
        <v>3.6360000000000003E-2</v>
      </c>
      <c r="F26" s="2">
        <v>3.6360000000000003E-2</v>
      </c>
      <c r="G26" s="2">
        <v>3.6360000000000003E-2</v>
      </c>
      <c r="H26" s="2">
        <v>3.637E-2</v>
      </c>
      <c r="I26" s="2">
        <v>3.637E-2</v>
      </c>
      <c r="J26" s="2">
        <v>3.637E-2</v>
      </c>
      <c r="K26" s="2">
        <v>3.637E-2</v>
      </c>
      <c r="L26" s="2">
        <v>3.637E-2</v>
      </c>
      <c r="M26" s="2">
        <v>3.637E-2</v>
      </c>
    </row>
    <row r="27" spans="1:13">
      <c r="A27" s="2">
        <v>24</v>
      </c>
      <c r="B27" s="2">
        <v>3.637E-2</v>
      </c>
      <c r="C27" s="2">
        <v>3.637E-2</v>
      </c>
      <c r="D27" s="2">
        <v>3.637E-2</v>
      </c>
      <c r="E27" s="2">
        <v>3.637E-2</v>
      </c>
      <c r="F27" s="2">
        <v>3.637E-2</v>
      </c>
      <c r="G27" s="2">
        <v>3.637E-2</v>
      </c>
      <c r="H27" s="2">
        <v>3.6360000000000003E-2</v>
      </c>
      <c r="I27" s="2">
        <v>3.6360000000000003E-2</v>
      </c>
      <c r="J27" s="2">
        <v>3.6360000000000003E-2</v>
      </c>
      <c r="K27" s="2">
        <v>3.6360000000000003E-2</v>
      </c>
      <c r="L27" s="2">
        <v>3.6360000000000003E-2</v>
      </c>
      <c r="M27" s="2">
        <v>3.6360000000000003E-2</v>
      </c>
    </row>
    <row r="28" spans="1:13">
      <c r="A28" s="2">
        <v>25</v>
      </c>
      <c r="B28" s="2">
        <v>3.6360000000000003E-2</v>
      </c>
      <c r="C28" s="2">
        <v>3.6360000000000003E-2</v>
      </c>
      <c r="D28" s="2">
        <v>3.6360000000000003E-2</v>
      </c>
      <c r="E28" s="2">
        <v>3.6360000000000003E-2</v>
      </c>
      <c r="F28" s="2">
        <v>3.6360000000000003E-2</v>
      </c>
      <c r="G28" s="2">
        <v>3.6360000000000003E-2</v>
      </c>
      <c r="H28" s="2">
        <v>3.637E-2</v>
      </c>
      <c r="I28" s="2">
        <v>3.637E-2</v>
      </c>
      <c r="J28" s="2">
        <v>3.637E-2</v>
      </c>
      <c r="K28" s="2">
        <v>3.637E-2</v>
      </c>
      <c r="L28" s="2">
        <v>3.637E-2</v>
      </c>
      <c r="M28" s="2">
        <v>3.637E-2</v>
      </c>
    </row>
    <row r="29" spans="1:13">
      <c r="A29" s="2">
        <v>26</v>
      </c>
      <c r="B29" s="2">
        <v>3.637E-2</v>
      </c>
      <c r="C29" s="2">
        <v>3.637E-2</v>
      </c>
      <c r="D29" s="2">
        <v>3.637E-2</v>
      </c>
      <c r="E29" s="2">
        <v>3.637E-2</v>
      </c>
      <c r="F29" s="2">
        <v>3.637E-2</v>
      </c>
      <c r="G29" s="2">
        <v>3.637E-2</v>
      </c>
      <c r="H29" s="2">
        <v>3.6360000000000003E-2</v>
      </c>
      <c r="I29" s="2">
        <v>3.6360000000000003E-2</v>
      </c>
      <c r="J29" s="2">
        <v>3.6360000000000003E-2</v>
      </c>
      <c r="K29" s="2">
        <v>3.6360000000000003E-2</v>
      </c>
      <c r="L29" s="2">
        <v>3.6360000000000003E-2</v>
      </c>
      <c r="M29" s="2">
        <v>3.6360000000000003E-2</v>
      </c>
    </row>
    <row r="30" spans="1:13">
      <c r="A30" s="2">
        <v>27</v>
      </c>
      <c r="B30" s="2">
        <v>3.6360000000000003E-2</v>
      </c>
      <c r="C30" s="2">
        <v>3.6360000000000003E-2</v>
      </c>
      <c r="D30" s="2">
        <v>3.6360000000000003E-2</v>
      </c>
      <c r="E30" s="2">
        <v>3.6360000000000003E-2</v>
      </c>
      <c r="F30" s="2">
        <v>3.6360000000000003E-2</v>
      </c>
      <c r="G30" s="2">
        <v>3.6360000000000003E-2</v>
      </c>
      <c r="H30" s="2">
        <v>3.637E-2</v>
      </c>
      <c r="I30" s="2">
        <v>3.637E-2</v>
      </c>
      <c r="J30" s="2">
        <v>3.637E-2</v>
      </c>
      <c r="K30" s="2">
        <v>3.637E-2</v>
      </c>
      <c r="L30" s="2">
        <v>3.637E-2</v>
      </c>
      <c r="M30" s="2">
        <v>3.637E-2</v>
      </c>
    </row>
    <row r="31" spans="1:13">
      <c r="A31" s="2">
        <v>28</v>
      </c>
      <c r="B31" s="2">
        <v>1.9699999999999999E-2</v>
      </c>
      <c r="C31" s="2">
        <v>2.273E-2</v>
      </c>
      <c r="D31" s="2">
        <v>2.5760000000000002E-2</v>
      </c>
      <c r="E31" s="2">
        <v>2.879E-2</v>
      </c>
      <c r="F31" s="2">
        <v>3.1820000000000001E-2</v>
      </c>
      <c r="G31" s="2">
        <v>3.4849999999999999E-2</v>
      </c>
      <c r="H31" s="2">
        <v>3.6360000000000003E-2</v>
      </c>
      <c r="I31" s="2">
        <v>3.6360000000000003E-2</v>
      </c>
      <c r="J31" s="2">
        <v>3.6360000000000003E-2</v>
      </c>
      <c r="K31" s="2">
        <v>3.6360000000000003E-2</v>
      </c>
      <c r="L31" s="2">
        <v>3.6360000000000003E-2</v>
      </c>
      <c r="M31" s="2">
        <v>3.6360000000000003E-2</v>
      </c>
    </row>
    <row r="32" spans="1:13">
      <c r="A32" s="2">
        <v>29</v>
      </c>
      <c r="H32" s="2">
        <v>1.5200000000000001E-3</v>
      </c>
      <c r="I32" s="2">
        <v>4.5500000000000002E-3</v>
      </c>
      <c r="J32" s="2">
        <v>7.5799999999999999E-3</v>
      </c>
      <c r="K32" s="2">
        <v>1.061E-2</v>
      </c>
      <c r="L32" s="2">
        <v>1.3639999999999999E-2</v>
      </c>
      <c r="M32" s="2">
        <v>1.6670000000000001E-2</v>
      </c>
    </row>
  </sheetData>
  <pageMargins left="0.7" right="0.7" top="0.75" bottom="0.75" header="0.3" footer="0.3"/>
  <pageSetup orientation="portrait" horizontalDpi="0" verticalDpi="0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A9F69-FBFA-7946-899C-FAF897388C05}">
  <sheetPr codeName="Sheet17"/>
  <dimension ref="A1:O43"/>
  <sheetViews>
    <sheetView zoomScaleNormal="100" workbookViewId="0">
      <pane xSplit="1" ySplit="3" topLeftCell="B4" activePane="bottomRight" state="frozen"/>
      <selection activeCell="O48" sqref="O48"/>
      <selection pane="topRight" activeCell="O48" sqref="O48"/>
      <selection pane="bottomLeft" activeCell="O48" sqref="O48"/>
      <selection pane="bottomRight" activeCell="B4" sqref="B4"/>
    </sheetView>
  </sheetViews>
  <sheetFormatPr defaultColWidth="8.796875" defaultRowHeight="14.4"/>
  <cols>
    <col min="1" max="1" width="19.19921875" style="109" bestFit="1" customWidth="1"/>
    <col min="2" max="2" width="10.5" style="109" customWidth="1"/>
    <col min="3" max="3" width="11.5" style="109" customWidth="1"/>
    <col min="4" max="8" width="8.796875" style="109"/>
    <col min="9" max="9" width="9.796875" style="109" customWidth="1"/>
    <col min="10" max="10" width="13.5" style="109" customWidth="1"/>
    <col min="11" max="11" width="10.5" style="109" customWidth="1"/>
    <col min="12" max="13" width="13" style="109" customWidth="1"/>
    <col min="14" max="14" width="8.796875" style="109"/>
    <col min="15" max="15" width="34.796875" style="109" bestFit="1" customWidth="1"/>
    <col min="16" max="16384" width="8.796875" style="109"/>
  </cols>
  <sheetData>
    <row r="1" spans="1:15">
      <c r="A1" s="226" t="s">
        <v>305</v>
      </c>
      <c r="B1" s="226" t="s">
        <v>17</v>
      </c>
      <c r="C1" s="226"/>
      <c r="D1" s="226"/>
      <c r="E1" s="226"/>
      <c r="F1" s="226"/>
      <c r="G1" s="226"/>
      <c r="H1" s="226"/>
      <c r="I1" s="226"/>
      <c r="J1" s="226"/>
      <c r="K1" s="226"/>
      <c r="L1" s="226"/>
      <c r="M1" s="226"/>
      <c r="O1" s="109" t="s">
        <v>18</v>
      </c>
    </row>
    <row r="2" spans="1:15">
      <c r="A2" s="109" t="s">
        <v>19</v>
      </c>
      <c r="B2" s="109" t="s">
        <v>20</v>
      </c>
      <c r="C2" s="109" t="s">
        <v>21</v>
      </c>
      <c r="D2" s="109" t="s">
        <v>22</v>
      </c>
      <c r="E2" s="109" t="s">
        <v>23</v>
      </c>
      <c r="F2" s="109" t="s">
        <v>24</v>
      </c>
      <c r="G2" s="109" t="s">
        <v>25</v>
      </c>
      <c r="H2" s="109" t="s">
        <v>26</v>
      </c>
      <c r="I2" s="109" t="s">
        <v>27</v>
      </c>
      <c r="J2" s="109" t="s">
        <v>28</v>
      </c>
      <c r="K2" s="109" t="s">
        <v>29</v>
      </c>
      <c r="L2" s="109" t="s">
        <v>30</v>
      </c>
      <c r="M2" s="109" t="s">
        <v>31</v>
      </c>
      <c r="O2" s="109" t="s">
        <v>306</v>
      </c>
    </row>
    <row r="3" spans="1:15">
      <c r="A3" s="227" t="s">
        <v>33</v>
      </c>
      <c r="B3" s="227">
        <v>1</v>
      </c>
      <c r="C3" s="227">
        <v>2</v>
      </c>
      <c r="D3" s="227">
        <v>3</v>
      </c>
      <c r="E3" s="227">
        <v>4</v>
      </c>
      <c r="F3" s="227">
        <v>5</v>
      </c>
      <c r="G3" s="227">
        <v>6</v>
      </c>
      <c r="H3" s="227">
        <v>7</v>
      </c>
      <c r="I3" s="227">
        <v>8</v>
      </c>
      <c r="J3" s="227">
        <v>9</v>
      </c>
      <c r="K3" s="227">
        <v>10</v>
      </c>
      <c r="L3" s="227">
        <v>11</v>
      </c>
      <c r="M3" s="227">
        <v>12</v>
      </c>
    </row>
    <row r="4" spans="1:15">
      <c r="A4" s="109">
        <v>1</v>
      </c>
      <c r="B4" s="109">
        <v>2.461E-2</v>
      </c>
      <c r="C4" s="109">
        <v>2.247E-2</v>
      </c>
      <c r="D4" s="109">
        <v>2.0330000000000001E-2</v>
      </c>
      <c r="E4" s="109">
        <v>1.8190000000000001E-2</v>
      </c>
      <c r="F4" s="109">
        <v>1.6049999999999998E-2</v>
      </c>
      <c r="G4" s="109">
        <v>1.391E-2</v>
      </c>
      <c r="H4" s="109">
        <v>1.1769999999999999E-2</v>
      </c>
      <c r="I4" s="109">
        <v>9.6299999999999997E-3</v>
      </c>
      <c r="J4" s="109">
        <v>7.4900000000000001E-3</v>
      </c>
      <c r="K4" s="109">
        <v>5.3499999999999997E-3</v>
      </c>
      <c r="L4" s="109">
        <v>3.2100000000000002E-3</v>
      </c>
      <c r="M4" s="109">
        <v>1.07E-3</v>
      </c>
    </row>
    <row r="5" spans="1:15">
      <c r="A5" s="109">
        <v>2</v>
      </c>
      <c r="B5" s="109">
        <v>2.564E-2</v>
      </c>
      <c r="C5" s="109">
        <v>2.564E-2</v>
      </c>
      <c r="D5" s="109">
        <v>2.564E-2</v>
      </c>
      <c r="E5" s="109">
        <v>2.564E-2</v>
      </c>
      <c r="F5" s="109">
        <v>2.564E-2</v>
      </c>
      <c r="G5" s="109">
        <v>2.564E-2</v>
      </c>
      <c r="H5" s="109">
        <v>2.564E-2</v>
      </c>
      <c r="I5" s="109">
        <v>2.564E-2</v>
      </c>
      <c r="J5" s="109">
        <v>2.564E-2</v>
      </c>
      <c r="K5" s="109">
        <v>2.564E-2</v>
      </c>
      <c r="L5" s="109">
        <v>2.564E-2</v>
      </c>
      <c r="M5" s="109">
        <v>2.564E-2</v>
      </c>
      <c r="O5" s="228"/>
    </row>
    <row r="6" spans="1:15">
      <c r="A6" s="109">
        <v>3</v>
      </c>
      <c r="B6" s="109">
        <v>2.564E-2</v>
      </c>
      <c r="C6" s="109">
        <v>2.564E-2</v>
      </c>
      <c r="D6" s="109">
        <v>2.564E-2</v>
      </c>
      <c r="E6" s="109">
        <v>2.564E-2</v>
      </c>
      <c r="F6" s="109">
        <v>2.564E-2</v>
      </c>
      <c r="G6" s="109">
        <v>2.564E-2</v>
      </c>
      <c r="H6" s="109">
        <v>2.564E-2</v>
      </c>
      <c r="I6" s="109">
        <v>2.564E-2</v>
      </c>
      <c r="J6" s="109">
        <v>2.564E-2</v>
      </c>
      <c r="K6" s="109">
        <v>2.564E-2</v>
      </c>
      <c r="L6" s="109">
        <v>2.564E-2</v>
      </c>
      <c r="M6" s="109">
        <v>2.564E-2</v>
      </c>
    </row>
    <row r="7" spans="1:15">
      <c r="A7" s="109">
        <v>4</v>
      </c>
      <c r="B7" s="109">
        <v>2.564E-2</v>
      </c>
      <c r="C7" s="109">
        <v>2.564E-2</v>
      </c>
      <c r="D7" s="109">
        <v>2.564E-2</v>
      </c>
      <c r="E7" s="109">
        <v>2.564E-2</v>
      </c>
      <c r="F7" s="109">
        <v>2.564E-2</v>
      </c>
      <c r="G7" s="109">
        <v>2.564E-2</v>
      </c>
      <c r="H7" s="109">
        <v>2.564E-2</v>
      </c>
      <c r="I7" s="109">
        <v>2.564E-2</v>
      </c>
      <c r="J7" s="109">
        <v>2.564E-2</v>
      </c>
      <c r="K7" s="109">
        <v>2.564E-2</v>
      </c>
      <c r="L7" s="109">
        <v>2.564E-2</v>
      </c>
      <c r="M7" s="109">
        <v>2.564E-2</v>
      </c>
    </row>
    <row r="8" spans="1:15">
      <c r="A8" s="109">
        <v>5</v>
      </c>
      <c r="B8" s="109">
        <v>2.564E-2</v>
      </c>
      <c r="C8" s="109">
        <v>2.564E-2</v>
      </c>
      <c r="D8" s="109">
        <v>2.564E-2</v>
      </c>
      <c r="E8" s="109">
        <v>2.564E-2</v>
      </c>
      <c r="F8" s="109">
        <v>2.564E-2</v>
      </c>
      <c r="G8" s="109">
        <v>2.564E-2</v>
      </c>
      <c r="H8" s="109">
        <v>2.564E-2</v>
      </c>
      <c r="I8" s="109">
        <v>2.564E-2</v>
      </c>
      <c r="J8" s="109">
        <v>2.564E-2</v>
      </c>
      <c r="K8" s="109">
        <v>2.564E-2</v>
      </c>
      <c r="L8" s="109">
        <v>2.564E-2</v>
      </c>
      <c r="M8" s="109">
        <v>2.564E-2</v>
      </c>
    </row>
    <row r="9" spans="1:15">
      <c r="A9" s="109">
        <v>6</v>
      </c>
      <c r="B9" s="109">
        <v>2.564E-2</v>
      </c>
      <c r="C9" s="109">
        <v>2.564E-2</v>
      </c>
      <c r="D9" s="109">
        <v>2.564E-2</v>
      </c>
      <c r="E9" s="109">
        <v>2.564E-2</v>
      </c>
      <c r="F9" s="109">
        <v>2.564E-2</v>
      </c>
      <c r="G9" s="109">
        <v>2.564E-2</v>
      </c>
      <c r="H9" s="109">
        <v>2.564E-2</v>
      </c>
      <c r="I9" s="109">
        <v>2.564E-2</v>
      </c>
      <c r="J9" s="109">
        <v>2.564E-2</v>
      </c>
      <c r="K9" s="109">
        <v>2.564E-2</v>
      </c>
      <c r="L9" s="109">
        <v>2.564E-2</v>
      </c>
      <c r="M9" s="109">
        <v>2.564E-2</v>
      </c>
    </row>
    <row r="10" spans="1:15">
      <c r="A10" s="109">
        <v>7</v>
      </c>
      <c r="B10" s="109">
        <v>2.564E-2</v>
      </c>
      <c r="C10" s="109">
        <v>2.564E-2</v>
      </c>
      <c r="D10" s="109">
        <v>2.564E-2</v>
      </c>
      <c r="E10" s="109">
        <v>2.564E-2</v>
      </c>
      <c r="F10" s="109">
        <v>2.564E-2</v>
      </c>
      <c r="G10" s="109">
        <v>2.564E-2</v>
      </c>
      <c r="H10" s="109">
        <v>2.564E-2</v>
      </c>
      <c r="I10" s="109">
        <v>2.564E-2</v>
      </c>
      <c r="J10" s="109">
        <v>2.564E-2</v>
      </c>
      <c r="K10" s="109">
        <v>2.564E-2</v>
      </c>
      <c r="L10" s="109">
        <v>2.564E-2</v>
      </c>
      <c r="M10" s="109">
        <v>2.564E-2</v>
      </c>
    </row>
    <row r="11" spans="1:15">
      <c r="A11" s="109">
        <v>8</v>
      </c>
      <c r="B11" s="109">
        <v>2.564E-2</v>
      </c>
      <c r="C11" s="109">
        <v>2.564E-2</v>
      </c>
      <c r="D11" s="109">
        <v>2.564E-2</v>
      </c>
      <c r="E11" s="109">
        <v>2.564E-2</v>
      </c>
      <c r="F11" s="109">
        <v>2.564E-2</v>
      </c>
      <c r="G11" s="109">
        <v>2.564E-2</v>
      </c>
      <c r="H11" s="109">
        <v>2.564E-2</v>
      </c>
      <c r="I11" s="109">
        <v>2.564E-2</v>
      </c>
      <c r="J11" s="109">
        <v>2.564E-2</v>
      </c>
      <c r="K11" s="109">
        <v>2.564E-2</v>
      </c>
      <c r="L11" s="109">
        <v>2.564E-2</v>
      </c>
      <c r="M11" s="109">
        <v>2.564E-2</v>
      </c>
    </row>
    <row r="12" spans="1:15">
      <c r="A12" s="109">
        <v>9</v>
      </c>
      <c r="B12" s="109">
        <v>2.564E-2</v>
      </c>
      <c r="C12" s="109">
        <v>2.564E-2</v>
      </c>
      <c r="D12" s="109">
        <v>2.564E-2</v>
      </c>
      <c r="E12" s="109">
        <v>2.564E-2</v>
      </c>
      <c r="F12" s="109">
        <v>2.564E-2</v>
      </c>
      <c r="G12" s="109">
        <v>2.564E-2</v>
      </c>
      <c r="H12" s="109">
        <v>2.564E-2</v>
      </c>
      <c r="I12" s="109">
        <v>2.564E-2</v>
      </c>
      <c r="J12" s="109">
        <v>2.564E-2</v>
      </c>
      <c r="K12" s="109">
        <v>2.564E-2</v>
      </c>
      <c r="L12" s="109">
        <v>2.564E-2</v>
      </c>
      <c r="M12" s="109">
        <v>2.564E-2</v>
      </c>
    </row>
    <row r="13" spans="1:15">
      <c r="A13" s="109">
        <v>10</v>
      </c>
      <c r="B13" s="109">
        <v>2.564E-2</v>
      </c>
      <c r="C13" s="109">
        <v>2.564E-2</v>
      </c>
      <c r="D13" s="109">
        <v>2.564E-2</v>
      </c>
      <c r="E13" s="109">
        <v>2.564E-2</v>
      </c>
      <c r="F13" s="109">
        <v>2.564E-2</v>
      </c>
      <c r="G13" s="109">
        <v>2.564E-2</v>
      </c>
      <c r="H13" s="109">
        <v>2.564E-2</v>
      </c>
      <c r="I13" s="109">
        <v>2.564E-2</v>
      </c>
      <c r="J13" s="109">
        <v>2.564E-2</v>
      </c>
      <c r="K13" s="109">
        <v>2.564E-2</v>
      </c>
      <c r="L13" s="109">
        <v>2.564E-2</v>
      </c>
      <c r="M13" s="109">
        <v>2.564E-2</v>
      </c>
    </row>
    <row r="14" spans="1:15">
      <c r="A14" s="109">
        <v>11</v>
      </c>
      <c r="B14" s="109">
        <v>2.564E-2</v>
      </c>
      <c r="C14" s="109">
        <v>2.564E-2</v>
      </c>
      <c r="D14" s="109">
        <v>2.564E-2</v>
      </c>
      <c r="E14" s="109">
        <v>2.564E-2</v>
      </c>
      <c r="F14" s="109">
        <v>2.564E-2</v>
      </c>
      <c r="G14" s="109">
        <v>2.564E-2</v>
      </c>
      <c r="H14" s="109">
        <v>2.564E-2</v>
      </c>
      <c r="I14" s="109">
        <v>2.564E-2</v>
      </c>
      <c r="J14" s="109">
        <v>2.564E-2</v>
      </c>
      <c r="K14" s="109">
        <v>2.564E-2</v>
      </c>
      <c r="L14" s="109">
        <v>2.564E-2</v>
      </c>
      <c r="M14" s="109">
        <v>2.564E-2</v>
      </c>
    </row>
    <row r="15" spans="1:15">
      <c r="A15" s="109">
        <v>12</v>
      </c>
      <c r="B15" s="109">
        <v>2.564E-2</v>
      </c>
      <c r="C15" s="109">
        <v>2.564E-2</v>
      </c>
      <c r="D15" s="109">
        <v>2.564E-2</v>
      </c>
      <c r="E15" s="109">
        <v>2.564E-2</v>
      </c>
      <c r="F15" s="109">
        <v>2.564E-2</v>
      </c>
      <c r="G15" s="109">
        <v>2.564E-2</v>
      </c>
      <c r="H15" s="109">
        <v>2.564E-2</v>
      </c>
      <c r="I15" s="109">
        <v>2.564E-2</v>
      </c>
      <c r="J15" s="109">
        <v>2.564E-2</v>
      </c>
      <c r="K15" s="109">
        <v>2.564E-2</v>
      </c>
      <c r="L15" s="109">
        <v>2.564E-2</v>
      </c>
      <c r="M15" s="109">
        <v>2.564E-2</v>
      </c>
    </row>
    <row r="16" spans="1:15">
      <c r="A16" s="109">
        <v>13</v>
      </c>
      <c r="B16" s="109">
        <v>2.564E-2</v>
      </c>
      <c r="C16" s="109">
        <v>2.564E-2</v>
      </c>
      <c r="D16" s="109">
        <v>2.564E-2</v>
      </c>
      <c r="E16" s="109">
        <v>2.564E-2</v>
      </c>
      <c r="F16" s="109">
        <v>2.564E-2</v>
      </c>
      <c r="G16" s="109">
        <v>2.564E-2</v>
      </c>
      <c r="H16" s="109">
        <v>2.564E-2</v>
      </c>
      <c r="I16" s="109">
        <v>2.564E-2</v>
      </c>
      <c r="J16" s="109">
        <v>2.564E-2</v>
      </c>
      <c r="K16" s="109">
        <v>2.564E-2</v>
      </c>
      <c r="L16" s="109">
        <v>2.564E-2</v>
      </c>
      <c r="M16" s="109">
        <v>2.564E-2</v>
      </c>
    </row>
    <row r="17" spans="1:13">
      <c r="A17" s="109">
        <v>14</v>
      </c>
      <c r="B17" s="109">
        <v>2.564E-2</v>
      </c>
      <c r="C17" s="109">
        <v>2.564E-2</v>
      </c>
      <c r="D17" s="109">
        <v>2.564E-2</v>
      </c>
      <c r="E17" s="109">
        <v>2.564E-2</v>
      </c>
      <c r="F17" s="109">
        <v>2.564E-2</v>
      </c>
      <c r="G17" s="109">
        <v>2.564E-2</v>
      </c>
      <c r="H17" s="109">
        <v>2.564E-2</v>
      </c>
      <c r="I17" s="109">
        <v>2.564E-2</v>
      </c>
      <c r="J17" s="109">
        <v>2.564E-2</v>
      </c>
      <c r="K17" s="109">
        <v>2.564E-2</v>
      </c>
      <c r="L17" s="109">
        <v>2.564E-2</v>
      </c>
      <c r="M17" s="109">
        <v>2.564E-2</v>
      </c>
    </row>
    <row r="18" spans="1:13">
      <c r="A18" s="109">
        <v>15</v>
      </c>
      <c r="B18" s="109">
        <v>2.564E-2</v>
      </c>
      <c r="C18" s="109">
        <v>2.564E-2</v>
      </c>
      <c r="D18" s="109">
        <v>2.564E-2</v>
      </c>
      <c r="E18" s="109">
        <v>2.564E-2</v>
      </c>
      <c r="F18" s="109">
        <v>2.564E-2</v>
      </c>
      <c r="G18" s="109">
        <v>2.564E-2</v>
      </c>
      <c r="H18" s="109">
        <v>2.564E-2</v>
      </c>
      <c r="I18" s="109">
        <v>2.564E-2</v>
      </c>
      <c r="J18" s="109">
        <v>2.564E-2</v>
      </c>
      <c r="K18" s="109">
        <v>2.564E-2</v>
      </c>
      <c r="L18" s="109">
        <v>2.564E-2</v>
      </c>
      <c r="M18" s="109">
        <v>2.564E-2</v>
      </c>
    </row>
    <row r="19" spans="1:13">
      <c r="A19" s="109">
        <v>16</v>
      </c>
      <c r="B19" s="109">
        <v>2.564E-2</v>
      </c>
      <c r="C19" s="109">
        <v>2.564E-2</v>
      </c>
      <c r="D19" s="109">
        <v>2.564E-2</v>
      </c>
      <c r="E19" s="109">
        <v>2.564E-2</v>
      </c>
      <c r="F19" s="109">
        <v>2.564E-2</v>
      </c>
      <c r="G19" s="109">
        <v>2.564E-2</v>
      </c>
      <c r="H19" s="109">
        <v>2.564E-2</v>
      </c>
      <c r="I19" s="109">
        <v>2.564E-2</v>
      </c>
      <c r="J19" s="109">
        <v>2.564E-2</v>
      </c>
      <c r="K19" s="109">
        <v>2.564E-2</v>
      </c>
      <c r="L19" s="109">
        <v>2.564E-2</v>
      </c>
      <c r="M19" s="109">
        <v>2.564E-2</v>
      </c>
    </row>
    <row r="20" spans="1:13">
      <c r="A20" s="109">
        <v>17</v>
      </c>
      <c r="B20" s="109">
        <v>2.564E-2</v>
      </c>
      <c r="C20" s="109">
        <v>2.564E-2</v>
      </c>
      <c r="D20" s="109">
        <v>2.564E-2</v>
      </c>
      <c r="E20" s="109">
        <v>2.564E-2</v>
      </c>
      <c r="F20" s="109">
        <v>2.564E-2</v>
      </c>
      <c r="G20" s="109">
        <v>2.564E-2</v>
      </c>
      <c r="H20" s="109">
        <v>2.564E-2</v>
      </c>
      <c r="I20" s="109">
        <v>2.564E-2</v>
      </c>
      <c r="J20" s="109">
        <v>2.564E-2</v>
      </c>
      <c r="K20" s="109">
        <v>2.564E-2</v>
      </c>
      <c r="L20" s="109">
        <v>2.564E-2</v>
      </c>
      <c r="M20" s="109">
        <v>2.564E-2</v>
      </c>
    </row>
    <row r="21" spans="1:13">
      <c r="A21" s="109">
        <v>18</v>
      </c>
      <c r="B21" s="109">
        <v>2.564E-2</v>
      </c>
      <c r="C21" s="109">
        <v>2.564E-2</v>
      </c>
      <c r="D21" s="109">
        <v>2.564E-2</v>
      </c>
      <c r="E21" s="109">
        <v>2.564E-2</v>
      </c>
      <c r="F21" s="109">
        <v>2.564E-2</v>
      </c>
      <c r="G21" s="109">
        <v>2.564E-2</v>
      </c>
      <c r="H21" s="109">
        <v>2.564E-2</v>
      </c>
      <c r="I21" s="109">
        <v>2.564E-2</v>
      </c>
      <c r="J21" s="109">
        <v>2.564E-2</v>
      </c>
      <c r="K21" s="109">
        <v>2.564E-2</v>
      </c>
      <c r="L21" s="109">
        <v>2.564E-2</v>
      </c>
      <c r="M21" s="109">
        <v>2.564E-2</v>
      </c>
    </row>
    <row r="22" spans="1:13">
      <c r="A22" s="109">
        <v>19</v>
      </c>
      <c r="B22" s="109">
        <v>2.564E-2</v>
      </c>
      <c r="C22" s="109">
        <v>2.564E-2</v>
      </c>
      <c r="D22" s="109">
        <v>2.564E-2</v>
      </c>
      <c r="E22" s="109">
        <v>2.564E-2</v>
      </c>
      <c r="F22" s="109">
        <v>2.564E-2</v>
      </c>
      <c r="G22" s="109">
        <v>2.564E-2</v>
      </c>
      <c r="H22" s="109">
        <v>2.564E-2</v>
      </c>
      <c r="I22" s="109">
        <v>2.564E-2</v>
      </c>
      <c r="J22" s="109">
        <v>2.564E-2</v>
      </c>
      <c r="K22" s="109">
        <v>2.564E-2</v>
      </c>
      <c r="L22" s="109">
        <v>2.564E-2</v>
      </c>
      <c r="M22" s="109">
        <v>2.564E-2</v>
      </c>
    </row>
    <row r="23" spans="1:13">
      <c r="A23" s="109">
        <v>20</v>
      </c>
      <c r="B23" s="109">
        <v>2.564E-2</v>
      </c>
      <c r="C23" s="109">
        <v>2.564E-2</v>
      </c>
      <c r="D23" s="109">
        <v>2.564E-2</v>
      </c>
      <c r="E23" s="109">
        <v>2.564E-2</v>
      </c>
      <c r="F23" s="109">
        <v>2.564E-2</v>
      </c>
      <c r="G23" s="109">
        <v>2.564E-2</v>
      </c>
      <c r="H23" s="109">
        <v>2.564E-2</v>
      </c>
      <c r="I23" s="109">
        <v>2.564E-2</v>
      </c>
      <c r="J23" s="109">
        <v>2.564E-2</v>
      </c>
      <c r="K23" s="109">
        <v>2.564E-2</v>
      </c>
      <c r="L23" s="109">
        <v>2.564E-2</v>
      </c>
      <c r="M23" s="109">
        <v>2.564E-2</v>
      </c>
    </row>
    <row r="24" spans="1:13">
      <c r="A24" s="109">
        <v>21</v>
      </c>
      <c r="B24" s="109">
        <v>2.564E-2</v>
      </c>
      <c r="C24" s="109">
        <v>2.564E-2</v>
      </c>
      <c r="D24" s="109">
        <v>2.564E-2</v>
      </c>
      <c r="E24" s="109">
        <v>2.564E-2</v>
      </c>
      <c r="F24" s="109">
        <v>2.564E-2</v>
      </c>
      <c r="G24" s="109">
        <v>2.564E-2</v>
      </c>
      <c r="H24" s="109">
        <v>2.564E-2</v>
      </c>
      <c r="I24" s="109">
        <v>2.564E-2</v>
      </c>
      <c r="J24" s="109">
        <v>2.564E-2</v>
      </c>
      <c r="K24" s="109">
        <v>2.564E-2</v>
      </c>
      <c r="L24" s="109">
        <v>2.564E-2</v>
      </c>
      <c r="M24" s="109">
        <v>2.564E-2</v>
      </c>
    </row>
    <row r="25" spans="1:13">
      <c r="A25" s="109">
        <v>22</v>
      </c>
      <c r="B25" s="109">
        <v>2.564E-2</v>
      </c>
      <c r="C25" s="109">
        <v>2.564E-2</v>
      </c>
      <c r="D25" s="109">
        <v>2.564E-2</v>
      </c>
      <c r="E25" s="109">
        <v>2.564E-2</v>
      </c>
      <c r="F25" s="109">
        <v>2.564E-2</v>
      </c>
      <c r="G25" s="109">
        <v>2.564E-2</v>
      </c>
      <c r="H25" s="109">
        <v>2.564E-2</v>
      </c>
      <c r="I25" s="109">
        <v>2.564E-2</v>
      </c>
      <c r="J25" s="109">
        <v>2.564E-2</v>
      </c>
      <c r="K25" s="109">
        <v>2.564E-2</v>
      </c>
      <c r="L25" s="109">
        <v>2.564E-2</v>
      </c>
      <c r="M25" s="109">
        <v>2.564E-2</v>
      </c>
    </row>
    <row r="26" spans="1:13">
      <c r="A26" s="109">
        <v>23</v>
      </c>
      <c r="B26" s="109">
        <v>2.564E-2</v>
      </c>
      <c r="C26" s="109">
        <v>2.564E-2</v>
      </c>
      <c r="D26" s="109">
        <v>2.564E-2</v>
      </c>
      <c r="E26" s="109">
        <v>2.564E-2</v>
      </c>
      <c r="F26" s="109">
        <v>2.564E-2</v>
      </c>
      <c r="G26" s="109">
        <v>2.564E-2</v>
      </c>
      <c r="H26" s="109">
        <v>2.564E-2</v>
      </c>
      <c r="I26" s="109">
        <v>2.564E-2</v>
      </c>
      <c r="J26" s="109">
        <v>2.564E-2</v>
      </c>
      <c r="K26" s="109">
        <v>2.564E-2</v>
      </c>
      <c r="L26" s="109">
        <v>2.564E-2</v>
      </c>
      <c r="M26" s="109">
        <v>2.564E-2</v>
      </c>
    </row>
    <row r="27" spans="1:13">
      <c r="A27" s="109">
        <v>24</v>
      </c>
      <c r="B27" s="109">
        <v>2.564E-2</v>
      </c>
      <c r="C27" s="109">
        <v>2.564E-2</v>
      </c>
      <c r="D27" s="109">
        <v>2.564E-2</v>
      </c>
      <c r="E27" s="109">
        <v>2.564E-2</v>
      </c>
      <c r="F27" s="109">
        <v>2.564E-2</v>
      </c>
      <c r="G27" s="109">
        <v>2.564E-2</v>
      </c>
      <c r="H27" s="109">
        <v>2.564E-2</v>
      </c>
      <c r="I27" s="109">
        <v>2.564E-2</v>
      </c>
      <c r="J27" s="109">
        <v>2.564E-2</v>
      </c>
      <c r="K27" s="109">
        <v>2.564E-2</v>
      </c>
      <c r="L27" s="109">
        <v>2.564E-2</v>
      </c>
      <c r="M27" s="109">
        <v>2.564E-2</v>
      </c>
    </row>
    <row r="28" spans="1:13">
      <c r="A28" s="109">
        <v>25</v>
      </c>
      <c r="B28" s="109">
        <v>2.564E-2</v>
      </c>
      <c r="C28" s="109">
        <v>2.564E-2</v>
      </c>
      <c r="D28" s="109">
        <v>2.564E-2</v>
      </c>
      <c r="E28" s="109">
        <v>2.564E-2</v>
      </c>
      <c r="F28" s="109">
        <v>2.564E-2</v>
      </c>
      <c r="G28" s="109">
        <v>2.564E-2</v>
      </c>
      <c r="H28" s="109">
        <v>2.564E-2</v>
      </c>
      <c r="I28" s="109">
        <v>2.564E-2</v>
      </c>
      <c r="J28" s="109">
        <v>2.564E-2</v>
      </c>
      <c r="K28" s="109">
        <v>2.564E-2</v>
      </c>
      <c r="L28" s="109">
        <v>2.564E-2</v>
      </c>
      <c r="M28" s="109">
        <v>2.564E-2</v>
      </c>
    </row>
    <row r="29" spans="1:13">
      <c r="A29" s="109">
        <v>26</v>
      </c>
      <c r="B29" s="109">
        <v>2.564E-2</v>
      </c>
      <c r="C29" s="109">
        <v>2.564E-2</v>
      </c>
      <c r="D29" s="109">
        <v>2.564E-2</v>
      </c>
      <c r="E29" s="109">
        <v>2.564E-2</v>
      </c>
      <c r="F29" s="109">
        <v>2.564E-2</v>
      </c>
      <c r="G29" s="109">
        <v>2.564E-2</v>
      </c>
      <c r="H29" s="109">
        <v>2.564E-2</v>
      </c>
      <c r="I29" s="109">
        <v>2.564E-2</v>
      </c>
      <c r="J29" s="109">
        <v>2.564E-2</v>
      </c>
      <c r="K29" s="109">
        <v>2.564E-2</v>
      </c>
      <c r="L29" s="109">
        <v>2.564E-2</v>
      </c>
      <c r="M29" s="109">
        <v>2.564E-2</v>
      </c>
    </row>
    <row r="30" spans="1:13">
      <c r="A30" s="109">
        <v>27</v>
      </c>
      <c r="B30" s="109">
        <v>2.564E-2</v>
      </c>
      <c r="C30" s="109">
        <v>2.564E-2</v>
      </c>
      <c r="D30" s="109">
        <v>2.564E-2</v>
      </c>
      <c r="E30" s="109">
        <v>2.564E-2</v>
      </c>
      <c r="F30" s="109">
        <v>2.564E-2</v>
      </c>
      <c r="G30" s="109">
        <v>2.564E-2</v>
      </c>
      <c r="H30" s="109">
        <v>2.564E-2</v>
      </c>
      <c r="I30" s="109">
        <v>2.564E-2</v>
      </c>
      <c r="J30" s="109">
        <v>2.564E-2</v>
      </c>
      <c r="K30" s="109">
        <v>2.564E-2</v>
      </c>
      <c r="L30" s="109">
        <v>2.564E-2</v>
      </c>
      <c r="M30" s="109">
        <v>2.564E-2</v>
      </c>
    </row>
    <row r="31" spans="1:13">
      <c r="A31" s="109">
        <v>28</v>
      </c>
      <c r="B31" s="109">
        <v>2.564E-2</v>
      </c>
      <c r="C31" s="109">
        <v>2.564E-2</v>
      </c>
      <c r="D31" s="109">
        <v>2.564E-2</v>
      </c>
      <c r="E31" s="109">
        <v>2.564E-2</v>
      </c>
      <c r="F31" s="109">
        <v>2.564E-2</v>
      </c>
      <c r="G31" s="109">
        <v>2.564E-2</v>
      </c>
      <c r="H31" s="109">
        <v>2.564E-2</v>
      </c>
      <c r="I31" s="109">
        <v>2.564E-2</v>
      </c>
      <c r="J31" s="109">
        <v>2.564E-2</v>
      </c>
      <c r="K31" s="109">
        <v>2.564E-2</v>
      </c>
      <c r="L31" s="109">
        <v>2.564E-2</v>
      </c>
      <c r="M31" s="109">
        <v>2.564E-2</v>
      </c>
    </row>
    <row r="32" spans="1:13">
      <c r="A32" s="109">
        <v>29</v>
      </c>
      <c r="B32" s="109">
        <v>2.564E-2</v>
      </c>
      <c r="C32" s="109">
        <v>2.564E-2</v>
      </c>
      <c r="D32" s="109">
        <v>2.564E-2</v>
      </c>
      <c r="E32" s="109">
        <v>2.564E-2</v>
      </c>
      <c r="F32" s="109">
        <v>2.564E-2</v>
      </c>
      <c r="G32" s="109">
        <v>2.564E-2</v>
      </c>
      <c r="H32" s="109">
        <v>2.564E-2</v>
      </c>
      <c r="I32" s="109">
        <v>2.564E-2</v>
      </c>
      <c r="J32" s="109">
        <v>2.564E-2</v>
      </c>
      <c r="K32" s="109">
        <v>2.564E-2</v>
      </c>
      <c r="L32" s="109">
        <v>2.564E-2</v>
      </c>
      <c r="M32" s="109">
        <v>2.564E-2</v>
      </c>
    </row>
    <row r="33" spans="1:13">
      <c r="A33" s="109">
        <v>30</v>
      </c>
      <c r="B33" s="109">
        <v>2.564E-2</v>
      </c>
      <c r="C33" s="109">
        <v>2.564E-2</v>
      </c>
      <c r="D33" s="109">
        <v>2.564E-2</v>
      </c>
      <c r="E33" s="109">
        <v>2.564E-2</v>
      </c>
      <c r="F33" s="109">
        <v>2.564E-2</v>
      </c>
      <c r="G33" s="109">
        <v>2.564E-2</v>
      </c>
      <c r="H33" s="109">
        <v>2.564E-2</v>
      </c>
      <c r="I33" s="109">
        <v>2.564E-2</v>
      </c>
      <c r="J33" s="109">
        <v>2.564E-2</v>
      </c>
      <c r="K33" s="109">
        <v>2.564E-2</v>
      </c>
      <c r="L33" s="109">
        <v>2.564E-2</v>
      </c>
      <c r="M33" s="109">
        <v>2.564E-2</v>
      </c>
    </row>
    <row r="34" spans="1:13">
      <c r="A34" s="109">
        <v>31</v>
      </c>
      <c r="B34" s="109">
        <v>2.564E-2</v>
      </c>
      <c r="C34" s="109">
        <v>2.564E-2</v>
      </c>
      <c r="D34" s="109">
        <v>2.564E-2</v>
      </c>
      <c r="E34" s="109">
        <v>2.564E-2</v>
      </c>
      <c r="F34" s="109">
        <v>2.564E-2</v>
      </c>
      <c r="G34" s="109">
        <v>2.564E-2</v>
      </c>
      <c r="H34" s="109">
        <v>2.564E-2</v>
      </c>
      <c r="I34" s="109">
        <v>2.564E-2</v>
      </c>
      <c r="J34" s="109">
        <v>2.564E-2</v>
      </c>
      <c r="K34" s="109">
        <v>2.564E-2</v>
      </c>
      <c r="L34" s="109">
        <v>2.564E-2</v>
      </c>
      <c r="M34" s="109">
        <v>2.564E-2</v>
      </c>
    </row>
    <row r="35" spans="1:13">
      <c r="A35" s="109">
        <v>32</v>
      </c>
      <c r="B35" s="109">
        <v>2.564E-2</v>
      </c>
      <c r="C35" s="109">
        <v>2.564E-2</v>
      </c>
      <c r="D35" s="109">
        <v>2.564E-2</v>
      </c>
      <c r="E35" s="109">
        <v>2.564E-2</v>
      </c>
      <c r="F35" s="109">
        <v>2.564E-2</v>
      </c>
      <c r="G35" s="109">
        <v>2.564E-2</v>
      </c>
      <c r="H35" s="109">
        <v>2.564E-2</v>
      </c>
      <c r="I35" s="109">
        <v>2.564E-2</v>
      </c>
      <c r="J35" s="109">
        <v>2.564E-2</v>
      </c>
      <c r="K35" s="109">
        <v>2.564E-2</v>
      </c>
      <c r="L35" s="109">
        <v>2.564E-2</v>
      </c>
      <c r="M35" s="109">
        <v>2.564E-2</v>
      </c>
    </row>
    <row r="36" spans="1:13">
      <c r="A36" s="109">
        <v>33</v>
      </c>
      <c r="B36" s="109">
        <v>2.564E-2</v>
      </c>
      <c r="C36" s="109">
        <v>2.564E-2</v>
      </c>
      <c r="D36" s="109">
        <v>2.564E-2</v>
      </c>
      <c r="E36" s="109">
        <v>2.564E-2</v>
      </c>
      <c r="F36" s="109">
        <v>2.564E-2</v>
      </c>
      <c r="G36" s="109">
        <v>2.564E-2</v>
      </c>
      <c r="H36" s="109">
        <v>2.564E-2</v>
      </c>
      <c r="I36" s="109">
        <v>2.564E-2</v>
      </c>
      <c r="J36" s="109">
        <v>2.564E-2</v>
      </c>
      <c r="K36" s="109">
        <v>2.564E-2</v>
      </c>
      <c r="L36" s="109">
        <v>2.564E-2</v>
      </c>
      <c r="M36" s="109">
        <v>2.564E-2</v>
      </c>
    </row>
    <row r="37" spans="1:13">
      <c r="A37" s="109">
        <v>34</v>
      </c>
      <c r="B37" s="109">
        <v>2.564E-2</v>
      </c>
      <c r="C37" s="109">
        <v>2.564E-2</v>
      </c>
      <c r="D37" s="109">
        <v>2.564E-2</v>
      </c>
      <c r="E37" s="109">
        <v>2.564E-2</v>
      </c>
      <c r="F37" s="109">
        <v>2.564E-2</v>
      </c>
      <c r="G37" s="109">
        <v>2.564E-2</v>
      </c>
      <c r="H37" s="109">
        <v>2.564E-2</v>
      </c>
      <c r="I37" s="109">
        <v>2.564E-2</v>
      </c>
      <c r="J37" s="109">
        <v>2.564E-2</v>
      </c>
      <c r="K37" s="109">
        <v>2.564E-2</v>
      </c>
      <c r="L37" s="109">
        <v>2.564E-2</v>
      </c>
      <c r="M37" s="109">
        <v>2.564E-2</v>
      </c>
    </row>
    <row r="38" spans="1:13">
      <c r="A38" s="109">
        <v>35</v>
      </c>
      <c r="B38" s="109">
        <v>2.564E-2</v>
      </c>
      <c r="C38" s="109">
        <v>2.564E-2</v>
      </c>
      <c r="D38" s="109">
        <v>2.564E-2</v>
      </c>
      <c r="E38" s="109">
        <v>2.564E-2</v>
      </c>
      <c r="F38" s="109">
        <v>2.564E-2</v>
      </c>
      <c r="G38" s="109">
        <v>2.564E-2</v>
      </c>
      <c r="H38" s="109">
        <v>2.564E-2</v>
      </c>
      <c r="I38" s="109">
        <v>2.564E-2</v>
      </c>
      <c r="J38" s="109">
        <v>2.564E-2</v>
      </c>
      <c r="K38" s="109">
        <v>2.564E-2</v>
      </c>
      <c r="L38" s="109">
        <v>2.564E-2</v>
      </c>
      <c r="M38" s="109">
        <v>2.564E-2</v>
      </c>
    </row>
    <row r="39" spans="1:13">
      <c r="A39" s="109">
        <v>36</v>
      </c>
      <c r="B39" s="109">
        <v>2.564E-2</v>
      </c>
      <c r="C39" s="109">
        <v>2.564E-2</v>
      </c>
      <c r="D39" s="109">
        <v>2.564E-2</v>
      </c>
      <c r="E39" s="109">
        <v>2.564E-2</v>
      </c>
      <c r="F39" s="109">
        <v>2.564E-2</v>
      </c>
      <c r="G39" s="109">
        <v>2.564E-2</v>
      </c>
      <c r="H39" s="109">
        <v>2.564E-2</v>
      </c>
      <c r="I39" s="109">
        <v>2.564E-2</v>
      </c>
      <c r="J39" s="109">
        <v>2.564E-2</v>
      </c>
      <c r="K39" s="109">
        <v>2.564E-2</v>
      </c>
      <c r="L39" s="109">
        <v>2.564E-2</v>
      </c>
      <c r="M39" s="109">
        <v>2.564E-2</v>
      </c>
    </row>
    <row r="40" spans="1:13">
      <c r="A40" s="109">
        <v>37</v>
      </c>
      <c r="B40" s="109">
        <v>2.564E-2</v>
      </c>
      <c r="C40" s="109">
        <v>2.564E-2</v>
      </c>
      <c r="D40" s="109">
        <v>2.564E-2</v>
      </c>
      <c r="E40" s="109">
        <v>2.564E-2</v>
      </c>
      <c r="F40" s="109">
        <v>2.564E-2</v>
      </c>
      <c r="G40" s="109">
        <v>2.564E-2</v>
      </c>
      <c r="H40" s="109">
        <v>2.564E-2</v>
      </c>
      <c r="I40" s="109">
        <v>2.564E-2</v>
      </c>
      <c r="J40" s="109">
        <v>2.564E-2</v>
      </c>
      <c r="K40" s="109">
        <v>2.564E-2</v>
      </c>
      <c r="L40" s="109">
        <v>2.564E-2</v>
      </c>
      <c r="M40" s="109">
        <v>2.564E-2</v>
      </c>
    </row>
    <row r="41" spans="1:13">
      <c r="A41" s="109">
        <v>38</v>
      </c>
      <c r="B41" s="109">
        <v>2.564E-2</v>
      </c>
      <c r="C41" s="109">
        <v>2.564E-2</v>
      </c>
      <c r="D41" s="109">
        <v>2.564E-2</v>
      </c>
      <c r="E41" s="109">
        <v>2.564E-2</v>
      </c>
      <c r="F41" s="109">
        <v>2.564E-2</v>
      </c>
      <c r="G41" s="109">
        <v>2.564E-2</v>
      </c>
      <c r="H41" s="109">
        <v>2.564E-2</v>
      </c>
      <c r="I41" s="109">
        <v>2.564E-2</v>
      </c>
      <c r="J41" s="109">
        <v>2.564E-2</v>
      </c>
      <c r="K41" s="109">
        <v>2.564E-2</v>
      </c>
      <c r="L41" s="109">
        <v>2.564E-2</v>
      </c>
      <c r="M41" s="109">
        <v>2.564E-2</v>
      </c>
    </row>
    <row r="42" spans="1:13">
      <c r="A42" s="109">
        <v>39</v>
      </c>
      <c r="B42" s="109">
        <v>2.564E-2</v>
      </c>
      <c r="C42" s="109">
        <v>2.564E-2</v>
      </c>
      <c r="D42" s="109">
        <v>2.564E-2</v>
      </c>
      <c r="E42" s="109">
        <v>2.564E-2</v>
      </c>
      <c r="F42" s="109">
        <v>2.564E-2</v>
      </c>
      <c r="G42" s="109">
        <v>2.564E-2</v>
      </c>
      <c r="H42" s="109">
        <v>2.564E-2</v>
      </c>
      <c r="I42" s="109">
        <v>2.564E-2</v>
      </c>
      <c r="J42" s="109">
        <v>2.564E-2</v>
      </c>
      <c r="K42" s="109">
        <v>2.564E-2</v>
      </c>
      <c r="L42" s="109">
        <v>2.564E-2</v>
      </c>
      <c r="M42" s="109">
        <v>2.564E-2</v>
      </c>
    </row>
    <row r="43" spans="1:13">
      <c r="A43" s="109">
        <v>40</v>
      </c>
      <c r="B43" s="109">
        <v>1.07E-3</v>
      </c>
      <c r="C43" s="109">
        <v>3.2100000000000002E-3</v>
      </c>
      <c r="D43" s="109">
        <v>5.3499999999999997E-3</v>
      </c>
      <c r="E43" s="109">
        <v>7.4900000000000001E-3</v>
      </c>
      <c r="F43" s="109">
        <v>9.6299999999999997E-3</v>
      </c>
      <c r="G43" s="109">
        <v>1.1769999999999999E-2</v>
      </c>
      <c r="H43" s="109">
        <v>1.391E-2</v>
      </c>
      <c r="I43" s="109">
        <v>1.6049999999999998E-2</v>
      </c>
      <c r="J43" s="109">
        <v>1.8190000000000001E-2</v>
      </c>
      <c r="K43" s="109">
        <v>2.0330000000000001E-2</v>
      </c>
      <c r="L43" s="109">
        <v>2.247E-2</v>
      </c>
      <c r="M43" s="109">
        <v>2.461E-2</v>
      </c>
    </row>
  </sheetData>
  <pageMargins left="0.7" right="0.7" top="0.75" bottom="0.75" header="0.3" footer="0.3"/>
  <pageSetup orientation="portrait" horizontalDpi="0" verticalDpi="0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7388B-030B-5C44-9F48-1D756118C16D}">
  <sheetPr codeName="Sheet2"/>
  <dimension ref="A1:AC40"/>
  <sheetViews>
    <sheetView zoomScaleNormal="100" workbookViewId="0">
      <selection activeCell="H51" sqref="H51:I51"/>
    </sheetView>
  </sheetViews>
  <sheetFormatPr defaultColWidth="8.796875" defaultRowHeight="14.4"/>
  <cols>
    <col min="1" max="1" width="13.796875" style="2" bestFit="1" customWidth="1"/>
    <col min="2" max="2" width="12.5" style="2" bestFit="1" customWidth="1"/>
    <col min="3" max="6" width="15.5" style="2" bestFit="1" customWidth="1"/>
    <col min="7" max="8" width="8.796875" style="2"/>
    <col min="9" max="9" width="13" style="2" bestFit="1" customWidth="1"/>
    <col min="10" max="26" width="8.796875" style="2"/>
    <col min="27" max="27" width="13" style="2" bestFit="1" customWidth="1"/>
    <col min="28" max="28" width="2.5" style="2" customWidth="1"/>
    <col min="29" max="16384" width="8.796875" style="2"/>
  </cols>
  <sheetData>
    <row r="1" spans="1:29">
      <c r="A1" s="1" t="s">
        <v>0</v>
      </c>
      <c r="B1" s="1" t="s">
        <v>1</v>
      </c>
      <c r="C1" s="1"/>
      <c r="D1" s="1"/>
      <c r="E1" s="1"/>
      <c r="F1" s="1"/>
      <c r="H1" s="3"/>
      <c r="AA1" s="4" t="s">
        <v>2</v>
      </c>
      <c r="AC1" s="4" t="s">
        <v>3</v>
      </c>
    </row>
    <row r="2" spans="1:29">
      <c r="A2" s="2" t="s">
        <v>2</v>
      </c>
      <c r="B2" s="2" t="s">
        <v>4</v>
      </c>
      <c r="C2" s="2" t="s">
        <v>5</v>
      </c>
      <c r="D2" s="2" t="s">
        <v>6</v>
      </c>
      <c r="E2" s="2" t="s">
        <v>7</v>
      </c>
      <c r="F2" s="2" t="s">
        <v>8</v>
      </c>
      <c r="AA2" s="5" t="s">
        <v>9</v>
      </c>
      <c r="AC2" s="5" t="s">
        <v>9</v>
      </c>
    </row>
    <row r="3" spans="1:29">
      <c r="A3" s="2">
        <v>1</v>
      </c>
      <c r="B3" s="6">
        <v>0.2</v>
      </c>
      <c r="C3" s="6">
        <v>0.35</v>
      </c>
      <c r="D3" s="6">
        <v>0.25</v>
      </c>
      <c r="E3" s="6">
        <v>0.15</v>
      </c>
      <c r="F3" s="6">
        <v>0.05</v>
      </c>
      <c r="AA3" s="4" t="s">
        <v>4</v>
      </c>
      <c r="AC3" s="4" t="s">
        <v>10</v>
      </c>
    </row>
    <row r="4" spans="1:29">
      <c r="A4" s="2">
        <v>2</v>
      </c>
      <c r="B4" s="6">
        <v>0.32</v>
      </c>
      <c r="C4" s="6">
        <v>0.26</v>
      </c>
      <c r="D4" s="6">
        <v>0.3</v>
      </c>
      <c r="E4" s="6">
        <v>0.34</v>
      </c>
      <c r="F4" s="6">
        <v>0.38</v>
      </c>
      <c r="AA4" s="4" t="s">
        <v>5</v>
      </c>
      <c r="AC4" s="4" t="s">
        <v>11</v>
      </c>
    </row>
    <row r="5" spans="1:29">
      <c r="A5" s="2">
        <v>3</v>
      </c>
      <c r="B5" s="6">
        <v>0.192</v>
      </c>
      <c r="C5" s="6">
        <v>0.156</v>
      </c>
      <c r="D5" s="6">
        <v>0.18</v>
      </c>
      <c r="E5" s="6">
        <v>0.20399999999999999</v>
      </c>
      <c r="F5" s="6">
        <v>0.22800000000000001</v>
      </c>
      <c r="AA5" s="4" t="s">
        <v>6</v>
      </c>
    </row>
    <row r="6" spans="1:29">
      <c r="A6" s="2">
        <v>4</v>
      </c>
      <c r="B6" s="6">
        <v>0.1152</v>
      </c>
      <c r="C6" s="6">
        <v>0.1101</v>
      </c>
      <c r="D6" s="6">
        <v>0.1137</v>
      </c>
      <c r="E6" s="6">
        <v>0.12239999999999999</v>
      </c>
      <c r="F6" s="6">
        <v>0.1368</v>
      </c>
      <c r="AA6" s="4" t="s">
        <v>7</v>
      </c>
    </row>
    <row r="7" spans="1:29">
      <c r="A7" s="2">
        <v>5</v>
      </c>
      <c r="B7" s="6">
        <v>0.1152</v>
      </c>
      <c r="C7" s="6">
        <v>0.1101</v>
      </c>
      <c r="D7" s="6">
        <v>0.1137</v>
      </c>
      <c r="E7" s="6">
        <v>0.113</v>
      </c>
      <c r="F7" s="6">
        <v>0.1094</v>
      </c>
      <c r="AA7" s="4" t="s">
        <v>8</v>
      </c>
    </row>
    <row r="8" spans="1:29">
      <c r="A8" s="2">
        <v>6</v>
      </c>
      <c r="B8" s="6">
        <v>5.7599999999999998E-2</v>
      </c>
      <c r="C8" s="6">
        <v>1.38E-2</v>
      </c>
      <c r="D8" s="6">
        <v>4.2599999999999999E-2</v>
      </c>
      <c r="E8" s="6">
        <v>7.0599999999999996E-2</v>
      </c>
      <c r="F8" s="6">
        <v>9.5799999999999996E-2</v>
      </c>
    </row>
    <row r="11" spans="1:29">
      <c r="A11" s="1" t="s">
        <v>12</v>
      </c>
      <c r="B11" s="1" t="s">
        <v>1</v>
      </c>
      <c r="C11" s="1"/>
      <c r="D11" s="1"/>
      <c r="E11" s="1"/>
      <c r="F11" s="1"/>
    </row>
    <row r="12" spans="1:29">
      <c r="A12" s="2" t="s">
        <v>2</v>
      </c>
      <c r="B12" s="2" t="s">
        <v>4</v>
      </c>
      <c r="C12" s="2" t="s">
        <v>5</v>
      </c>
      <c r="D12" s="2" t="s">
        <v>6</v>
      </c>
      <c r="E12" s="2" t="s">
        <v>7</v>
      </c>
      <c r="F12" s="2" t="s">
        <v>8</v>
      </c>
    </row>
    <row r="13" spans="1:29">
      <c r="A13" s="2">
        <v>1</v>
      </c>
      <c r="B13" s="6">
        <v>0.1429</v>
      </c>
      <c r="C13" s="6">
        <v>0.25</v>
      </c>
      <c r="D13" s="6">
        <v>0.17849999999999999</v>
      </c>
      <c r="E13" s="6">
        <v>0.1071</v>
      </c>
      <c r="F13" s="6">
        <v>3.5700000000000003E-2</v>
      </c>
    </row>
    <row r="14" spans="1:29">
      <c r="A14" s="2">
        <v>2</v>
      </c>
      <c r="B14" s="6">
        <v>0.24490000000000001</v>
      </c>
      <c r="C14" s="6">
        <v>0.21429999999999999</v>
      </c>
      <c r="D14" s="6">
        <v>0.23469999999999999</v>
      </c>
      <c r="E14" s="6">
        <v>0.25509999999999999</v>
      </c>
      <c r="F14" s="6">
        <v>0.27550000000000002</v>
      </c>
    </row>
    <row r="15" spans="1:29">
      <c r="A15" s="2">
        <v>3</v>
      </c>
      <c r="B15" s="6">
        <v>0.1749</v>
      </c>
      <c r="C15" s="6">
        <v>0.15310000000000001</v>
      </c>
      <c r="D15" s="6">
        <v>0.1676</v>
      </c>
      <c r="E15" s="6">
        <v>0.1822</v>
      </c>
      <c r="F15" s="6">
        <v>0.1968</v>
      </c>
    </row>
    <row r="16" spans="1:29">
      <c r="A16" s="2">
        <v>4</v>
      </c>
      <c r="B16" s="6">
        <v>0.1249</v>
      </c>
      <c r="C16" s="6">
        <v>0.10929999999999999</v>
      </c>
      <c r="D16" s="6">
        <v>0.1197</v>
      </c>
      <c r="E16" s="6">
        <v>0.13020000000000001</v>
      </c>
      <c r="F16" s="6">
        <v>0.1406</v>
      </c>
    </row>
    <row r="17" spans="1:6">
      <c r="A17" s="2">
        <v>5</v>
      </c>
      <c r="B17" s="6">
        <v>8.9300000000000004E-2</v>
      </c>
      <c r="C17" s="6">
        <v>8.7499999999999994E-2</v>
      </c>
      <c r="D17" s="6">
        <v>8.8700000000000001E-2</v>
      </c>
      <c r="E17" s="6">
        <v>9.2999999999999999E-2</v>
      </c>
      <c r="F17" s="6">
        <v>0.1004</v>
      </c>
    </row>
    <row r="18" spans="1:6">
      <c r="A18" s="2">
        <v>6</v>
      </c>
      <c r="B18" s="6">
        <v>8.9200000000000002E-2</v>
      </c>
      <c r="C18" s="6">
        <v>8.7400000000000005E-2</v>
      </c>
      <c r="D18" s="6">
        <v>8.8700000000000001E-2</v>
      </c>
      <c r="E18" s="6">
        <v>8.8499999999999995E-2</v>
      </c>
      <c r="F18" s="6">
        <v>8.7300000000000003E-2</v>
      </c>
    </row>
    <row r="19" spans="1:6">
      <c r="A19" s="2">
        <v>7</v>
      </c>
      <c r="B19" s="6">
        <v>8.9300000000000004E-2</v>
      </c>
      <c r="C19" s="6">
        <v>8.7499999999999994E-2</v>
      </c>
      <c r="D19" s="6">
        <v>8.8700000000000001E-2</v>
      </c>
      <c r="E19" s="6">
        <v>8.8599999999999998E-2</v>
      </c>
      <c r="F19" s="6">
        <v>8.7300000000000003E-2</v>
      </c>
    </row>
    <row r="20" spans="1:6">
      <c r="A20" s="2">
        <v>8</v>
      </c>
      <c r="B20" s="6">
        <v>4.4600000000000001E-2</v>
      </c>
      <c r="C20" s="6">
        <v>1.09E-2</v>
      </c>
      <c r="D20" s="6">
        <v>3.3399999999999999E-2</v>
      </c>
      <c r="E20" s="6">
        <v>5.5300000000000002E-2</v>
      </c>
      <c r="F20" s="6">
        <v>7.6399999999999996E-2</v>
      </c>
    </row>
    <row r="23" spans="1:6">
      <c r="A23" s="1" t="s">
        <v>13</v>
      </c>
      <c r="B23" s="1" t="s">
        <v>14</v>
      </c>
      <c r="C23" s="7"/>
      <c r="D23" s="7"/>
      <c r="E23" s="7"/>
      <c r="F23" s="8" t="s">
        <v>15</v>
      </c>
    </row>
    <row r="24" spans="1:6">
      <c r="A24" s="2" t="s">
        <v>2</v>
      </c>
      <c r="B24" s="2" t="s">
        <v>4</v>
      </c>
      <c r="C24" s="2" t="s">
        <v>5</v>
      </c>
      <c r="D24" s="2" t="s">
        <v>6</v>
      </c>
      <c r="E24" s="2" t="s">
        <v>7</v>
      </c>
      <c r="F24" s="2" t="s">
        <v>8</v>
      </c>
    </row>
    <row r="25" spans="1:6">
      <c r="A25" s="2">
        <v>1</v>
      </c>
      <c r="B25" s="6">
        <v>0.05</v>
      </c>
      <c r="C25" s="6">
        <v>8.7499999999999994E-2</v>
      </c>
      <c r="D25" s="6">
        <v>6.25E-2</v>
      </c>
      <c r="E25" s="6">
        <v>3.7499999999999999E-2</v>
      </c>
      <c r="F25" s="6">
        <v>1.2500000000000001E-2</v>
      </c>
    </row>
    <row r="26" spans="1:6">
      <c r="A26" s="2">
        <v>2</v>
      </c>
      <c r="B26" s="6">
        <v>9.5000000000000001E-2</v>
      </c>
      <c r="C26" s="6">
        <v>9.1300000000000006E-2</v>
      </c>
      <c r="D26" s="6">
        <v>9.3799999999999994E-2</v>
      </c>
      <c r="E26" s="6">
        <v>9.6299999999999997E-2</v>
      </c>
      <c r="F26" s="6">
        <v>9.8799999999999999E-2</v>
      </c>
    </row>
    <row r="27" spans="1:6">
      <c r="A27" s="2">
        <v>3</v>
      </c>
      <c r="B27" s="6">
        <v>8.5500000000000007E-2</v>
      </c>
      <c r="C27" s="6">
        <v>8.2100000000000006E-2</v>
      </c>
      <c r="D27" s="6">
        <v>8.4400000000000003E-2</v>
      </c>
      <c r="E27" s="6">
        <v>8.6599999999999996E-2</v>
      </c>
      <c r="F27" s="6">
        <v>8.8900000000000007E-2</v>
      </c>
    </row>
    <row r="28" spans="1:6">
      <c r="A28" s="2">
        <v>4</v>
      </c>
      <c r="B28" s="6">
        <v>7.6999999999999999E-2</v>
      </c>
      <c r="C28" s="6">
        <v>7.3899999999999993E-2</v>
      </c>
      <c r="D28" s="6">
        <v>7.5899999999999995E-2</v>
      </c>
      <c r="E28" s="6">
        <v>7.8E-2</v>
      </c>
      <c r="F28" s="6">
        <v>0.08</v>
      </c>
    </row>
    <row r="29" spans="1:6">
      <c r="A29" s="2">
        <v>5</v>
      </c>
      <c r="B29" s="6">
        <v>6.93E-2</v>
      </c>
      <c r="C29" s="6">
        <v>6.6500000000000004E-2</v>
      </c>
      <c r="D29" s="6">
        <v>6.83E-2</v>
      </c>
      <c r="E29" s="6">
        <v>7.0199999999999999E-2</v>
      </c>
      <c r="F29" s="6">
        <v>7.1999999999999995E-2</v>
      </c>
    </row>
    <row r="30" spans="1:6">
      <c r="A30" s="2">
        <v>6</v>
      </c>
      <c r="B30" s="6">
        <v>6.2300000000000001E-2</v>
      </c>
      <c r="C30" s="6">
        <v>5.9900000000000002E-2</v>
      </c>
      <c r="D30" s="6">
        <v>6.1499999999999999E-2</v>
      </c>
      <c r="E30" s="6">
        <v>6.3100000000000003E-2</v>
      </c>
      <c r="F30" s="6">
        <v>6.4799999999999996E-2</v>
      </c>
    </row>
    <row r="31" spans="1:6">
      <c r="A31" s="2">
        <v>7</v>
      </c>
      <c r="B31" s="6">
        <v>5.8999999999999997E-2</v>
      </c>
      <c r="C31" s="6">
        <v>5.8999999999999997E-2</v>
      </c>
      <c r="D31" s="6">
        <v>5.91E-2</v>
      </c>
      <c r="E31" s="6">
        <v>5.8999999999999997E-2</v>
      </c>
      <c r="F31" s="6">
        <v>5.8999999999999997E-2</v>
      </c>
    </row>
    <row r="32" spans="1:6">
      <c r="A32" s="2">
        <v>8</v>
      </c>
      <c r="B32" s="6">
        <v>5.8999999999999997E-2</v>
      </c>
      <c r="C32" s="6">
        <v>5.91E-2</v>
      </c>
      <c r="D32" s="6">
        <v>5.8999999999999997E-2</v>
      </c>
      <c r="E32" s="6">
        <v>5.8999999999999997E-2</v>
      </c>
      <c r="F32" s="6">
        <v>5.8999999999999997E-2</v>
      </c>
    </row>
    <row r="33" spans="1:6">
      <c r="A33" s="2">
        <v>9</v>
      </c>
      <c r="B33" s="6">
        <v>5.91E-2</v>
      </c>
      <c r="C33" s="6">
        <v>5.8999999999999997E-2</v>
      </c>
      <c r="D33" s="6">
        <v>5.91E-2</v>
      </c>
      <c r="E33" s="6">
        <v>5.91E-2</v>
      </c>
      <c r="F33" s="6">
        <v>5.8999999999999997E-2</v>
      </c>
    </row>
    <row r="34" spans="1:6">
      <c r="A34" s="2">
        <v>10</v>
      </c>
      <c r="B34" s="6">
        <v>5.8999999999999997E-2</v>
      </c>
      <c r="C34" s="6">
        <v>5.91E-2</v>
      </c>
      <c r="D34" s="6">
        <v>5.8999999999999997E-2</v>
      </c>
      <c r="E34" s="6">
        <v>5.8999999999999997E-2</v>
      </c>
      <c r="F34" s="6">
        <v>5.91E-2</v>
      </c>
    </row>
    <row r="35" spans="1:6">
      <c r="A35" s="2">
        <v>11</v>
      </c>
      <c r="B35" s="6">
        <v>5.91E-2</v>
      </c>
      <c r="C35" s="6">
        <v>5.8999999999999997E-2</v>
      </c>
      <c r="D35" s="6">
        <v>5.91E-2</v>
      </c>
      <c r="E35" s="6">
        <v>5.91E-2</v>
      </c>
      <c r="F35" s="6">
        <v>5.8999999999999997E-2</v>
      </c>
    </row>
    <row r="36" spans="1:6">
      <c r="A36" s="2">
        <v>12</v>
      </c>
      <c r="B36" s="6">
        <v>5.8999999999999997E-2</v>
      </c>
      <c r="C36" s="6">
        <v>5.91E-2</v>
      </c>
      <c r="D36" s="6">
        <v>5.8999999999999997E-2</v>
      </c>
      <c r="E36" s="6">
        <v>5.8999999999999997E-2</v>
      </c>
      <c r="F36" s="6">
        <v>5.91E-2</v>
      </c>
    </row>
    <row r="37" spans="1:6">
      <c r="A37" s="2">
        <v>13</v>
      </c>
      <c r="B37" s="6">
        <v>5.91E-2</v>
      </c>
      <c r="C37" s="6">
        <v>5.8999999999999997E-2</v>
      </c>
      <c r="D37" s="6">
        <v>5.91E-2</v>
      </c>
      <c r="E37" s="6">
        <v>5.91E-2</v>
      </c>
      <c r="F37" s="6">
        <v>5.8999999999999997E-2</v>
      </c>
    </row>
    <row r="38" spans="1:6">
      <c r="A38" s="2">
        <v>14</v>
      </c>
      <c r="B38" s="6">
        <v>5.8999999999999997E-2</v>
      </c>
      <c r="C38" s="6">
        <v>5.91E-2</v>
      </c>
      <c r="D38" s="6">
        <v>5.8999999999999997E-2</v>
      </c>
      <c r="E38" s="6">
        <v>5.8999999999999997E-2</v>
      </c>
      <c r="F38" s="6">
        <v>5.91E-2</v>
      </c>
    </row>
    <row r="39" spans="1:6">
      <c r="A39" s="2">
        <v>15</v>
      </c>
      <c r="B39" s="6">
        <v>5.91E-2</v>
      </c>
      <c r="C39" s="6">
        <v>5.8999999999999997E-2</v>
      </c>
      <c r="D39" s="6">
        <v>5.91E-2</v>
      </c>
      <c r="E39" s="6">
        <v>5.91E-2</v>
      </c>
      <c r="F39" s="6">
        <v>5.8999999999999997E-2</v>
      </c>
    </row>
    <row r="40" spans="1:6">
      <c r="A40" s="2">
        <v>16</v>
      </c>
      <c r="B40" s="6">
        <v>2.9499999999999998E-2</v>
      </c>
      <c r="C40" s="6">
        <v>7.4000000000000003E-3</v>
      </c>
      <c r="D40" s="6">
        <v>2.2100000000000002E-2</v>
      </c>
      <c r="E40" s="6">
        <v>3.6900000000000002E-2</v>
      </c>
      <c r="F40" s="6">
        <v>5.1700000000000003E-2</v>
      </c>
    </row>
  </sheetData>
  <pageMargins left="0.7" right="0.7" top="0.75" bottom="0.75" header="0.3" footer="0.3"/>
  <pageSetup orientation="portrait" horizontalDpi="0" verticalDpi="0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17</vt:i4>
      </vt:variant>
      <vt:variant>
        <vt:lpstr>Named Ranges</vt:lpstr>
      </vt:variant>
      <vt:variant>
        <vt:i4>3</vt:i4>
      </vt:variant>
    </vt:vector>
  </HeadingPairs>
  <TitlesOfParts>
    <vt:vector size="20" baseType="lpstr">
      <vt:lpstr>Study Data</vt:lpstr>
      <vt:lpstr>Definitions</vt:lpstr>
      <vt:lpstr>Client Summary</vt:lpstr>
      <vt:lpstr>27.5 Estimate</vt:lpstr>
      <vt:lpstr>39 Estimate</vt:lpstr>
      <vt:lpstr>Real Property</vt:lpstr>
      <vt:lpstr>15 yr</vt:lpstr>
      <vt:lpstr>5 yr</vt:lpstr>
      <vt:lpstr>Calculator</vt:lpstr>
      <vt:lpstr>Recovery Period Summary</vt:lpstr>
      <vt:lpstr>Real Property Final</vt:lpstr>
      <vt:lpstr>15 Years</vt:lpstr>
      <vt:lpstr>5 Years</vt:lpstr>
      <vt:lpstr>Estimator</vt:lpstr>
      <vt:lpstr>27.5-Year</vt:lpstr>
      <vt:lpstr>39-Year</vt:lpstr>
      <vt:lpstr>5,7,15-Year</vt:lpstr>
      <vt:lpstr>'27.5 Estimate'!Print_Area</vt:lpstr>
      <vt:lpstr>'39 Estimate'!Print_Area</vt:lpstr>
      <vt:lpstr>'Client Summary'!Print_Area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Dmitri Nuzhny</cp:lastModifiedBy>
  <cp:lastPrinted>2022-04-28T17:48:51Z</cp:lastPrinted>
  <dcterms:created xsi:type="dcterms:W3CDTF">2022-03-17T17:28:15Z</dcterms:created>
  <dcterms:modified xsi:type="dcterms:W3CDTF">2025-11-26T18:40:30Z</dcterms:modified>
</cp:coreProperties>
</file>