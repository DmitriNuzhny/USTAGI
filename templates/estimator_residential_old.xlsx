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3644\Documents\GitHub\USTAGI\templates\"/>
    </mc:Choice>
  </mc:AlternateContent>
  <xr:revisionPtr revIDLastSave="0" documentId="13_ncr:1_{4627F33A-1F57-458E-BF2A-95257720DDBF}" xr6:coauthVersionLast="47" xr6:coauthVersionMax="47" xr10:uidLastSave="{00000000-0000-0000-0000-000000000000}"/>
  <bookViews>
    <workbookView xWindow="-108" yWindow="-108" windowWidth="23256" windowHeight="12456" xr2:uid="{CBBDDAA1-EFA6-B743-AEA2-5D8D92C4BAFF}"/>
  </bookViews>
  <sheets>
    <sheet name="27.5 Estimate" sheetId="5" r:id="rId1"/>
  </sheets>
  <definedNames>
    <definedName name="_27_Year">#REF!</definedName>
    <definedName name="Accounting_Method">#REF!</definedName>
    <definedName name="Building_Use">#REF!</definedName>
    <definedName name="Business_Activity_Code">#REF!</definedName>
    <definedName name="Construction_Class">#REF!</definedName>
    <definedName name="Occupancy_Type">#REF!</definedName>
    <definedName name="_xlnm.Print_Area" localSheetId="0">'27.5 Estimate'!$A$1:$I$59</definedName>
    <definedName name="Roofing">#REF!</definedName>
    <definedName name="Siding">#REF!</definedName>
    <definedName name="Trade_Business">#REF!</definedName>
    <definedName name="Year_No.">_275_Year</definedName>
    <definedName name="Yes_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5" l="1"/>
  <c r="C17" i="5" l="1"/>
  <c r="F11" i="5" l="1"/>
  <c r="B27" i="5" s="1"/>
  <c r="G15" i="5" l="1"/>
  <c r="G13" i="5"/>
  <c r="G14" i="5" l="1"/>
  <c r="G17" i="5" l="1"/>
  <c r="G9" i="5"/>
  <c r="B28" i="5" l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G12" i="5" l="1"/>
  <c r="D13" i="5" s="1"/>
  <c r="G16" i="5" l="1"/>
  <c r="H32" i="5" l="1"/>
  <c r="H41" i="5"/>
  <c r="H50" i="5"/>
  <c r="H29" i="5"/>
  <c r="H38" i="5"/>
  <c r="H39" i="5"/>
  <c r="H49" i="5"/>
  <c r="H37" i="5"/>
  <c r="H46" i="5"/>
  <c r="H47" i="5"/>
  <c r="H48" i="5"/>
  <c r="H45" i="5"/>
  <c r="H54" i="5"/>
  <c r="H35" i="5"/>
  <c r="H44" i="5"/>
  <c r="H43" i="5"/>
  <c r="H33" i="5"/>
  <c r="H42" i="5"/>
  <c r="H34" i="5"/>
  <c r="H53" i="5"/>
  <c r="H36" i="5"/>
  <c r="H51" i="5"/>
  <c r="H28" i="5"/>
  <c r="H27" i="5"/>
  <c r="H52" i="5"/>
  <c r="H31" i="5"/>
  <c r="H55" i="5"/>
  <c r="H40" i="5"/>
  <c r="H30" i="5"/>
  <c r="H56" i="5" l="1"/>
  <c r="F50" i="5" l="1"/>
  <c r="G50" i="5" s="1"/>
  <c r="F33" i="5"/>
  <c r="F32" i="5"/>
  <c r="F41" i="5"/>
  <c r="F31" i="5"/>
  <c r="F40" i="5"/>
  <c r="F49" i="5"/>
  <c r="G49" i="5" s="1"/>
  <c r="F30" i="5"/>
  <c r="F39" i="5"/>
  <c r="F48" i="5"/>
  <c r="G48" i="5" s="1"/>
  <c r="F35" i="5"/>
  <c r="F36" i="5"/>
  <c r="F37" i="5"/>
  <c r="F46" i="5"/>
  <c r="G46" i="5" s="1"/>
  <c r="F55" i="5"/>
  <c r="G55" i="5" s="1"/>
  <c r="F43" i="5"/>
  <c r="G43" i="5" s="1"/>
  <c r="F44" i="5"/>
  <c r="G44" i="5" s="1"/>
  <c r="F54" i="5"/>
  <c r="G54" i="5" s="1"/>
  <c r="F42" i="5"/>
  <c r="F51" i="5"/>
  <c r="G51" i="5" s="1"/>
  <c r="F53" i="5"/>
  <c r="G53" i="5" s="1"/>
  <c r="F27" i="5"/>
  <c r="F34" i="5"/>
  <c r="F45" i="5"/>
  <c r="G45" i="5" s="1"/>
  <c r="F52" i="5"/>
  <c r="G52" i="5" s="1"/>
  <c r="F28" i="5"/>
  <c r="F29" i="5"/>
  <c r="F38" i="5"/>
  <c r="F47" i="5"/>
  <c r="G47" i="5" s="1"/>
  <c r="E37" i="5" l="1"/>
  <c r="G37" i="5" s="1"/>
  <c r="E36" i="5"/>
  <c r="G36" i="5" s="1"/>
  <c r="E29" i="5"/>
  <c r="E38" i="5"/>
  <c r="G38" i="5" s="1"/>
  <c r="E42" i="5"/>
  <c r="G42" i="5" s="1"/>
  <c r="C32" i="5"/>
  <c r="C31" i="5"/>
  <c r="D31" i="5"/>
  <c r="E32" i="5"/>
  <c r="C30" i="5"/>
  <c r="D29" i="5"/>
  <c r="E35" i="5"/>
  <c r="G35" i="5" s="1"/>
  <c r="D33" i="5"/>
  <c r="E41" i="5"/>
  <c r="G41" i="5" s="1"/>
  <c r="E28" i="5"/>
  <c r="D32" i="5"/>
  <c r="E33" i="5"/>
  <c r="E34" i="5"/>
  <c r="D34" i="5"/>
  <c r="D30" i="5"/>
  <c r="D28" i="5"/>
  <c r="E30" i="5"/>
  <c r="E40" i="5"/>
  <c r="G40" i="5" s="1"/>
  <c r="C28" i="5"/>
  <c r="C29" i="5"/>
  <c r="E31" i="5"/>
  <c r="E39" i="5"/>
  <c r="G39" i="5" s="1"/>
  <c r="F56" i="5"/>
  <c r="G33" i="5" l="1"/>
  <c r="G31" i="5"/>
  <c r="G29" i="5"/>
  <c r="G34" i="5"/>
  <c r="G30" i="5"/>
  <c r="G28" i="5"/>
  <c r="G32" i="5"/>
  <c r="E27" i="5"/>
  <c r="C27" i="5"/>
  <c r="D27" i="5"/>
  <c r="D56" i="5" l="1"/>
  <c r="G27" i="5"/>
  <c r="G22" i="5" s="1"/>
  <c r="G23" i="5" s="1"/>
  <c r="E56" i="5"/>
  <c r="C56" i="5"/>
  <c r="G56" i="5" l="1"/>
  <c r="G19" i="5"/>
  <c r="G20" i="5" s="1"/>
</calcChain>
</file>

<file path=xl/sharedStrings.xml><?xml version="1.0" encoding="utf-8"?>
<sst xmlns="http://schemas.openxmlformats.org/spreadsheetml/2006/main" count="24" uniqueCount="23">
  <si>
    <t>Property Address:</t>
  </si>
  <si>
    <t>Building Use:</t>
  </si>
  <si>
    <t>Estimated Additional Depreciation Expense:</t>
  </si>
  <si>
    <t>USTAGI estimates the following results of the Cost Segregation Study:</t>
  </si>
  <si>
    <t>Tax Year</t>
  </si>
  <si>
    <t>Total</t>
  </si>
  <si>
    <t>Land Allocation:</t>
  </si>
  <si>
    <t>Date Placed in Service:</t>
  </si>
  <si>
    <t>Cost Segregation Estimate</t>
  </si>
  <si>
    <t>US Tax Advisors Group, Inc. | 1220 Rosecrans St., Ste 542, San Diego, CA 92106 | (888) 263-1663 | info@ustagi.com</t>
  </si>
  <si>
    <t>Improvements included in the Study:</t>
  </si>
  <si>
    <t>Tax Savings Benefit at a 40% Income Tax Rate:</t>
  </si>
  <si>
    <t>Cost Basis:</t>
  </si>
  <si>
    <t>Basis for Cost Segregation:</t>
  </si>
  <si>
    <t>Building Basis:</t>
  </si>
  <si>
    <t>5 Years Depr.        with CSS</t>
  </si>
  <si>
    <t>7 Years Depr.        with CSS</t>
  </si>
  <si>
    <t>15 Years Depr.       with CSS</t>
  </si>
  <si>
    <t>Depr.               without CSS</t>
  </si>
  <si>
    <t>27.5 Years  Depr.   with CSS</t>
  </si>
  <si>
    <t>Per Depreciation Schedule</t>
  </si>
  <si>
    <t>Depr.                        with CSS</t>
  </si>
  <si>
    <t>Total Accelerated: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</si>
</sst>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&quot;$&quot;#,##0"/>
    <numFmt numFmtId="166" formatCode="_([$$-409]* #,##0.00_);_([$$-409]* \(#,##0.00\);_([$$-409]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theme="6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0" fontId="13" fillId="0" borderId="0"/>
    <xf numFmtId="43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/>
    <xf numFmtId="0" fontId="2" fillId="0" borderId="0" xfId="1" applyAlignment="1">
      <alignment wrapText="1"/>
    </xf>
    <xf numFmtId="0" fontId="4" fillId="0" borderId="0" xfId="1" applyFont="1" applyAlignment="1">
      <alignment wrapText="1"/>
    </xf>
    <xf numFmtId="0" fontId="2" fillId="0" borderId="0" xfId="1" applyAlignment="1">
      <alignment horizontal="center" vertical="center" wrapText="1"/>
    </xf>
    <xf numFmtId="0" fontId="5" fillId="0" borderId="0" xfId="1" applyFont="1" applyAlignment="1">
      <alignment wrapText="1"/>
    </xf>
    <xf numFmtId="0" fontId="5" fillId="0" borderId="0" xfId="1" applyFont="1"/>
    <xf numFmtId="0" fontId="8" fillId="0" borderId="0" xfId="1" applyFont="1" applyAlignment="1">
      <alignment wrapText="1"/>
    </xf>
    <xf numFmtId="0" fontId="7" fillId="0" borderId="0" xfId="1" applyFont="1" applyAlignment="1">
      <alignment wrapText="1"/>
    </xf>
    <xf numFmtId="0" fontId="7" fillId="0" borderId="0" xfId="1" applyFont="1"/>
    <xf numFmtId="0" fontId="8" fillId="0" borderId="0" xfId="1" applyFont="1"/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right" vertical="center"/>
    </xf>
    <xf numFmtId="10" fontId="8" fillId="0" borderId="0" xfId="1" applyNumberFormat="1" applyFont="1" applyAlignment="1">
      <alignment vertical="center"/>
    </xf>
    <xf numFmtId="6" fontId="8" fillId="0" borderId="0" xfId="1" applyNumberFormat="1" applyFont="1" applyAlignment="1">
      <alignment horizontal="left" vertical="center"/>
    </xf>
    <xf numFmtId="165" fontId="8" fillId="0" borderId="0" xfId="1" applyNumberFormat="1" applyFont="1" applyAlignment="1">
      <alignment horizontal="right" vertical="center"/>
    </xf>
    <xf numFmtId="0" fontId="10" fillId="3" borderId="0" xfId="0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5" borderId="0" xfId="1" applyFont="1" applyFill="1" applyAlignment="1">
      <alignment horizontal="center" vertical="center"/>
    </xf>
    <xf numFmtId="166" fontId="8" fillId="5" borderId="0" xfId="2" applyNumberFormat="1" applyFont="1" applyFill="1" applyBorder="1" applyAlignment="1">
      <alignment vertical="center"/>
    </xf>
    <xf numFmtId="166" fontId="8" fillId="5" borderId="0" xfId="1" applyNumberFormat="1" applyFont="1" applyFill="1" applyAlignment="1">
      <alignment vertical="center"/>
    </xf>
    <xf numFmtId="0" fontId="8" fillId="4" borderId="0" xfId="1" applyFont="1" applyFill="1" applyAlignment="1">
      <alignment horizontal="center" vertical="center"/>
    </xf>
    <xf numFmtId="166" fontId="8" fillId="4" borderId="0" xfId="2" applyNumberFormat="1" applyFont="1" applyFill="1" applyBorder="1" applyAlignment="1">
      <alignment vertical="center"/>
    </xf>
    <xf numFmtId="166" fontId="8" fillId="4" borderId="0" xfId="1" applyNumberFormat="1" applyFont="1" applyFill="1" applyAlignment="1">
      <alignment vertical="center"/>
    </xf>
    <xf numFmtId="0" fontId="8" fillId="6" borderId="0" xfId="1" applyFont="1" applyFill="1" applyAlignment="1">
      <alignment horizontal="center" vertical="center"/>
    </xf>
    <xf numFmtId="166" fontId="8" fillId="6" borderId="0" xfId="1" applyNumberFormat="1" applyFont="1" applyFill="1" applyAlignment="1">
      <alignment vertical="center"/>
    </xf>
    <xf numFmtId="166" fontId="11" fillId="4" borderId="0" xfId="1" applyNumberFormat="1" applyFont="1" applyFill="1" applyAlignment="1">
      <alignment vertical="center"/>
    </xf>
    <xf numFmtId="0" fontId="9" fillId="4" borderId="0" xfId="1" applyFont="1" applyFill="1" applyAlignment="1">
      <alignment horizontal="center" vertical="center" wrapText="1"/>
    </xf>
    <xf numFmtId="166" fontId="9" fillId="4" borderId="0" xfId="1" applyNumberFormat="1" applyFont="1" applyFill="1" applyAlignment="1">
      <alignment vertical="center" wrapText="1"/>
    </xf>
    <xf numFmtId="0" fontId="9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8" fillId="0" borderId="0" xfId="1" applyFont="1" applyAlignment="1">
      <alignment horizontal="left" vertical="center"/>
    </xf>
    <xf numFmtId="0" fontId="5" fillId="0" borderId="0" xfId="1" applyFont="1" applyAlignment="1">
      <alignment vertical="center" wrapText="1"/>
    </xf>
    <xf numFmtId="0" fontId="8" fillId="0" borderId="0" xfId="3" applyFont="1"/>
    <xf numFmtId="0" fontId="1" fillId="0" borderId="0" xfId="3"/>
    <xf numFmtId="0" fontId="8" fillId="0" borderId="0" xfId="3" applyFont="1" applyAlignment="1">
      <alignment horizontal="left"/>
    </xf>
    <xf numFmtId="166" fontId="9" fillId="5" borderId="0" xfId="1" applyNumberFormat="1" applyFont="1" applyFill="1" applyAlignment="1">
      <alignment horizontal="center" vertical="center"/>
    </xf>
    <xf numFmtId="166" fontId="9" fillId="4" borderId="0" xfId="1" applyNumberFormat="1" applyFont="1" applyFill="1" applyAlignment="1">
      <alignment horizontal="center" vertical="center"/>
    </xf>
    <xf numFmtId="166" fontId="9" fillId="6" borderId="0" xfId="1" applyNumberFormat="1" applyFont="1" applyFill="1" applyAlignment="1">
      <alignment horizontal="center" vertical="center"/>
    </xf>
    <xf numFmtId="0" fontId="1" fillId="0" borderId="0" xfId="3" applyAlignment="1">
      <alignment wrapText="1"/>
    </xf>
    <xf numFmtId="0" fontId="1" fillId="0" borderId="0" xfId="3" applyAlignment="1">
      <alignment horizontal="center" vertical="center" wrapText="1"/>
    </xf>
    <xf numFmtId="0" fontId="4" fillId="0" borderId="0" xfId="3" applyFont="1" applyAlignment="1">
      <alignment wrapText="1"/>
    </xf>
    <xf numFmtId="0" fontId="8" fillId="5" borderId="0" xfId="1" applyFont="1" applyFill="1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0" fontId="8" fillId="0" borderId="0" xfId="3" applyNumberFormat="1" applyFont="1" applyAlignment="1">
      <alignment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3" fillId="3" borderId="0" xfId="1" applyFont="1" applyFill="1" applyAlignment="1">
      <alignment horizontal="center" vertical="center" wrapText="1"/>
    </xf>
    <xf numFmtId="164" fontId="8" fillId="0" borderId="0" xfId="1" applyNumberFormat="1" applyFont="1" applyAlignment="1">
      <alignment vertical="center"/>
    </xf>
  </cellXfs>
  <cellStyles count="9">
    <cellStyle name="Comma 2" xfId="5" xr:uid="{6CFF9C4B-C8FC-D940-B46A-714B356E776D}"/>
    <cellStyle name="Currency 2" xfId="2" xr:uid="{09073356-2124-5F44-9CD5-74F3A7992795}"/>
    <cellStyle name="Currency 2 2" xfId="8" xr:uid="{6AC78EFF-AD42-C94C-8234-1D3B5569E59B}"/>
    <cellStyle name="Currency 3" xfId="7" xr:uid="{F336A41A-AD04-9146-A31C-4005C8E5196C}"/>
    <cellStyle name="Normal" xfId="0" builtinId="0"/>
    <cellStyle name="Normal 2" xfId="1" xr:uid="{0B419F3E-7E1A-7B4F-9319-21D265F06AB3}"/>
    <cellStyle name="Normal 2 2" xfId="3" xr:uid="{07F7AFA5-45B8-7E4E-971A-BAC6F49884D1}"/>
    <cellStyle name="Normal 3" xfId="4" xr:uid="{591E3FF4-CBBD-F947-BFBA-C5F1ED48548D}"/>
    <cellStyle name="Percent 2" xfId="6" xr:uid="{7BF01EE4-9F33-6647-AE77-1F215A1B61C4}"/>
  </cellStyles>
  <dxfs count="1">
    <dxf>
      <fill>
        <patternFill patternType="solid">
          <fgColor theme="6"/>
        </patternFill>
      </fill>
    </dxf>
  </dxfs>
  <tableStyles count="1" defaultTableStyle="TableStyleMedium2" defaultPivotStyle="PivotStyleLight16">
    <tableStyle name="Table Style 1" pivot="0" count="1" xr9:uid="{BEBC39DB-13A7-8941-9C39-480FAAC01518}">
      <tableStyleElement type="wholeTable" dxfId="0"/>
    </tableStyle>
  </tableStyles>
  <colors>
    <mruColors>
      <color rgb="FF3378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462011</xdr:colOff>
      <xdr:row>0</xdr:row>
      <xdr:rowOff>5</xdr:rowOff>
    </xdr:from>
    <xdr:to>
      <xdr:col>5</xdr:col>
      <xdr:colOff>719090</xdr:colOff>
      <xdr:row>6</xdr:row>
      <xdr:rowOff>41238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8890ED-FD0C-46A1-B081-B84B77701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5211" y="5"/>
          <a:ext cx="2619279" cy="1152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FC08-781B-1C4B-A8A4-6FCDF2876ABF}">
  <sheetPr codeName="Sheet5">
    <pageSetUpPr fitToPage="1"/>
  </sheetPr>
  <dimension ref="A1:N69"/>
  <sheetViews>
    <sheetView showGridLines="0" tabSelected="1" zoomScale="120" zoomScaleNormal="120" zoomScalePageLayoutView="140" workbookViewId="0">
      <selection activeCell="I13" sqref="I13"/>
    </sheetView>
  </sheetViews>
  <sheetFormatPr defaultColWidth="8.796875" defaultRowHeight="14.4" x14ac:dyDescent="0.3"/>
  <cols>
    <col min="1" max="1" width="5" style="41" customWidth="1"/>
    <col min="2" max="8" width="15.5" style="34" customWidth="1"/>
    <col min="9" max="9" width="5" style="41" customWidth="1"/>
    <col min="10" max="13" width="8.796875" style="5"/>
    <col min="14" max="16384" width="8.796875" style="2"/>
  </cols>
  <sheetData>
    <row r="1" spans="1:14" x14ac:dyDescent="0.3">
      <c r="B1" s="50"/>
      <c r="C1" s="50"/>
      <c r="D1" s="50"/>
      <c r="E1" s="50"/>
      <c r="F1" s="50"/>
      <c r="G1" s="50"/>
      <c r="H1" s="50"/>
    </row>
    <row r="2" spans="1:14" x14ac:dyDescent="0.3">
      <c r="B2" s="50"/>
      <c r="C2" s="50"/>
      <c r="D2" s="50"/>
      <c r="E2" s="50"/>
      <c r="F2" s="50"/>
      <c r="G2" s="50"/>
      <c r="H2" s="50"/>
    </row>
    <row r="3" spans="1:14" x14ac:dyDescent="0.3">
      <c r="B3" s="50"/>
      <c r="C3" s="50"/>
      <c r="D3" s="50"/>
      <c r="E3" s="50"/>
      <c r="F3" s="50"/>
      <c r="G3" s="50"/>
      <c r="H3" s="50"/>
    </row>
    <row r="4" spans="1:14" s="1" customFormat="1" x14ac:dyDescent="0.3">
      <c r="A4" s="36"/>
      <c r="B4" s="50"/>
      <c r="C4" s="50"/>
      <c r="D4" s="50"/>
      <c r="E4" s="50"/>
      <c r="F4" s="50"/>
      <c r="G4" s="50"/>
      <c r="H4" s="50"/>
      <c r="I4" s="36"/>
      <c r="J4" s="6"/>
      <c r="K4" s="6"/>
      <c r="L4" s="6"/>
      <c r="M4" s="6"/>
    </row>
    <row r="5" spans="1:14" s="1" customFormat="1" x14ac:dyDescent="0.3">
      <c r="A5" s="36"/>
      <c r="B5" s="50"/>
      <c r="C5" s="50"/>
      <c r="D5" s="50"/>
      <c r="E5" s="50"/>
      <c r="F5" s="50"/>
      <c r="G5" s="50"/>
      <c r="H5" s="50"/>
      <c r="I5" s="36"/>
      <c r="J5" s="6"/>
      <c r="K5" s="6"/>
      <c r="L5" s="6"/>
      <c r="M5" s="6"/>
    </row>
    <row r="6" spans="1:14" s="1" customFormat="1" ht="15" customHeight="1" x14ac:dyDescent="0.3">
      <c r="A6" s="36"/>
      <c r="B6" s="34"/>
      <c r="C6" s="34"/>
      <c r="D6" s="34"/>
      <c r="E6" s="34"/>
      <c r="F6" s="34"/>
      <c r="G6" s="34"/>
      <c r="H6" s="34"/>
      <c r="I6" s="36"/>
      <c r="J6" s="6"/>
      <c r="K6" s="6"/>
      <c r="L6" s="6"/>
      <c r="M6" s="6"/>
    </row>
    <row r="7" spans="1:14" ht="39" customHeight="1" x14ac:dyDescent="0.3">
      <c r="B7" s="53" t="s">
        <v>8</v>
      </c>
      <c r="C7" s="53"/>
      <c r="D7" s="53"/>
      <c r="E7" s="53"/>
      <c r="F7" s="53"/>
      <c r="G7" s="53"/>
      <c r="H7" s="53"/>
    </row>
    <row r="8" spans="1:14" s="1" customFormat="1" ht="15" customHeight="1" x14ac:dyDescent="0.3">
      <c r="A8" s="36"/>
      <c r="B8" s="12"/>
      <c r="C8" s="12"/>
      <c r="D8" s="12"/>
      <c r="E8" s="12"/>
      <c r="F8" s="12"/>
      <c r="G8" s="12"/>
      <c r="H8" s="12"/>
      <c r="I8" s="36"/>
      <c r="J8" s="10"/>
      <c r="K8" s="10"/>
      <c r="L8" s="10"/>
      <c r="M8" s="10"/>
      <c r="N8" s="9"/>
    </row>
    <row r="9" spans="1:14" ht="15" customHeight="1" x14ac:dyDescent="0.3">
      <c r="B9" s="11"/>
      <c r="C9" s="11" t="s">
        <v>0</v>
      </c>
      <c r="D9" s="11"/>
      <c r="E9" s="11"/>
      <c r="G9" s="13" t="e">
        <f>#REF!</f>
        <v>#REF!</v>
      </c>
      <c r="H9" s="12"/>
      <c r="J9" s="7"/>
      <c r="K9" s="7"/>
      <c r="L9" s="7"/>
      <c r="M9" s="7"/>
      <c r="N9" s="8"/>
    </row>
    <row r="10" spans="1:14" ht="15" customHeight="1" x14ac:dyDescent="0.3">
      <c r="B10" s="11"/>
      <c r="C10" s="10" t="s">
        <v>1</v>
      </c>
      <c r="D10" s="11"/>
      <c r="E10" s="11"/>
      <c r="G10" s="13" t="e">
        <f>_xlfn.XLOOKUP(#REF!,#REF!,#REF!,0,0,1)</f>
        <v>#REF!</v>
      </c>
      <c r="H10" s="12"/>
      <c r="J10" s="7"/>
      <c r="K10" s="7"/>
      <c r="L10" s="7"/>
      <c r="M10" s="7"/>
      <c r="N10" s="8"/>
    </row>
    <row r="11" spans="1:14" ht="16.05" customHeight="1" x14ac:dyDescent="0.3">
      <c r="B11" s="11"/>
      <c r="C11" s="11" t="s">
        <v>7</v>
      </c>
      <c r="D11" s="11"/>
      <c r="E11" s="11"/>
      <c r="F11" s="54" t="e">
        <f>#REF!</f>
        <v>#REF!</v>
      </c>
      <c r="G11" s="54"/>
      <c r="H11" s="12"/>
      <c r="J11" s="7"/>
      <c r="K11" s="7"/>
      <c r="L11" s="7"/>
      <c r="M11" s="7"/>
      <c r="N11" s="8"/>
    </row>
    <row r="12" spans="1:14" x14ac:dyDescent="0.3">
      <c r="B12" s="11"/>
      <c r="C12" s="37" t="s">
        <v>12</v>
      </c>
      <c r="D12" s="33"/>
      <c r="E12" s="33"/>
      <c r="G12" s="16" t="e">
        <f>#REF!</f>
        <v>#REF!</v>
      </c>
      <c r="H12" s="12"/>
      <c r="J12" s="7"/>
      <c r="K12" s="7"/>
      <c r="L12" s="7"/>
      <c r="M12" s="7"/>
      <c r="N12" s="8"/>
    </row>
    <row r="13" spans="1:14" x14ac:dyDescent="0.3">
      <c r="B13" s="11"/>
      <c r="C13" s="37" t="s">
        <v>6</v>
      </c>
      <c r="D13" s="47" t="str">
        <f>IFERROR(G13/G12,"")</f>
        <v/>
      </c>
      <c r="E13" s="48" t="s">
        <v>20</v>
      </c>
      <c r="G13" s="16" t="e">
        <f>#REF!</f>
        <v>#REF!</v>
      </c>
      <c r="H13" s="12"/>
      <c r="J13" s="7"/>
      <c r="K13" s="7"/>
      <c r="L13" s="7"/>
      <c r="M13" s="7"/>
      <c r="N13" s="8"/>
    </row>
    <row r="14" spans="1:14" x14ac:dyDescent="0.3">
      <c r="B14" s="11"/>
      <c r="C14" s="35" t="s">
        <v>14</v>
      </c>
      <c r="D14" s="14"/>
      <c r="E14" s="11"/>
      <c r="G14" s="16" t="e">
        <f>#REF!</f>
        <v>#REF!</v>
      </c>
      <c r="H14" s="12"/>
      <c r="J14" s="7"/>
      <c r="K14" s="7"/>
      <c r="L14" s="7"/>
      <c r="M14" s="7"/>
      <c r="N14" s="8"/>
    </row>
    <row r="15" spans="1:14" x14ac:dyDescent="0.3">
      <c r="B15" s="11"/>
      <c r="C15" s="37" t="s">
        <v>10</v>
      </c>
      <c r="D15" s="14"/>
      <c r="E15" s="11"/>
      <c r="G15" s="16" t="e">
        <f>#REF!</f>
        <v>#REF!</v>
      </c>
      <c r="H15" s="12"/>
      <c r="J15" s="7"/>
      <c r="K15" s="7"/>
      <c r="L15" s="7"/>
      <c r="M15" s="7"/>
      <c r="N15" s="8"/>
    </row>
    <row r="16" spans="1:14" x14ac:dyDescent="0.3">
      <c r="B16" s="11"/>
      <c r="C16" s="35" t="s">
        <v>13</v>
      </c>
      <c r="D16" s="33"/>
      <c r="E16" s="33"/>
      <c r="G16" s="16" t="e">
        <f>#REF!</f>
        <v>#REF!</v>
      </c>
      <c r="H16" s="12"/>
      <c r="J16" s="7"/>
      <c r="K16" s="7"/>
      <c r="L16" s="7"/>
      <c r="M16" s="7"/>
      <c r="N16" s="8"/>
    </row>
    <row r="17" spans="1:14" x14ac:dyDescent="0.3">
      <c r="B17" s="11"/>
      <c r="C17" s="11" t="e">
        <f>"Accumulated Depreciation as of 12/31/"&amp;#REF!-1&amp;":"</f>
        <v>#REF!</v>
      </c>
      <c r="D17" s="33"/>
      <c r="E17" s="33"/>
      <c r="G17" s="16" t="e">
        <f>#REF!</f>
        <v>#REF!</v>
      </c>
      <c r="H17" s="12"/>
      <c r="J17" s="7"/>
      <c r="K17" s="7"/>
      <c r="L17" s="7"/>
      <c r="M17" s="7"/>
      <c r="N17" s="8"/>
    </row>
    <row r="18" spans="1:14" ht="15" customHeight="1" x14ac:dyDescent="0.3">
      <c r="B18" s="11"/>
      <c r="C18" s="52"/>
      <c r="D18" s="52"/>
      <c r="E18" s="52"/>
      <c r="G18" s="16"/>
      <c r="H18" s="12"/>
      <c r="J18" s="7"/>
      <c r="K18" s="7"/>
      <c r="L18" s="7"/>
      <c r="M18" s="7"/>
      <c r="N18" s="8"/>
    </row>
    <row r="19" spans="1:14" ht="15" customHeight="1" x14ac:dyDescent="0.3">
      <c r="B19" s="11"/>
      <c r="C19" s="49" t="s">
        <v>22</v>
      </c>
      <c r="D19" s="33"/>
      <c r="E19" s="33"/>
      <c r="G19" s="16" t="e">
        <f>SUM($C$56:$E$56)</f>
        <v>#REF!</v>
      </c>
      <c r="H19" s="12"/>
      <c r="J19" s="7"/>
      <c r="K19" s="7"/>
      <c r="L19" s="7"/>
      <c r="M19" s="7"/>
      <c r="N19" s="8"/>
    </row>
    <row r="20" spans="1:14" ht="15" customHeight="1" x14ac:dyDescent="0.3">
      <c r="B20" s="11"/>
      <c r="C20" s="49" t="s">
        <v>11</v>
      </c>
      <c r="D20" s="33"/>
      <c r="E20" s="33"/>
      <c r="G20" s="16" t="e">
        <f>$G$19*40%</f>
        <v>#REF!</v>
      </c>
      <c r="H20" s="12"/>
      <c r="J20" s="7"/>
      <c r="K20" s="7"/>
      <c r="L20" s="7"/>
      <c r="M20" s="7"/>
      <c r="N20" s="8"/>
    </row>
    <row r="21" spans="1:14" ht="15" customHeight="1" x14ac:dyDescent="0.3">
      <c r="B21" s="11"/>
      <c r="C21" s="33"/>
      <c r="D21" s="33"/>
      <c r="E21" s="33"/>
      <c r="G21" s="16"/>
      <c r="H21" s="12"/>
      <c r="J21" s="7"/>
      <c r="K21" s="7"/>
      <c r="L21" s="7"/>
      <c r="M21" s="7"/>
      <c r="N21" s="8"/>
    </row>
    <row r="22" spans="1:14" ht="15" customHeight="1" x14ac:dyDescent="0.3">
      <c r="B22" s="11"/>
      <c r="C22" s="33" t="s">
        <v>2</v>
      </c>
      <c r="D22" s="33"/>
      <c r="E22" s="33"/>
      <c r="G22" s="16" t="e">
        <f>SUMIFS($G$27:$G$55,$B$27:$B$55,"&lt;"&amp;#REF!)-IF($G$17=0,SUMIFS($H$27:$H$55,$B$27:$B$55,"&lt;"&amp;#REF!),'27.5 Estimate'!$G$17)</f>
        <v>#REF!</v>
      </c>
      <c r="H22" s="12"/>
      <c r="J22" s="7"/>
      <c r="K22" s="7"/>
      <c r="L22" s="7"/>
      <c r="M22" s="7"/>
      <c r="N22" s="8"/>
    </row>
    <row r="23" spans="1:14" ht="15" customHeight="1" x14ac:dyDescent="0.3">
      <c r="B23" s="11"/>
      <c r="C23" s="33" t="s">
        <v>11</v>
      </c>
      <c r="D23" s="33"/>
      <c r="E23" s="33"/>
      <c r="G23" s="16" t="e">
        <f>$G$22*40%</f>
        <v>#REF!</v>
      </c>
      <c r="H23" s="12"/>
      <c r="J23" s="7"/>
      <c r="K23" s="7"/>
      <c r="L23" s="7"/>
      <c r="M23" s="7"/>
      <c r="N23" s="8"/>
    </row>
    <row r="24" spans="1:14" ht="15" customHeight="1" x14ac:dyDescent="0.3">
      <c r="B24" s="11"/>
      <c r="C24" s="33"/>
      <c r="D24" s="33"/>
      <c r="E24" s="33"/>
      <c r="F24" s="15"/>
      <c r="G24" s="12"/>
      <c r="H24" s="12"/>
      <c r="J24" s="7"/>
      <c r="K24" s="7"/>
      <c r="L24" s="7"/>
      <c r="M24" s="7"/>
      <c r="N24" s="8"/>
    </row>
    <row r="25" spans="1:14" ht="12" customHeight="1" x14ac:dyDescent="0.3">
      <c r="B25" s="11" t="s">
        <v>3</v>
      </c>
      <c r="C25" s="11"/>
      <c r="D25" s="11"/>
      <c r="E25" s="11"/>
      <c r="F25" s="11"/>
      <c r="G25" s="12"/>
      <c r="H25" s="12"/>
      <c r="J25" s="7"/>
      <c r="K25" s="7"/>
      <c r="L25" s="7"/>
      <c r="M25" s="7"/>
      <c r="N25" s="8"/>
    </row>
    <row r="26" spans="1:14" s="4" customFormat="1" ht="24" x14ac:dyDescent="0.3">
      <c r="A26" s="42"/>
      <c r="B26" s="17" t="s">
        <v>4</v>
      </c>
      <c r="C26" s="17" t="s">
        <v>15</v>
      </c>
      <c r="D26" s="17" t="s">
        <v>16</v>
      </c>
      <c r="E26" s="17" t="s">
        <v>17</v>
      </c>
      <c r="F26" s="17" t="s">
        <v>19</v>
      </c>
      <c r="G26" s="45" t="s">
        <v>21</v>
      </c>
      <c r="H26" s="46" t="s">
        <v>18</v>
      </c>
      <c r="I26" s="44"/>
      <c r="J26" s="44"/>
      <c r="K26" s="44"/>
      <c r="L26" s="44"/>
      <c r="M26" s="18"/>
      <c r="N26" s="19"/>
    </row>
    <row r="27" spans="1:14" x14ac:dyDescent="0.3">
      <c r="B27" s="20" t="e">
        <f>YEAR($F$11)</f>
        <v>#REF!</v>
      </c>
      <c r="C27" s="21" t="e">
        <f>IF(#REF!="Residential",#REF!,0)</f>
        <v>#REF!</v>
      </c>
      <c r="D27" s="21" t="e">
        <f>IF(#REF!="Residential",#REF!,0)</f>
        <v>#REF!</v>
      </c>
      <c r="E27" s="22" t="e">
        <f>IF(#REF!="Residential",#REF!,0)</f>
        <v>#REF!</v>
      </c>
      <c r="F27" s="22" t="e">
        <f>#REF!</f>
        <v>#REF!</v>
      </c>
      <c r="G27" s="38" t="e">
        <f t="shared" ref="G27:G55" si="0">SUM(C27:F27)</f>
        <v>#REF!</v>
      </c>
      <c r="H27" s="38" t="e">
        <f>#REF!</f>
        <v>#REF!</v>
      </c>
      <c r="J27" s="7"/>
      <c r="K27" s="7"/>
      <c r="L27" s="7"/>
      <c r="M27" s="7"/>
      <c r="N27" s="8"/>
    </row>
    <row r="28" spans="1:14" x14ac:dyDescent="0.3">
      <c r="B28" s="23" t="e">
        <f>B27+1</f>
        <v>#REF!</v>
      </c>
      <c r="C28" s="24" t="e">
        <f>IF(#REF!="Residential",#REF!,0)</f>
        <v>#REF!</v>
      </c>
      <c r="D28" s="24" t="e">
        <f>IF(#REF!="Residential",#REF!,0)</f>
        <v>#REF!</v>
      </c>
      <c r="E28" s="25" t="e">
        <f>IF(#REF!="Residential",#REF!,0)</f>
        <v>#REF!</v>
      </c>
      <c r="F28" s="25" t="e">
        <f>#REF!</f>
        <v>#REF!</v>
      </c>
      <c r="G28" s="39" t="e">
        <f t="shared" si="0"/>
        <v>#REF!</v>
      </c>
      <c r="H28" s="39" t="e">
        <f>#REF!</f>
        <v>#REF!</v>
      </c>
      <c r="J28" s="7"/>
      <c r="K28" s="7"/>
      <c r="L28" s="7"/>
      <c r="M28" s="7"/>
      <c r="N28" s="8"/>
    </row>
    <row r="29" spans="1:14" x14ac:dyDescent="0.3">
      <c r="B29" s="26" t="e">
        <f t="shared" ref="B29:B55" si="1">B28+1</f>
        <v>#REF!</v>
      </c>
      <c r="C29" s="21" t="e">
        <f>IF(#REF!="Residential",#REF!,0)</f>
        <v>#REF!</v>
      </c>
      <c r="D29" s="27" t="e">
        <f>IF(#REF!="Residential",#REF!,0)</f>
        <v>#REF!</v>
      </c>
      <c r="E29" s="27" t="e">
        <f>IF(#REF!="Residential",#REF!,0)</f>
        <v>#REF!</v>
      </c>
      <c r="F29" s="27" t="e">
        <f>#REF!</f>
        <v>#REF!</v>
      </c>
      <c r="G29" s="40" t="e">
        <f t="shared" si="0"/>
        <v>#REF!</v>
      </c>
      <c r="H29" s="40" t="e">
        <f>#REF!</f>
        <v>#REF!</v>
      </c>
      <c r="J29" s="7"/>
      <c r="K29" s="7"/>
      <c r="L29" s="7"/>
      <c r="M29" s="7"/>
      <c r="N29" s="8"/>
    </row>
    <row r="30" spans="1:14" ht="16.05" customHeight="1" x14ac:dyDescent="0.3">
      <c r="B30" s="23" t="e">
        <f t="shared" si="1"/>
        <v>#REF!</v>
      </c>
      <c r="C30" s="24" t="e">
        <f>IF(#REF!="Residential",#REF!,0)</f>
        <v>#REF!</v>
      </c>
      <c r="D30" s="25" t="e">
        <f>IF(#REF!="Residential",#REF!,0)</f>
        <v>#REF!</v>
      </c>
      <c r="E30" s="25" t="e">
        <f>IF(#REF!="Residential",#REF!,0)</f>
        <v>#REF!</v>
      </c>
      <c r="F30" s="25" t="e">
        <f>#REF!</f>
        <v>#REF!</v>
      </c>
      <c r="G30" s="39" t="e">
        <f t="shared" si="0"/>
        <v>#REF!</v>
      </c>
      <c r="H30" s="39" t="e">
        <f>#REF!</f>
        <v>#REF!</v>
      </c>
      <c r="J30" s="7"/>
      <c r="K30" s="7"/>
      <c r="L30" s="7"/>
      <c r="M30" s="7"/>
      <c r="N30" s="8"/>
    </row>
    <row r="31" spans="1:14" x14ac:dyDescent="0.3">
      <c r="B31" s="20" t="e">
        <f t="shared" si="1"/>
        <v>#REF!</v>
      </c>
      <c r="C31" s="21" t="e">
        <f>IF(#REF!="Residential",#REF!,0)</f>
        <v>#REF!</v>
      </c>
      <c r="D31" s="27" t="e">
        <f>IF(#REF!="Residential",#REF!,0)</f>
        <v>#REF!</v>
      </c>
      <c r="E31" s="27" t="e">
        <f>IF(#REF!="Residential",#REF!,0)</f>
        <v>#REF!</v>
      </c>
      <c r="F31" s="27" t="e">
        <f>#REF!</f>
        <v>#REF!</v>
      </c>
      <c r="G31" s="40" t="e">
        <f t="shared" si="0"/>
        <v>#REF!</v>
      </c>
      <c r="H31" s="40" t="e">
        <f>#REF!</f>
        <v>#REF!</v>
      </c>
      <c r="J31" s="7"/>
      <c r="K31" s="7"/>
      <c r="L31" s="7"/>
      <c r="M31" s="7"/>
      <c r="N31" s="8"/>
    </row>
    <row r="32" spans="1:14" x14ac:dyDescent="0.3">
      <c r="B32" s="23" t="e">
        <f t="shared" si="1"/>
        <v>#REF!</v>
      </c>
      <c r="C32" s="24" t="e">
        <f>IF(#REF!="Residential",#REF!,0)</f>
        <v>#REF!</v>
      </c>
      <c r="D32" s="28" t="e">
        <f>IF(#REF!="Residential",#REF!,0)</f>
        <v>#REF!</v>
      </c>
      <c r="E32" s="28" t="e">
        <f>IF(#REF!="Residential",#REF!,0)</f>
        <v>#REF!</v>
      </c>
      <c r="F32" s="25" t="e">
        <f>#REF!</f>
        <v>#REF!</v>
      </c>
      <c r="G32" s="39" t="e">
        <f t="shared" si="0"/>
        <v>#REF!</v>
      </c>
      <c r="H32" s="39" t="e">
        <f>#REF!</f>
        <v>#REF!</v>
      </c>
      <c r="J32" s="7"/>
      <c r="K32" s="7"/>
      <c r="L32" s="7"/>
      <c r="M32" s="7"/>
      <c r="N32" s="8"/>
    </row>
    <row r="33" spans="2:14" x14ac:dyDescent="0.3">
      <c r="B33" s="26" t="e">
        <f t="shared" si="1"/>
        <v>#REF!</v>
      </c>
      <c r="C33" s="27"/>
      <c r="D33" s="27" t="e">
        <f>IF(#REF!="Residential",#REF!,0)</f>
        <v>#REF!</v>
      </c>
      <c r="E33" s="27" t="e">
        <f>IF(#REF!="Residential",#REF!,0)</f>
        <v>#REF!</v>
      </c>
      <c r="F33" s="27" t="e">
        <f>#REF!</f>
        <v>#REF!</v>
      </c>
      <c r="G33" s="40" t="e">
        <f t="shared" si="0"/>
        <v>#REF!</v>
      </c>
      <c r="H33" s="40" t="e">
        <f>#REF!</f>
        <v>#REF!</v>
      </c>
      <c r="J33" s="7"/>
      <c r="K33" s="7"/>
      <c r="L33" s="7"/>
      <c r="M33" s="7"/>
      <c r="N33" s="8"/>
    </row>
    <row r="34" spans="2:14" x14ac:dyDescent="0.3">
      <c r="B34" s="23" t="e">
        <f t="shared" si="1"/>
        <v>#REF!</v>
      </c>
      <c r="C34" s="28"/>
      <c r="D34" s="28" t="e">
        <f>IF(#REF!="Residential",#REF!,0)</f>
        <v>#REF!</v>
      </c>
      <c r="E34" s="28" t="e">
        <f>IF(#REF!="Residential",#REF!,0)</f>
        <v>#REF!</v>
      </c>
      <c r="F34" s="25" t="e">
        <f>#REF!</f>
        <v>#REF!</v>
      </c>
      <c r="G34" s="39" t="e">
        <f t="shared" si="0"/>
        <v>#REF!</v>
      </c>
      <c r="H34" s="39" t="e">
        <f>#REF!</f>
        <v>#REF!</v>
      </c>
      <c r="J34" s="7"/>
      <c r="K34" s="7"/>
      <c r="L34" s="7"/>
      <c r="M34" s="7"/>
      <c r="N34" s="8"/>
    </row>
    <row r="35" spans="2:14" x14ac:dyDescent="0.3">
      <c r="B35" s="20" t="e">
        <f t="shared" si="1"/>
        <v>#REF!</v>
      </c>
      <c r="C35" s="27"/>
      <c r="D35" s="27"/>
      <c r="E35" s="27" t="e">
        <f>IF(#REF!="Residential",#REF!,0)</f>
        <v>#REF!</v>
      </c>
      <c r="F35" s="27" t="e">
        <f>#REF!</f>
        <v>#REF!</v>
      </c>
      <c r="G35" s="40" t="e">
        <f t="shared" si="0"/>
        <v>#REF!</v>
      </c>
      <c r="H35" s="40" t="e">
        <f>#REF!</f>
        <v>#REF!</v>
      </c>
      <c r="J35" s="7"/>
      <c r="K35" s="7"/>
      <c r="L35" s="7"/>
      <c r="M35" s="7"/>
      <c r="N35" s="8"/>
    </row>
    <row r="36" spans="2:14" x14ac:dyDescent="0.3">
      <c r="B36" s="23" t="e">
        <f t="shared" si="1"/>
        <v>#REF!</v>
      </c>
      <c r="C36" s="28"/>
      <c r="D36" s="28"/>
      <c r="E36" s="28" t="e">
        <f>IF(#REF!="Residential",#REF!,0)</f>
        <v>#REF!</v>
      </c>
      <c r="F36" s="25" t="e">
        <f>#REF!</f>
        <v>#REF!</v>
      </c>
      <c r="G36" s="39" t="e">
        <f t="shared" si="0"/>
        <v>#REF!</v>
      </c>
      <c r="H36" s="39" t="e">
        <f>#REF!</f>
        <v>#REF!</v>
      </c>
      <c r="J36" s="7"/>
      <c r="K36" s="7"/>
      <c r="L36" s="7"/>
      <c r="M36" s="7"/>
      <c r="N36" s="8"/>
    </row>
    <row r="37" spans="2:14" x14ac:dyDescent="0.3">
      <c r="B37" s="26" t="e">
        <f t="shared" si="1"/>
        <v>#REF!</v>
      </c>
      <c r="C37" s="27"/>
      <c r="D37" s="27"/>
      <c r="E37" s="27" t="e">
        <f>IF(#REF!="Residential",#REF!,0)</f>
        <v>#REF!</v>
      </c>
      <c r="F37" s="27" t="e">
        <f>#REF!</f>
        <v>#REF!</v>
      </c>
      <c r="G37" s="40" t="e">
        <f t="shared" si="0"/>
        <v>#REF!</v>
      </c>
      <c r="H37" s="40" t="e">
        <f>#REF!</f>
        <v>#REF!</v>
      </c>
      <c r="J37" s="7"/>
      <c r="K37" s="7"/>
      <c r="L37" s="7"/>
      <c r="M37" s="7"/>
      <c r="N37" s="8"/>
    </row>
    <row r="38" spans="2:14" x14ac:dyDescent="0.3">
      <c r="B38" s="23" t="e">
        <f t="shared" si="1"/>
        <v>#REF!</v>
      </c>
      <c r="C38" s="28"/>
      <c r="D38" s="28"/>
      <c r="E38" s="28" t="e">
        <f>IF(#REF!="Residential",#REF!,0)</f>
        <v>#REF!</v>
      </c>
      <c r="F38" s="25" t="e">
        <f>#REF!</f>
        <v>#REF!</v>
      </c>
      <c r="G38" s="39" t="e">
        <f t="shared" si="0"/>
        <v>#REF!</v>
      </c>
      <c r="H38" s="39" t="e">
        <f>#REF!</f>
        <v>#REF!</v>
      </c>
      <c r="J38" s="7"/>
      <c r="K38" s="7"/>
      <c r="L38" s="7"/>
      <c r="M38" s="7"/>
      <c r="N38" s="8"/>
    </row>
    <row r="39" spans="2:14" x14ac:dyDescent="0.3">
      <c r="B39" s="20" t="e">
        <f t="shared" si="1"/>
        <v>#REF!</v>
      </c>
      <c r="C39" s="27"/>
      <c r="D39" s="27"/>
      <c r="E39" s="27" t="e">
        <f>IF(#REF!="Residential",#REF!,0)</f>
        <v>#REF!</v>
      </c>
      <c r="F39" s="27" t="e">
        <f>#REF!</f>
        <v>#REF!</v>
      </c>
      <c r="G39" s="40" t="e">
        <f t="shared" si="0"/>
        <v>#REF!</v>
      </c>
      <c r="H39" s="40" t="e">
        <f>#REF!</f>
        <v>#REF!</v>
      </c>
      <c r="J39" s="7"/>
      <c r="K39" s="7"/>
      <c r="L39" s="7"/>
      <c r="M39" s="7"/>
      <c r="N39" s="8"/>
    </row>
    <row r="40" spans="2:14" x14ac:dyDescent="0.3">
      <c r="B40" s="23" t="e">
        <f t="shared" si="1"/>
        <v>#REF!</v>
      </c>
      <c r="C40" s="28"/>
      <c r="D40" s="28"/>
      <c r="E40" s="28" t="e">
        <f>IF(#REF!="Residential",#REF!,0)</f>
        <v>#REF!</v>
      </c>
      <c r="F40" s="25" t="e">
        <f>#REF!</f>
        <v>#REF!</v>
      </c>
      <c r="G40" s="39" t="e">
        <f t="shared" si="0"/>
        <v>#REF!</v>
      </c>
      <c r="H40" s="39" t="e">
        <f>#REF!</f>
        <v>#REF!</v>
      </c>
      <c r="J40" s="7"/>
      <c r="K40" s="7"/>
      <c r="L40" s="7"/>
      <c r="M40" s="7"/>
      <c r="N40" s="8"/>
    </row>
    <row r="41" spans="2:14" x14ac:dyDescent="0.3">
      <c r="B41" s="26" t="e">
        <f t="shared" si="1"/>
        <v>#REF!</v>
      </c>
      <c r="C41" s="27"/>
      <c r="D41" s="27"/>
      <c r="E41" s="27" t="e">
        <f>IF(#REF!="Residential",#REF!,0)</f>
        <v>#REF!</v>
      </c>
      <c r="F41" s="27" t="e">
        <f>#REF!</f>
        <v>#REF!</v>
      </c>
      <c r="G41" s="40" t="e">
        <f t="shared" si="0"/>
        <v>#REF!</v>
      </c>
      <c r="H41" s="40" t="e">
        <f>#REF!</f>
        <v>#REF!</v>
      </c>
      <c r="J41" s="7"/>
      <c r="K41" s="7"/>
      <c r="L41" s="7"/>
      <c r="M41" s="7"/>
      <c r="N41" s="8"/>
    </row>
    <row r="42" spans="2:14" x14ac:dyDescent="0.3">
      <c r="B42" s="23" t="e">
        <f t="shared" si="1"/>
        <v>#REF!</v>
      </c>
      <c r="C42" s="28"/>
      <c r="D42" s="28"/>
      <c r="E42" s="28" t="e">
        <f>IF(#REF!="Residential",#REF!,0)</f>
        <v>#REF!</v>
      </c>
      <c r="F42" s="25" t="e">
        <f>#REF!</f>
        <v>#REF!</v>
      </c>
      <c r="G42" s="39" t="e">
        <f t="shared" si="0"/>
        <v>#REF!</v>
      </c>
      <c r="H42" s="39" t="e">
        <f>#REF!</f>
        <v>#REF!</v>
      </c>
      <c r="J42" s="7"/>
      <c r="K42" s="7"/>
      <c r="L42" s="7"/>
      <c r="M42" s="7"/>
      <c r="N42" s="8"/>
    </row>
    <row r="43" spans="2:14" x14ac:dyDescent="0.3">
      <c r="B43" s="20" t="e">
        <f t="shared" si="1"/>
        <v>#REF!</v>
      </c>
      <c r="C43" s="27"/>
      <c r="D43" s="27"/>
      <c r="E43" s="27"/>
      <c r="F43" s="27" t="e">
        <f>#REF!</f>
        <v>#REF!</v>
      </c>
      <c r="G43" s="40" t="e">
        <f t="shared" si="0"/>
        <v>#REF!</v>
      </c>
      <c r="H43" s="40" t="e">
        <f>#REF!</f>
        <v>#REF!</v>
      </c>
      <c r="J43" s="7"/>
      <c r="K43" s="7"/>
      <c r="L43" s="7"/>
      <c r="M43" s="7"/>
      <c r="N43" s="8"/>
    </row>
    <row r="44" spans="2:14" x14ac:dyDescent="0.3">
      <c r="B44" s="23" t="e">
        <f t="shared" si="1"/>
        <v>#REF!</v>
      </c>
      <c r="C44" s="28"/>
      <c r="D44" s="28"/>
      <c r="E44" s="28"/>
      <c r="F44" s="25" t="e">
        <f>#REF!</f>
        <v>#REF!</v>
      </c>
      <c r="G44" s="39" t="e">
        <f t="shared" si="0"/>
        <v>#REF!</v>
      </c>
      <c r="H44" s="39" t="e">
        <f>#REF!</f>
        <v>#REF!</v>
      </c>
      <c r="J44" s="7"/>
      <c r="K44" s="7"/>
      <c r="L44" s="7"/>
      <c r="M44" s="7"/>
      <c r="N44" s="8"/>
    </row>
    <row r="45" spans="2:14" x14ac:dyDescent="0.3">
      <c r="B45" s="26" t="e">
        <f t="shared" si="1"/>
        <v>#REF!</v>
      </c>
      <c r="C45" s="27"/>
      <c r="D45" s="27"/>
      <c r="E45" s="27"/>
      <c r="F45" s="27" t="e">
        <f>#REF!</f>
        <v>#REF!</v>
      </c>
      <c r="G45" s="40" t="e">
        <f t="shared" si="0"/>
        <v>#REF!</v>
      </c>
      <c r="H45" s="40" t="e">
        <f>#REF!</f>
        <v>#REF!</v>
      </c>
      <c r="J45" s="7"/>
      <c r="K45" s="7"/>
      <c r="L45" s="7"/>
      <c r="M45" s="7"/>
      <c r="N45" s="8"/>
    </row>
    <row r="46" spans="2:14" x14ac:dyDescent="0.3">
      <c r="B46" s="23" t="e">
        <f t="shared" si="1"/>
        <v>#REF!</v>
      </c>
      <c r="C46" s="28"/>
      <c r="D46" s="28"/>
      <c r="E46" s="28"/>
      <c r="F46" s="25" t="e">
        <f>#REF!</f>
        <v>#REF!</v>
      </c>
      <c r="G46" s="39" t="e">
        <f t="shared" si="0"/>
        <v>#REF!</v>
      </c>
      <c r="H46" s="39" t="e">
        <f>#REF!</f>
        <v>#REF!</v>
      </c>
      <c r="J46" s="7"/>
      <c r="K46" s="7"/>
      <c r="L46" s="7"/>
      <c r="M46" s="7"/>
      <c r="N46" s="8"/>
    </row>
    <row r="47" spans="2:14" x14ac:dyDescent="0.3">
      <c r="B47" s="20" t="e">
        <f t="shared" si="1"/>
        <v>#REF!</v>
      </c>
      <c r="C47" s="27"/>
      <c r="D47" s="27"/>
      <c r="E47" s="27"/>
      <c r="F47" s="27" t="e">
        <f>#REF!</f>
        <v>#REF!</v>
      </c>
      <c r="G47" s="40" t="e">
        <f t="shared" si="0"/>
        <v>#REF!</v>
      </c>
      <c r="H47" s="40" t="e">
        <f>#REF!</f>
        <v>#REF!</v>
      </c>
      <c r="J47" s="7"/>
      <c r="K47" s="7"/>
      <c r="L47" s="7"/>
      <c r="M47" s="7"/>
      <c r="N47" s="8"/>
    </row>
    <row r="48" spans="2:14" x14ac:dyDescent="0.3">
      <c r="B48" s="23" t="e">
        <f t="shared" si="1"/>
        <v>#REF!</v>
      </c>
      <c r="C48" s="28"/>
      <c r="D48" s="28"/>
      <c r="E48" s="28"/>
      <c r="F48" s="25" t="e">
        <f>#REF!</f>
        <v>#REF!</v>
      </c>
      <c r="G48" s="39" t="e">
        <f t="shared" si="0"/>
        <v>#REF!</v>
      </c>
      <c r="H48" s="39" t="e">
        <f>#REF!</f>
        <v>#REF!</v>
      </c>
      <c r="J48" s="7"/>
      <c r="K48" s="7"/>
      <c r="L48" s="7"/>
      <c r="M48" s="7"/>
      <c r="N48" s="8"/>
    </row>
    <row r="49" spans="1:14" x14ac:dyDescent="0.3">
      <c r="B49" s="26" t="e">
        <f t="shared" si="1"/>
        <v>#REF!</v>
      </c>
      <c r="C49" s="27"/>
      <c r="D49" s="27"/>
      <c r="E49" s="27"/>
      <c r="F49" s="27" t="e">
        <f>#REF!</f>
        <v>#REF!</v>
      </c>
      <c r="G49" s="40" t="e">
        <f t="shared" si="0"/>
        <v>#REF!</v>
      </c>
      <c r="H49" s="40" t="e">
        <f>#REF!</f>
        <v>#REF!</v>
      </c>
      <c r="J49" s="7"/>
      <c r="K49" s="7"/>
      <c r="L49" s="7"/>
      <c r="M49" s="7"/>
      <c r="N49" s="8"/>
    </row>
    <row r="50" spans="1:14" x14ac:dyDescent="0.3">
      <c r="B50" s="23" t="e">
        <f t="shared" si="1"/>
        <v>#REF!</v>
      </c>
      <c r="C50" s="28"/>
      <c r="D50" s="28"/>
      <c r="E50" s="28"/>
      <c r="F50" s="25" t="e">
        <f>#REF!</f>
        <v>#REF!</v>
      </c>
      <c r="G50" s="39" t="e">
        <f t="shared" si="0"/>
        <v>#REF!</v>
      </c>
      <c r="H50" s="39" t="e">
        <f>#REF!</f>
        <v>#REF!</v>
      </c>
      <c r="J50" s="7"/>
      <c r="K50" s="7"/>
      <c r="L50" s="7"/>
      <c r="M50" s="7"/>
      <c r="N50" s="8"/>
    </row>
    <row r="51" spans="1:14" x14ac:dyDescent="0.3">
      <c r="B51" s="20" t="e">
        <f t="shared" si="1"/>
        <v>#REF!</v>
      </c>
      <c r="C51" s="27"/>
      <c r="D51" s="27"/>
      <c r="E51" s="27"/>
      <c r="F51" s="27" t="e">
        <f>#REF!</f>
        <v>#REF!</v>
      </c>
      <c r="G51" s="40" t="e">
        <f t="shared" si="0"/>
        <v>#REF!</v>
      </c>
      <c r="H51" s="40" t="e">
        <f>#REF!</f>
        <v>#REF!</v>
      </c>
      <c r="J51" s="7"/>
      <c r="K51" s="7"/>
      <c r="L51" s="7"/>
      <c r="M51" s="7"/>
      <c r="N51" s="8"/>
    </row>
    <row r="52" spans="1:14" x14ac:dyDescent="0.3">
      <c r="B52" s="23" t="e">
        <f t="shared" si="1"/>
        <v>#REF!</v>
      </c>
      <c r="C52" s="28"/>
      <c r="D52" s="28"/>
      <c r="E52" s="28"/>
      <c r="F52" s="25" t="e">
        <f>#REF!</f>
        <v>#REF!</v>
      </c>
      <c r="G52" s="39" t="e">
        <f t="shared" si="0"/>
        <v>#REF!</v>
      </c>
      <c r="H52" s="39" t="e">
        <f>#REF!</f>
        <v>#REF!</v>
      </c>
      <c r="J52" s="7"/>
      <c r="K52" s="7"/>
      <c r="L52" s="7"/>
      <c r="M52" s="7"/>
      <c r="N52" s="8"/>
    </row>
    <row r="53" spans="1:14" x14ac:dyDescent="0.3">
      <c r="B53" s="26" t="e">
        <f t="shared" si="1"/>
        <v>#REF!</v>
      </c>
      <c r="C53" s="27"/>
      <c r="D53" s="27"/>
      <c r="E53" s="27"/>
      <c r="F53" s="27" t="e">
        <f>#REF!</f>
        <v>#REF!</v>
      </c>
      <c r="G53" s="40" t="e">
        <f t="shared" si="0"/>
        <v>#REF!</v>
      </c>
      <c r="H53" s="40" t="e">
        <f>#REF!</f>
        <v>#REF!</v>
      </c>
      <c r="J53" s="7"/>
      <c r="K53" s="7"/>
      <c r="L53" s="7"/>
      <c r="M53" s="7"/>
      <c r="N53" s="8"/>
    </row>
    <row r="54" spans="1:14" x14ac:dyDescent="0.3">
      <c r="B54" s="23" t="e">
        <f t="shared" si="1"/>
        <v>#REF!</v>
      </c>
      <c r="C54" s="28"/>
      <c r="D54" s="28"/>
      <c r="E54" s="28"/>
      <c r="F54" s="25" t="e">
        <f>#REF!</f>
        <v>#REF!</v>
      </c>
      <c r="G54" s="39" t="e">
        <f t="shared" si="0"/>
        <v>#REF!</v>
      </c>
      <c r="H54" s="39" t="e">
        <f>#REF!</f>
        <v>#REF!</v>
      </c>
      <c r="J54" s="7"/>
      <c r="K54" s="7"/>
      <c r="L54" s="7"/>
      <c r="M54" s="7"/>
      <c r="N54" s="8"/>
    </row>
    <row r="55" spans="1:14" x14ac:dyDescent="0.3">
      <c r="B55" s="26" t="e">
        <f t="shared" si="1"/>
        <v>#REF!</v>
      </c>
      <c r="C55" s="27"/>
      <c r="D55" s="27"/>
      <c r="E55" s="27"/>
      <c r="F55" s="27" t="e">
        <f>#REF!</f>
        <v>#REF!</v>
      </c>
      <c r="G55" s="40" t="e">
        <f t="shared" si="0"/>
        <v>#REF!</v>
      </c>
      <c r="H55" s="40" t="e">
        <f>#REF!</f>
        <v>#REF!</v>
      </c>
      <c r="J55" s="7"/>
      <c r="K55" s="7"/>
      <c r="L55" s="7"/>
      <c r="M55" s="7"/>
      <c r="N55" s="8"/>
    </row>
    <row r="56" spans="1:14" s="3" customFormat="1" ht="21" customHeight="1" x14ac:dyDescent="0.3">
      <c r="A56" s="43"/>
      <c r="B56" s="29" t="s">
        <v>5</v>
      </c>
      <c r="C56" s="30" t="e">
        <f>SUM(C27:C55)</f>
        <v>#REF!</v>
      </c>
      <c r="D56" s="30" t="e">
        <f t="shared" ref="D56:H56" si="2">SUM(D27:D55)</f>
        <v>#REF!</v>
      </c>
      <c r="E56" s="30" t="e">
        <f t="shared" si="2"/>
        <v>#REF!</v>
      </c>
      <c r="F56" s="30" t="e">
        <f t="shared" si="2"/>
        <v>#REF!</v>
      </c>
      <c r="G56" s="30" t="e">
        <f t="shared" ref="G56" si="3">SUM(G27:G55)</f>
        <v>#REF!</v>
      </c>
      <c r="H56" s="30" t="e">
        <f t="shared" si="2"/>
        <v>#REF!</v>
      </c>
      <c r="I56" s="43"/>
      <c r="J56" s="31"/>
      <c r="K56" s="31"/>
      <c r="L56" s="31"/>
      <c r="M56" s="31"/>
      <c r="N56" s="32"/>
    </row>
    <row r="57" spans="1:14" x14ac:dyDescent="0.3">
      <c r="B57" s="12"/>
      <c r="C57" s="12"/>
      <c r="D57" s="12"/>
      <c r="E57" s="12"/>
      <c r="F57" s="12"/>
      <c r="G57" s="12"/>
      <c r="H57" s="12"/>
      <c r="J57" s="7"/>
      <c r="K57" s="7"/>
      <c r="L57" s="7"/>
      <c r="M57" s="7"/>
      <c r="N57" s="8"/>
    </row>
    <row r="58" spans="1:14" x14ac:dyDescent="0.3">
      <c r="B58" s="12"/>
      <c r="C58" s="12"/>
      <c r="D58" s="12"/>
      <c r="E58" s="12"/>
      <c r="F58" s="12"/>
      <c r="G58" s="12"/>
      <c r="H58" s="12"/>
      <c r="J58" s="7"/>
      <c r="K58" s="7"/>
      <c r="L58" s="7"/>
      <c r="M58" s="7"/>
      <c r="N58" s="8"/>
    </row>
    <row r="59" spans="1:14" x14ac:dyDescent="0.3">
      <c r="B59" s="51" t="s">
        <v>9</v>
      </c>
      <c r="C59" s="51"/>
      <c r="D59" s="51"/>
      <c r="E59" s="51"/>
      <c r="F59" s="51"/>
      <c r="G59" s="51"/>
      <c r="H59" s="51"/>
      <c r="J59" s="7"/>
      <c r="K59" s="7"/>
      <c r="L59" s="7"/>
      <c r="M59" s="7"/>
      <c r="N59" s="8"/>
    </row>
    <row r="60" spans="1:14" x14ac:dyDescent="0.3">
      <c r="B60" s="12"/>
      <c r="C60" s="12"/>
      <c r="D60" s="12"/>
      <c r="E60" s="12"/>
      <c r="F60" s="12"/>
      <c r="G60" s="12"/>
      <c r="H60" s="12"/>
      <c r="J60" s="7"/>
      <c r="K60" s="7"/>
      <c r="L60" s="7"/>
      <c r="M60" s="7"/>
      <c r="N60" s="8"/>
    </row>
    <row r="61" spans="1:14" x14ac:dyDescent="0.3">
      <c r="B61" s="12"/>
      <c r="C61" s="12"/>
      <c r="D61" s="12"/>
      <c r="E61" s="12"/>
      <c r="F61" s="12"/>
      <c r="G61" s="12"/>
      <c r="H61" s="12"/>
      <c r="J61" s="7"/>
      <c r="K61" s="7"/>
      <c r="L61" s="7"/>
      <c r="M61" s="7"/>
      <c r="N61" s="8"/>
    </row>
    <row r="62" spans="1:14" x14ac:dyDescent="0.3">
      <c r="B62" s="12"/>
      <c r="C62" s="12"/>
      <c r="D62" s="12"/>
      <c r="E62" s="12"/>
      <c r="F62" s="12"/>
      <c r="G62" s="12"/>
      <c r="H62" s="12"/>
      <c r="J62" s="7"/>
      <c r="K62" s="7"/>
      <c r="L62" s="7"/>
      <c r="M62" s="7"/>
      <c r="N62" s="8"/>
    </row>
    <row r="63" spans="1:14" x14ac:dyDescent="0.3">
      <c r="B63" s="12"/>
      <c r="C63" s="12"/>
      <c r="D63" s="12"/>
      <c r="E63" s="12"/>
      <c r="F63" s="12"/>
      <c r="G63" s="12"/>
      <c r="H63" s="12"/>
      <c r="J63" s="7"/>
      <c r="K63" s="7"/>
      <c r="L63" s="7"/>
      <c r="M63" s="7"/>
      <c r="N63" s="8"/>
    </row>
    <row r="64" spans="1:14" x14ac:dyDescent="0.3">
      <c r="B64" s="12"/>
      <c r="C64" s="12"/>
      <c r="D64" s="12"/>
      <c r="E64" s="12"/>
      <c r="F64" s="12"/>
      <c r="G64" s="12"/>
      <c r="H64" s="12"/>
      <c r="J64" s="7"/>
      <c r="K64" s="7"/>
      <c r="L64" s="7"/>
      <c r="M64" s="7"/>
      <c r="N64" s="8"/>
    </row>
    <row r="65" spans="2:14" x14ac:dyDescent="0.3">
      <c r="B65" s="12"/>
      <c r="C65" s="12"/>
      <c r="D65" s="12"/>
      <c r="E65" s="12"/>
      <c r="F65" s="12"/>
      <c r="G65" s="12"/>
      <c r="H65" s="12"/>
      <c r="J65" s="7"/>
      <c r="K65" s="7"/>
      <c r="L65" s="7"/>
      <c r="M65" s="7"/>
      <c r="N65" s="8"/>
    </row>
    <row r="66" spans="2:14" x14ac:dyDescent="0.3">
      <c r="B66" s="12"/>
      <c r="C66" s="12"/>
      <c r="D66" s="12"/>
      <c r="E66" s="12"/>
      <c r="F66" s="12"/>
      <c r="G66" s="12"/>
      <c r="H66" s="12"/>
      <c r="J66" s="7"/>
      <c r="K66" s="7"/>
      <c r="L66" s="7"/>
      <c r="M66" s="7"/>
      <c r="N66" s="8"/>
    </row>
    <row r="67" spans="2:14" x14ac:dyDescent="0.3">
      <c r="B67" s="12"/>
      <c r="C67" s="12"/>
      <c r="D67" s="12"/>
      <c r="E67" s="12"/>
      <c r="F67" s="12"/>
      <c r="G67" s="12"/>
      <c r="H67" s="12"/>
      <c r="J67" s="7"/>
      <c r="K67" s="7"/>
      <c r="L67" s="7"/>
      <c r="M67" s="7"/>
      <c r="N67" s="8"/>
    </row>
    <row r="68" spans="2:14" x14ac:dyDescent="0.3">
      <c r="B68" s="12"/>
      <c r="C68" s="12"/>
      <c r="D68" s="12"/>
      <c r="E68" s="12"/>
      <c r="F68" s="12"/>
      <c r="G68" s="12"/>
      <c r="H68" s="12"/>
      <c r="J68" s="7"/>
      <c r="K68" s="7"/>
      <c r="L68" s="7"/>
      <c r="M68" s="7"/>
      <c r="N68" s="8"/>
    </row>
    <row r="69" spans="2:14" x14ac:dyDescent="0.3">
      <c r="B69" s="12"/>
      <c r="C69" s="12"/>
      <c r="D69" s="12"/>
      <c r="E69" s="12"/>
      <c r="F69" s="12"/>
      <c r="G69" s="12"/>
      <c r="H69" s="12"/>
      <c r="J69" s="7"/>
      <c r="K69" s="7"/>
      <c r="L69" s="7"/>
      <c r="M69" s="7"/>
      <c r="N69" s="8"/>
    </row>
  </sheetData>
  <mergeCells count="5">
    <mergeCell ref="B1:H5"/>
    <mergeCell ref="B59:H59"/>
    <mergeCell ref="C18:E18"/>
    <mergeCell ref="B7:H7"/>
    <mergeCell ref="F11:G11"/>
  </mergeCells>
  <phoneticPr fontId="6" type="noConversion"/>
  <printOptions horizontalCentered="1"/>
  <pageMargins left="0.25" right="0.25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27.5 Estimate</vt:lpstr>
      <vt:lpstr>'27.5 Estimate'!Print_Area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Dmitri Nuzhny</cp:lastModifiedBy>
  <cp:lastPrinted>2022-04-28T17:48:51Z</cp:lastPrinted>
  <dcterms:created xsi:type="dcterms:W3CDTF">2022-03-17T17:28:15Z</dcterms:created>
  <dcterms:modified xsi:type="dcterms:W3CDTF">2025-12-24T17:12:52Z</dcterms:modified>
</cp:coreProperties>
</file>